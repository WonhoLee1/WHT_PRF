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45" yWindow="15" windowWidth="28560" windowHeight="15240" activeTab="2"/>
  </bookViews>
  <sheets>
    <sheet name="Initial Guess" sheetId="10" r:id="rId1"/>
    <sheet name="Arrieta's Prony Response" sheetId="17" r:id="rId2"/>
    <sheet name="Arrieta Test Data" sheetId="12" r:id="rId3"/>
    <sheet name="Abaqus model from Arrieta Paper" sheetId="13" r:id="rId4"/>
    <sheet name="Abaqus Fit Result" sheetId="14" r:id="rId5"/>
    <sheet name="Calibrate from Abaqus" sheetId="15" r:id="rId6"/>
  </sheets>
  <definedNames>
    <definedName name="G_0" localSheetId="1">'Arrieta''s Prony Response'!$D$28</definedName>
    <definedName name="G_0" localSheetId="5">'Calibrate from Abaqus'!$D$23</definedName>
    <definedName name="G_0">'Initial Guess'!$D$23</definedName>
    <definedName name="g_1">'Initial Guess'!$C$4</definedName>
    <definedName name="g_10">'Initial Guess'!$C$13</definedName>
    <definedName name="g_11">'Initial Guess'!$C$14</definedName>
    <definedName name="g_12">'Initial Guess'!$C$15</definedName>
    <definedName name="g_13">'Initial Guess'!$C$16</definedName>
    <definedName name="g_14">'Initial Guess'!$C$17</definedName>
    <definedName name="g_2">'Initial Guess'!$C$5</definedName>
    <definedName name="g_3">'Initial Guess'!$C$6</definedName>
    <definedName name="g_4">'Initial Guess'!$C$7</definedName>
    <definedName name="g_5">'Initial Guess'!$C$8</definedName>
    <definedName name="g_6">'Initial Guess'!$C$9</definedName>
    <definedName name="g_7">'Initial Guess'!$C$10</definedName>
    <definedName name="g_8">'Initial Guess'!$C$11</definedName>
    <definedName name="g_9">'Initial Guess'!$C$12</definedName>
    <definedName name="G_inf" localSheetId="1">'Arrieta''s Prony Response'!$D$29</definedName>
    <definedName name="G_inf" localSheetId="5">'Calibrate from Abaqus'!$D$24</definedName>
    <definedName name="G_inf">'Initial Guess'!$D$24</definedName>
    <definedName name="Gamma" localSheetId="1">'Arrieta''s Prony Response'!$C$4:$C$23</definedName>
    <definedName name="Gamma" localSheetId="5">'Calibrate from Abaqus'!$C$4:$C$13</definedName>
    <definedName name="Gamma">'Initial Guess'!$C$4:$C$18</definedName>
    <definedName name="Gl_Error" localSheetId="1">'Arrieta''s Prony Response'!$M$47</definedName>
    <definedName name="Gl_Error" localSheetId="5">'Calibrate from Abaqus'!$M$47</definedName>
    <definedName name="Gl_Error">'Initial Guess'!$M$47</definedName>
    <definedName name="Gs_Error" localSheetId="1">'Arrieta''s Prony Response'!$L$47</definedName>
    <definedName name="Gs_Error" localSheetId="5">'Calibrate from Abaqus'!$L$47</definedName>
    <definedName name="Gs_Error">'Initial Guess'!$L$47</definedName>
    <definedName name="solver_adj" localSheetId="1" hidden="1">'Arrieta''s Prony Response'!$D$28</definedName>
    <definedName name="solver_adj" localSheetId="5" hidden="1">'Calibrate from Abaqus'!$D$23</definedName>
    <definedName name="solver_adj" localSheetId="0" hidden="1">'Initial Guess'!$B$6:$B$13</definedName>
    <definedName name="solver_cvg" localSheetId="1" hidden="1">0.0001</definedName>
    <definedName name="solver_cvg" localSheetId="5" hidden="1">0.0001</definedName>
    <definedName name="solver_cvg" localSheetId="0" hidden="1">0.0001</definedName>
    <definedName name="solver_drv" localSheetId="1" hidden="1">1</definedName>
    <definedName name="solver_drv" localSheetId="5" hidden="1">1</definedName>
    <definedName name="solver_drv" localSheetId="0" hidden="1">1</definedName>
    <definedName name="solver_eng" localSheetId="1" hidden="1">1</definedName>
    <definedName name="solver_eng" localSheetId="5" hidden="1">1</definedName>
    <definedName name="solver_eng" localSheetId="0" hidden="1">1</definedName>
    <definedName name="solver_est" localSheetId="1" hidden="1">1</definedName>
    <definedName name="solver_est" localSheetId="5" hidden="1">1</definedName>
    <definedName name="solver_est" localSheetId="0" hidden="1">1</definedName>
    <definedName name="solver_itr" localSheetId="1" hidden="1">2147483647</definedName>
    <definedName name="solver_itr" localSheetId="5" hidden="1">2147483647</definedName>
    <definedName name="solver_itr" localSheetId="0" hidden="1">2147483647</definedName>
    <definedName name="solver_lhs1" localSheetId="1" hidden="1">'Arrieta''s Prony Response'!$C$4</definedName>
    <definedName name="solver_lhs1" localSheetId="5" hidden="1">'Calibrate from Abaqus'!$C$4</definedName>
    <definedName name="solver_lhs1" localSheetId="0" hidden="1">'Initial Guess'!$B$6:$B$13</definedName>
    <definedName name="solver_lhs10" localSheetId="1" hidden="1">'Arrieta''s Prony Response'!$C$9</definedName>
    <definedName name="solver_lhs10" localSheetId="5" hidden="1">'Calibrate from Abaqus'!$C$9</definedName>
    <definedName name="solver_lhs10" localSheetId="0" hidden="1">'Initial Guess'!$C$9</definedName>
    <definedName name="solver_lhs11" localSheetId="1" hidden="1">'Arrieta''s Prony Response'!$C$9</definedName>
    <definedName name="solver_lhs11" localSheetId="5" hidden="1">'Calibrate from Abaqus'!$C$9</definedName>
    <definedName name="solver_lhs11" localSheetId="0" hidden="1">'Initial Guess'!$C$9</definedName>
    <definedName name="solver_lhs12" localSheetId="1" hidden="1">'Arrieta''s Prony Response'!$C$9</definedName>
    <definedName name="solver_lhs12" localSheetId="5" hidden="1">'Calibrate from Abaqus'!$C$9</definedName>
    <definedName name="solver_lhs12" localSheetId="0" hidden="1">'Initial Guess'!$C$9</definedName>
    <definedName name="solver_lhs13" localSheetId="1" hidden="1">'Arrieta''s Prony Response'!$C$9</definedName>
    <definedName name="solver_lhs13" localSheetId="5" hidden="1">'Calibrate from Abaqus'!$C$9</definedName>
    <definedName name="solver_lhs13" localSheetId="0" hidden="1">'Initial Guess'!$C$9</definedName>
    <definedName name="solver_lhs14" localSheetId="1" hidden="1">'Arrieta''s Prony Response'!$C$9</definedName>
    <definedName name="solver_lhs14" localSheetId="5" hidden="1">'Calibrate from Abaqus'!$C$9</definedName>
    <definedName name="solver_lhs14" localSheetId="0" hidden="1">'Initial Guess'!$C$9</definedName>
    <definedName name="solver_lhs15" localSheetId="1" hidden="1">'Arrieta''s Prony Response'!$C$9</definedName>
    <definedName name="solver_lhs15" localSheetId="5" hidden="1">'Calibrate from Abaqus'!$C$9</definedName>
    <definedName name="solver_lhs15" localSheetId="0" hidden="1">'Initial Guess'!$C$9</definedName>
    <definedName name="solver_lhs16" localSheetId="1" hidden="1">'Arrieta''s Prony Response'!$C$9</definedName>
    <definedName name="solver_lhs16" localSheetId="5" hidden="1">'Calibrate from Abaqus'!$C$9</definedName>
    <definedName name="solver_lhs16" localSheetId="0" hidden="1">'Initial Guess'!$C$9</definedName>
    <definedName name="solver_lhs17" localSheetId="1" hidden="1">'Arrieta''s Prony Response'!$C$9</definedName>
    <definedName name="solver_lhs17" localSheetId="5" hidden="1">'Calibrate from Abaqus'!$C$9</definedName>
    <definedName name="solver_lhs17" localSheetId="0" hidden="1">'Initial Guess'!$C$9</definedName>
    <definedName name="solver_lhs18" localSheetId="1" hidden="1">'Arrieta''s Prony Response'!$C$9</definedName>
    <definedName name="solver_lhs18" localSheetId="5" hidden="1">'Calibrate from Abaqus'!$C$9</definedName>
    <definedName name="solver_lhs18" localSheetId="0" hidden="1">'Initial Guess'!$C$9</definedName>
    <definedName name="solver_lhs19" localSheetId="1" hidden="1">'Arrieta''s Prony Response'!$C$9</definedName>
    <definedName name="solver_lhs19" localSheetId="5" hidden="1">'Calibrate from Abaqus'!$C$9</definedName>
    <definedName name="solver_lhs19" localSheetId="0" hidden="1">'Initial Guess'!$C$9</definedName>
    <definedName name="solver_lhs2" localSheetId="1" hidden="1">'Arrieta''s Prony Response'!$C$4</definedName>
    <definedName name="solver_lhs2" localSheetId="5" hidden="1">'Calibrate from Abaqus'!$C$4</definedName>
    <definedName name="solver_lhs2" localSheetId="0" hidden="1">'Initial Guess'!$B$6:$B$13</definedName>
    <definedName name="solver_lhs20" localSheetId="1" hidden="1">'Arrieta''s Prony Response'!$C$9</definedName>
    <definedName name="solver_lhs20" localSheetId="5" hidden="1">'Calibrate from Abaqus'!$C$9</definedName>
    <definedName name="solver_lhs20" localSheetId="0" hidden="1">'Initial Guess'!$C$9</definedName>
    <definedName name="solver_lhs3" localSheetId="1" hidden="1">'Arrieta''s Prony Response'!$C$4</definedName>
    <definedName name="solver_lhs3" localSheetId="5" hidden="1">'Calibrate from Abaqus'!$C$4</definedName>
    <definedName name="solver_lhs3" localSheetId="0" hidden="1">'Initial Guess'!$D$23</definedName>
    <definedName name="solver_lhs4" localSheetId="1" hidden="1">'Arrieta''s Prony Response'!$C$4</definedName>
    <definedName name="solver_lhs4" localSheetId="5" hidden="1">'Calibrate from Abaqus'!$C$4</definedName>
    <definedName name="solver_lhs4" localSheetId="0" hidden="1">'Initial Guess'!$C$4</definedName>
    <definedName name="solver_lhs5" localSheetId="1" hidden="1">'Arrieta''s Prony Response'!$C$4</definedName>
    <definedName name="solver_lhs5" localSheetId="5" hidden="1">'Calibrate from Abaqus'!$C$4</definedName>
    <definedName name="solver_lhs5" localSheetId="0" hidden="1">'Initial Guess'!$C$4</definedName>
    <definedName name="solver_lhs6" localSheetId="1" hidden="1">'Arrieta''s Prony Response'!$C$9</definedName>
    <definedName name="solver_lhs6" localSheetId="5" hidden="1">'Calibrate from Abaqus'!$C$9</definedName>
    <definedName name="solver_lhs6" localSheetId="0" hidden="1">'Initial Guess'!$C$9</definedName>
    <definedName name="solver_lhs7" localSheetId="1" hidden="1">'Arrieta''s Prony Response'!$C$9</definedName>
    <definedName name="solver_lhs7" localSheetId="5" hidden="1">'Calibrate from Abaqus'!$C$9</definedName>
    <definedName name="solver_lhs7" localSheetId="0" hidden="1">'Initial Guess'!$C$9</definedName>
    <definedName name="solver_lhs8" localSheetId="1" hidden="1">'Arrieta''s Prony Response'!$C$9</definedName>
    <definedName name="solver_lhs8" localSheetId="5" hidden="1">'Calibrate from Abaqus'!$C$9</definedName>
    <definedName name="solver_lhs8" localSheetId="0" hidden="1">'Initial Guess'!$C$9</definedName>
    <definedName name="solver_lhs9" localSheetId="1" hidden="1">'Arrieta''s Prony Response'!$C$9</definedName>
    <definedName name="solver_lhs9" localSheetId="5" hidden="1">'Calibrate from Abaqus'!$C$9</definedName>
    <definedName name="solver_lhs9" localSheetId="0" hidden="1">'Initial Guess'!$C$9</definedName>
    <definedName name="solver_mip" localSheetId="1" hidden="1">2147483647</definedName>
    <definedName name="solver_mip" localSheetId="5" hidden="1">2147483647</definedName>
    <definedName name="solver_mip" localSheetId="0" hidden="1">2147483647</definedName>
    <definedName name="solver_mni" localSheetId="1" hidden="1">30</definedName>
    <definedName name="solver_mni" localSheetId="5" hidden="1">30</definedName>
    <definedName name="solver_mni" localSheetId="0" hidden="1">30</definedName>
    <definedName name="solver_mrt" localSheetId="1" hidden="1">0.075</definedName>
    <definedName name="solver_mrt" localSheetId="5" hidden="1">0.075</definedName>
    <definedName name="solver_mrt" localSheetId="0" hidden="1">0.075</definedName>
    <definedName name="solver_msl" localSheetId="1" hidden="1">2</definedName>
    <definedName name="solver_msl" localSheetId="5" hidden="1">2</definedName>
    <definedName name="solver_msl" localSheetId="0" hidden="1">2</definedName>
    <definedName name="solver_neg" localSheetId="1" hidden="1">1</definedName>
    <definedName name="solver_neg" localSheetId="5" hidden="1">1</definedName>
    <definedName name="solver_neg" localSheetId="0" hidden="1">1</definedName>
    <definedName name="solver_nod" localSheetId="1" hidden="1">2147483647</definedName>
    <definedName name="solver_nod" localSheetId="5" hidden="1">2147483647</definedName>
    <definedName name="solver_nod" localSheetId="0" hidden="1">2147483647</definedName>
    <definedName name="solver_num" localSheetId="1" hidden="1">0</definedName>
    <definedName name="solver_num" localSheetId="5" hidden="1">0</definedName>
    <definedName name="solver_num" localSheetId="0" hidden="1">3</definedName>
    <definedName name="solver_nwt" localSheetId="1" hidden="1">1</definedName>
    <definedName name="solver_nwt" localSheetId="5" hidden="1">1</definedName>
    <definedName name="solver_nwt" localSheetId="0" hidden="1">1</definedName>
    <definedName name="solver_opt" localSheetId="1" hidden="1">'Arrieta''s Prony Response'!$L$49</definedName>
    <definedName name="solver_opt" localSheetId="5" hidden="1">'Calibrate from Abaqus'!$L$49</definedName>
    <definedName name="solver_opt" localSheetId="0" hidden="1">'Initial Guess'!$L$49</definedName>
    <definedName name="solver_pre" localSheetId="1" hidden="1">0.000001</definedName>
    <definedName name="solver_pre" localSheetId="5" hidden="1">0.000001</definedName>
    <definedName name="solver_pre" localSheetId="0" hidden="1">0.000001</definedName>
    <definedName name="solver_rbv" localSheetId="1" hidden="1">2</definedName>
    <definedName name="solver_rbv" localSheetId="5" hidden="1">2</definedName>
    <definedName name="solver_rbv" localSheetId="0" hidden="1">2</definedName>
    <definedName name="solver_rel1" localSheetId="1" hidden="1">3</definedName>
    <definedName name="solver_rel1" localSheetId="5" hidden="1">3</definedName>
    <definedName name="solver_rel1" localSheetId="0" hidden="1">1</definedName>
    <definedName name="solver_rel10" localSheetId="1" hidden="1">1</definedName>
    <definedName name="solver_rel10" localSheetId="5" hidden="1">1</definedName>
    <definedName name="solver_rel10" localSheetId="0" hidden="1">1</definedName>
    <definedName name="solver_rel11" localSheetId="1" hidden="1">1</definedName>
    <definedName name="solver_rel11" localSheetId="5" hidden="1">1</definedName>
    <definedName name="solver_rel11" localSheetId="0" hidden="1">1</definedName>
    <definedName name="solver_rel12" localSheetId="1" hidden="1">1</definedName>
    <definedName name="solver_rel12" localSheetId="5" hidden="1">1</definedName>
    <definedName name="solver_rel12" localSheetId="0" hidden="1">1</definedName>
    <definedName name="solver_rel13" localSheetId="1" hidden="1">1</definedName>
    <definedName name="solver_rel13" localSheetId="5" hidden="1">1</definedName>
    <definedName name="solver_rel13" localSheetId="0" hidden="1">1</definedName>
    <definedName name="solver_rel14" localSheetId="1" hidden="1">1</definedName>
    <definedName name="solver_rel14" localSheetId="5" hidden="1">1</definedName>
    <definedName name="solver_rel14" localSheetId="0" hidden="1">1</definedName>
    <definedName name="solver_rel15" localSheetId="1" hidden="1">1</definedName>
    <definedName name="solver_rel15" localSheetId="5" hidden="1">1</definedName>
    <definedName name="solver_rel15" localSheetId="0" hidden="1">1</definedName>
    <definedName name="solver_rel16" localSheetId="1" hidden="1">1</definedName>
    <definedName name="solver_rel16" localSheetId="5" hidden="1">1</definedName>
    <definedName name="solver_rel16" localSheetId="0" hidden="1">1</definedName>
    <definedName name="solver_rel17" localSheetId="1" hidden="1">1</definedName>
    <definedName name="solver_rel17" localSheetId="5" hidden="1">1</definedName>
    <definedName name="solver_rel17" localSheetId="0" hidden="1">1</definedName>
    <definedName name="solver_rel18" localSheetId="1" hidden="1">1</definedName>
    <definedName name="solver_rel18" localSheetId="5" hidden="1">1</definedName>
    <definedName name="solver_rel18" localSheetId="0" hidden="1">1</definedName>
    <definedName name="solver_rel19" localSheetId="1" hidden="1">1</definedName>
    <definedName name="solver_rel19" localSheetId="5" hidden="1">1</definedName>
    <definedName name="solver_rel19" localSheetId="0" hidden="1">1</definedName>
    <definedName name="solver_rel2" localSheetId="1" hidden="1">3</definedName>
    <definedName name="solver_rel2" localSheetId="5" hidden="1">3</definedName>
    <definedName name="solver_rel2" localSheetId="0" hidden="1">3</definedName>
    <definedName name="solver_rel20" localSheetId="1" hidden="1">3</definedName>
    <definedName name="solver_rel20" localSheetId="5" hidden="1">3</definedName>
    <definedName name="solver_rel20" localSheetId="0" hidden="1">3</definedName>
    <definedName name="solver_rel3" localSheetId="1" hidden="1">3</definedName>
    <definedName name="solver_rel3" localSheetId="5" hidden="1">3</definedName>
    <definedName name="solver_rel3" localSheetId="0" hidden="1">1</definedName>
    <definedName name="solver_rel4" localSheetId="1" hidden="1">3</definedName>
    <definedName name="solver_rel4" localSheetId="5" hidden="1">3</definedName>
    <definedName name="solver_rel4" localSheetId="0" hidden="1">3</definedName>
    <definedName name="solver_rel5" localSheetId="1" hidden="1">3</definedName>
    <definedName name="solver_rel5" localSheetId="5" hidden="1">3</definedName>
    <definedName name="solver_rel5" localSheetId="0" hidden="1">3</definedName>
    <definedName name="solver_rel6" localSheetId="1" hidden="1">1</definedName>
    <definedName name="solver_rel6" localSheetId="5" hidden="1">1</definedName>
    <definedName name="solver_rel6" localSheetId="0" hidden="1">1</definedName>
    <definedName name="solver_rel7" localSheetId="1" hidden="1">1</definedName>
    <definedName name="solver_rel7" localSheetId="5" hidden="1">1</definedName>
    <definedName name="solver_rel7" localSheetId="0" hidden="1">1</definedName>
    <definedName name="solver_rel8" localSheetId="1" hidden="1">1</definedName>
    <definedName name="solver_rel8" localSheetId="5" hidden="1">1</definedName>
    <definedName name="solver_rel8" localSheetId="0" hidden="1">1</definedName>
    <definedName name="solver_rel9" localSheetId="1" hidden="1">1</definedName>
    <definedName name="solver_rel9" localSheetId="5" hidden="1">1</definedName>
    <definedName name="solver_rel9" localSheetId="0" hidden="1">1</definedName>
    <definedName name="solver_rhs1" localSheetId="1" hidden="1">0</definedName>
    <definedName name="solver_rhs1" localSheetId="5" hidden="1">0</definedName>
    <definedName name="solver_rhs1" localSheetId="0" hidden="1">1</definedName>
    <definedName name="solver_rhs10" localSheetId="1" hidden="1">0.1</definedName>
    <definedName name="solver_rhs10" localSheetId="5" hidden="1">0.1</definedName>
    <definedName name="solver_rhs10" localSheetId="0" hidden="1">0.1</definedName>
    <definedName name="solver_rhs11" localSheetId="1" hidden="1">0.1</definedName>
    <definedName name="solver_rhs11" localSheetId="5" hidden="1">0.1</definedName>
    <definedName name="solver_rhs11" localSheetId="0" hidden="1">0.1</definedName>
    <definedName name="solver_rhs12" localSheetId="1" hidden="1">0.1</definedName>
    <definedName name="solver_rhs12" localSheetId="5" hidden="1">0.1</definedName>
    <definedName name="solver_rhs12" localSheetId="0" hidden="1">0.1</definedName>
    <definedName name="solver_rhs13" localSheetId="1" hidden="1">0.1</definedName>
    <definedName name="solver_rhs13" localSheetId="5" hidden="1">0.1</definedName>
    <definedName name="solver_rhs13" localSheetId="0" hidden="1">0.1</definedName>
    <definedName name="solver_rhs14" localSheetId="1" hidden="1">0.1</definedName>
    <definedName name="solver_rhs14" localSheetId="5" hidden="1">0.1</definedName>
    <definedName name="solver_rhs14" localSheetId="0" hidden="1">0.1</definedName>
    <definedName name="solver_rhs15" localSheetId="1" hidden="1">0.1</definedName>
    <definedName name="solver_rhs15" localSheetId="5" hidden="1">0.1</definedName>
    <definedName name="solver_rhs15" localSheetId="0" hidden="1">0.1</definedName>
    <definedName name="solver_rhs16" localSheetId="1" hidden="1">0.1</definedName>
    <definedName name="solver_rhs16" localSheetId="5" hidden="1">0.1</definedName>
    <definedName name="solver_rhs16" localSheetId="0" hidden="1">0.1</definedName>
    <definedName name="solver_rhs17" localSheetId="1" hidden="1">0.1</definedName>
    <definedName name="solver_rhs17" localSheetId="5" hidden="1">0.1</definedName>
    <definedName name="solver_rhs17" localSheetId="0" hidden="1">0.1</definedName>
    <definedName name="solver_rhs18" localSheetId="1" hidden="1">0.1</definedName>
    <definedName name="solver_rhs18" localSheetId="5" hidden="1">0.1</definedName>
    <definedName name="solver_rhs18" localSheetId="0" hidden="1">0.1</definedName>
    <definedName name="solver_rhs19" localSheetId="1" hidden="1">0.1</definedName>
    <definedName name="solver_rhs19" localSheetId="5" hidden="1">0.1</definedName>
    <definedName name="solver_rhs19" localSheetId="0" hidden="1">0.1</definedName>
    <definedName name="solver_rhs2" localSheetId="1" hidden="1">0</definedName>
    <definedName name="solver_rhs2" localSheetId="5" hidden="1">0</definedName>
    <definedName name="solver_rhs2" localSheetId="0" hidden="1">0</definedName>
    <definedName name="solver_rhs20" localSheetId="1" hidden="1">0.04</definedName>
    <definedName name="solver_rhs20" localSheetId="5" hidden="1">0.04</definedName>
    <definedName name="solver_rhs20" localSheetId="0" hidden="1">0.04</definedName>
    <definedName name="solver_rhs3" localSheetId="1" hidden="1">0</definedName>
    <definedName name="solver_rhs3" localSheetId="5" hidden="1">0</definedName>
    <definedName name="solver_rhs3" localSheetId="0" hidden="1">1000</definedName>
    <definedName name="solver_rhs4" localSheetId="1" hidden="1">0</definedName>
    <definedName name="solver_rhs4" localSheetId="5" hidden="1">0</definedName>
    <definedName name="solver_rhs4" localSheetId="0" hidden="1">0</definedName>
    <definedName name="solver_rhs5" localSheetId="1" hidden="1">0</definedName>
    <definedName name="solver_rhs5" localSheetId="5" hidden="1">0</definedName>
    <definedName name="solver_rhs5" localSheetId="0" hidden="1">0</definedName>
    <definedName name="solver_rhs6" localSheetId="1" hidden="1">0.1</definedName>
    <definedName name="solver_rhs6" localSheetId="5" hidden="1">0.1</definedName>
    <definedName name="solver_rhs6" localSheetId="0" hidden="1">0.1</definedName>
    <definedName name="solver_rhs7" localSheetId="1" hidden="1">0.1</definedName>
    <definedName name="solver_rhs7" localSheetId="5" hidden="1">0.1</definedName>
    <definedName name="solver_rhs7" localSheetId="0" hidden="1">0.1</definedName>
    <definedName name="solver_rhs8" localSheetId="1" hidden="1">0.1</definedName>
    <definedName name="solver_rhs8" localSheetId="5" hidden="1">0.1</definedName>
    <definedName name="solver_rhs8" localSheetId="0" hidden="1">0.1</definedName>
    <definedName name="solver_rhs9" localSheetId="1" hidden="1">0.1</definedName>
    <definedName name="solver_rhs9" localSheetId="5" hidden="1">0.1</definedName>
    <definedName name="solver_rhs9" localSheetId="0" hidden="1">0.1</definedName>
    <definedName name="solver_rlx" localSheetId="1" hidden="1">2</definedName>
    <definedName name="solver_rlx" localSheetId="5" hidden="1">2</definedName>
    <definedName name="solver_rlx" localSheetId="0" hidden="1">2</definedName>
    <definedName name="solver_rsd" localSheetId="1" hidden="1">0</definedName>
    <definedName name="solver_rsd" localSheetId="5" hidden="1">0</definedName>
    <definedName name="solver_rsd" localSheetId="0" hidden="1">0</definedName>
    <definedName name="solver_scl" localSheetId="1" hidden="1">1</definedName>
    <definedName name="solver_scl" localSheetId="5" hidden="1">1</definedName>
    <definedName name="solver_scl" localSheetId="0" hidden="1">1</definedName>
    <definedName name="solver_sho" localSheetId="1" hidden="1">2</definedName>
    <definedName name="solver_sho" localSheetId="5" hidden="1">2</definedName>
    <definedName name="solver_sho" localSheetId="0" hidden="1">2</definedName>
    <definedName name="solver_ssz" localSheetId="1" hidden="1">100</definedName>
    <definedName name="solver_ssz" localSheetId="5" hidden="1">100</definedName>
    <definedName name="solver_ssz" localSheetId="0" hidden="1">100</definedName>
    <definedName name="solver_tim" localSheetId="1" hidden="1">2147483647</definedName>
    <definedName name="solver_tim" localSheetId="5" hidden="1">2147483647</definedName>
    <definedName name="solver_tim" localSheetId="0" hidden="1">2147483647</definedName>
    <definedName name="solver_tol" localSheetId="1" hidden="1">0.01</definedName>
    <definedName name="solver_tol" localSheetId="5" hidden="1">0.01</definedName>
    <definedName name="solver_tol" localSheetId="0" hidden="1">0.01</definedName>
    <definedName name="solver_typ" localSheetId="1" hidden="1">1</definedName>
    <definedName name="solver_typ" localSheetId="5" hidden="1">1</definedName>
    <definedName name="solver_typ" localSheetId="0" hidden="1">2</definedName>
    <definedName name="solver_val" localSheetId="1" hidden="1">0</definedName>
    <definedName name="solver_val" localSheetId="5" hidden="1">0</definedName>
    <definedName name="solver_val" localSheetId="0" hidden="1">0</definedName>
    <definedName name="solver_ver" localSheetId="1" hidden="1">3</definedName>
    <definedName name="solver_ver" localSheetId="5" hidden="1">3</definedName>
    <definedName name="solver_ver" localSheetId="0" hidden="1">3</definedName>
    <definedName name="Sum_of_Errors" localSheetId="1">'Arrieta''s Prony Response'!$L$49</definedName>
    <definedName name="Sum_of_Errors" localSheetId="5">'Calibrate from Abaqus'!$L$49</definedName>
    <definedName name="Sum_of_Errors">'Initial Guess'!$L$49</definedName>
    <definedName name="Sum_of_Gs" localSheetId="1">'Arrieta''s Prony Response'!$C$25</definedName>
    <definedName name="Sum_of_Gs" localSheetId="5">'Calibrate from Abaqus'!$C$20</definedName>
    <definedName name="Sum_of_Gs">'Initial Guess'!$C$20</definedName>
    <definedName name="Tau" localSheetId="1">'Arrieta''s Prony Response'!$D$4:$D$23</definedName>
    <definedName name="Tau" localSheetId="5">'Calibrate from Abaqus'!$D$4:$D$13</definedName>
    <definedName name="Tau">'Initial Guess'!$D$4:$D$18</definedName>
    <definedName name="x_1">'Initial Guess'!$B$4</definedName>
    <definedName name="x_10">'Initial Guess'!$B$13</definedName>
    <definedName name="x_11">'Initial Guess'!$B$14</definedName>
    <definedName name="x_12">'Initial Guess'!$B$15</definedName>
    <definedName name="x_13">'Initial Guess'!$B$16</definedName>
    <definedName name="x_14">'Initial Guess'!$B$17</definedName>
    <definedName name="x_15">'Initial Guess'!$B$18</definedName>
    <definedName name="x_2">'Initial Guess'!$B$5</definedName>
    <definedName name="x_3">'Initial Guess'!$B$6</definedName>
    <definedName name="x_4">'Initial Guess'!$B$7</definedName>
    <definedName name="x_5">'Initial Guess'!$B$8</definedName>
    <definedName name="x_6">'Initial Guess'!$B$9</definedName>
    <definedName name="x_7">'Initial Guess'!$B$10</definedName>
    <definedName name="x_8">'Initial Guess'!$B$11</definedName>
    <definedName name="x_9">'Initial Guess'!$B$12</definedName>
  </definedNames>
  <calcPr calcId="145621"/>
</workbook>
</file>

<file path=xl/calcChain.xml><?xml version="1.0" encoding="utf-8"?>
<calcChain xmlns="http://schemas.openxmlformats.org/spreadsheetml/2006/main">
  <c r="Q4" i="15" l="1" a="1"/>
  <c r="Q4" i="15"/>
  <c r="Q18" i="17" a="1"/>
  <c r="Q18" i="17" s="1"/>
  <c r="Q17" i="17" a="1"/>
  <c r="Q17" i="17" s="1"/>
  <c r="Q16" i="17" a="1"/>
  <c r="Q16" i="17" s="1"/>
  <c r="Q15" i="17" a="1"/>
  <c r="Q15" i="17" s="1"/>
  <c r="Q14" i="17" a="1"/>
  <c r="Q14" i="17" s="1"/>
  <c r="Q13" i="17" a="1"/>
  <c r="Q13" i="17" s="1"/>
  <c r="Q12" i="17" a="1"/>
  <c r="Q12" i="17" s="1"/>
  <c r="Q11" i="17" a="1"/>
  <c r="Q11" i="17" s="1"/>
  <c r="Q10" i="17" a="1"/>
  <c r="Q10" i="17" s="1"/>
  <c r="Q9" i="17" a="1"/>
  <c r="Q9" i="17" s="1"/>
  <c r="Q8" i="17" a="1"/>
  <c r="Q8" i="17" s="1"/>
  <c r="Q7" i="17" a="1"/>
  <c r="Q7" i="17" s="1"/>
  <c r="Q6" i="17" a="1"/>
  <c r="Q6" i="17" s="1"/>
  <c r="Q5" i="17" a="1"/>
  <c r="Q5" i="17" s="1"/>
  <c r="Q4" i="17" a="1"/>
  <c r="Q4" i="17" s="1"/>
  <c r="C25" i="17"/>
  <c r="E45" i="17"/>
  <c r="K45" i="17" s="1" a="1"/>
  <c r="K45" i="17" s="1"/>
  <c r="E44" i="17"/>
  <c r="K44" i="17" s="1" a="1"/>
  <c r="K44" i="17" s="1"/>
  <c r="E43" i="17"/>
  <c r="K43" i="17" s="1" a="1"/>
  <c r="K43" i="17" s="1"/>
  <c r="E42" i="17"/>
  <c r="E41" i="17"/>
  <c r="K41" i="17" s="1" a="1"/>
  <c r="K41" i="17" s="1"/>
  <c r="E40" i="17"/>
  <c r="K40" i="17" s="1" a="1"/>
  <c r="K40" i="17" s="1"/>
  <c r="E39" i="17"/>
  <c r="E38" i="17"/>
  <c r="K38" i="17" s="1" a="1"/>
  <c r="K38" i="17" s="1"/>
  <c r="E37" i="17"/>
  <c r="K37" i="17" s="1" a="1"/>
  <c r="K37" i="17" s="1"/>
  <c r="E36" i="17"/>
  <c r="K36" i="17" s="1" a="1"/>
  <c r="K36" i="17" s="1"/>
  <c r="E35" i="17"/>
  <c r="E34" i="17"/>
  <c r="K34" i="17" s="1" a="1"/>
  <c r="K34" i="17" s="1"/>
  <c r="E33" i="17"/>
  <c r="K33" i="17" s="1" a="1"/>
  <c r="K33" i="17" s="1"/>
  <c r="E32" i="17"/>
  <c r="K32" i="17" s="1" a="1"/>
  <c r="K32" i="17" s="1"/>
  <c r="E31" i="17"/>
  <c r="K31" i="17" s="1" a="1"/>
  <c r="K31" i="17" s="1"/>
  <c r="E30" i="17"/>
  <c r="K30" i="17" s="1" a="1"/>
  <c r="K30" i="17" s="1"/>
  <c r="E29" i="17"/>
  <c r="K29" i="17" s="1" a="1"/>
  <c r="K29" i="17" s="1"/>
  <c r="E28" i="17"/>
  <c r="K28" i="17" s="1" a="1"/>
  <c r="K28" i="17" s="1"/>
  <c r="E27" i="17"/>
  <c r="E26" i="17"/>
  <c r="K26" i="17" s="1" a="1"/>
  <c r="K26" i="17" s="1"/>
  <c r="E25" i="17"/>
  <c r="K25" i="17" s="1" a="1"/>
  <c r="K25" i="17" s="1"/>
  <c r="D30" i="17"/>
  <c r="E24" i="17"/>
  <c r="K24" i="17" s="1" a="1"/>
  <c r="K24" i="17" s="1"/>
  <c r="E23" i="17"/>
  <c r="E22" i="17"/>
  <c r="K22" i="17" s="1" a="1"/>
  <c r="K22" i="17" s="1"/>
  <c r="E21" i="17"/>
  <c r="K21" i="17" s="1" a="1"/>
  <c r="K21" i="17" s="1"/>
  <c r="E20" i="17"/>
  <c r="K20" i="17" s="1" a="1"/>
  <c r="K20" i="17" s="1"/>
  <c r="E19" i="17"/>
  <c r="K19" i="17" s="1" a="1"/>
  <c r="K19" i="17" s="1"/>
  <c r="E18" i="17"/>
  <c r="K18" i="17" s="1" a="1"/>
  <c r="K18" i="17" s="1"/>
  <c r="E17" i="17"/>
  <c r="E16" i="17"/>
  <c r="E15" i="17"/>
  <c r="E14" i="17"/>
  <c r="K14" i="17" s="1" a="1"/>
  <c r="K14" i="17" s="1"/>
  <c r="E13" i="17"/>
  <c r="K13" i="17" s="1" a="1"/>
  <c r="K13" i="17" s="1"/>
  <c r="E12" i="17"/>
  <c r="E11" i="17"/>
  <c r="K11" i="17" s="1" a="1"/>
  <c r="K11" i="17" s="1"/>
  <c r="E10" i="17"/>
  <c r="E9" i="17"/>
  <c r="K9" i="17" s="1" a="1"/>
  <c r="K9" i="17" s="1"/>
  <c r="E8" i="17"/>
  <c r="E7" i="17"/>
  <c r="E6" i="17"/>
  <c r="K6" i="17" s="1" a="1"/>
  <c r="K6" i="17" s="1"/>
  <c r="E5" i="17"/>
  <c r="E4" i="17"/>
  <c r="H34" i="13"/>
  <c r="J22" i="17" l="1" a="1"/>
  <c r="J22" i="17" s="1"/>
  <c r="L22" i="17" s="1"/>
  <c r="J7" i="17" a="1"/>
  <c r="J7" i="17" s="1"/>
  <c r="L7" i="17" s="1"/>
  <c r="J15" i="17" a="1"/>
  <c r="J15" i="17" s="1"/>
  <c r="L15" i="17" s="1"/>
  <c r="J4" i="17" a="1"/>
  <c r="J4" i="17" s="1"/>
  <c r="J12" i="17" a="1"/>
  <c r="J12" i="17" s="1"/>
  <c r="L12" i="17" s="1"/>
  <c r="J42" i="17" a="1"/>
  <c r="J42" i="17" s="1"/>
  <c r="L42" i="17" s="1"/>
  <c r="J27" i="17" a="1"/>
  <c r="J27" i="17" s="1"/>
  <c r="L27" i="17" s="1"/>
  <c r="J16" i="17" a="1"/>
  <c r="J16" i="17" s="1"/>
  <c r="L16" i="17" s="1"/>
  <c r="J5" i="17" a="1"/>
  <c r="J5" i="17" s="1"/>
  <c r="J17" i="17" a="1"/>
  <c r="J17" i="17" s="1"/>
  <c r="L17" i="17" s="1"/>
  <c r="J8" i="17" a="1"/>
  <c r="J8" i="17" s="1"/>
  <c r="L8" i="17" s="1"/>
  <c r="J35" i="17" a="1"/>
  <c r="J35" i="17" s="1"/>
  <c r="L35" i="17" s="1"/>
  <c r="J10" i="17" a="1"/>
  <c r="J10" i="17" s="1"/>
  <c r="L10" i="17" s="1"/>
  <c r="J18" i="17" a="1"/>
  <c r="J18" i="17" s="1"/>
  <c r="L18" i="17" s="1"/>
  <c r="J23" i="17" a="1"/>
  <c r="J23" i="17" s="1"/>
  <c r="L23" i="17" s="1"/>
  <c r="J45" i="17" a="1"/>
  <c r="J45" i="17" s="1"/>
  <c r="AA45" i="17" s="1"/>
  <c r="K8" i="17" a="1"/>
  <c r="K8" i="17" s="1"/>
  <c r="M8" i="17" s="1"/>
  <c r="K10" i="17" a="1"/>
  <c r="K10" i="17" s="1"/>
  <c r="J20" i="17" a="1"/>
  <c r="J20" i="17" s="1"/>
  <c r="L20" i="17" s="1"/>
  <c r="K23" i="17" a="1"/>
  <c r="K23" i="17" s="1"/>
  <c r="J19" i="17" a="1"/>
  <c r="J19" i="17" s="1"/>
  <c r="L19" i="17" s="1"/>
  <c r="K16" i="17" a="1"/>
  <c r="K16" i="17" s="1"/>
  <c r="J21" i="17" a="1"/>
  <c r="J21" i="17" s="1"/>
  <c r="L21" i="17" s="1"/>
  <c r="K7" i="17" a="1"/>
  <c r="K7" i="17" s="1"/>
  <c r="AA7" i="17" s="1"/>
  <c r="K15" i="17" a="1"/>
  <c r="K15" i="17" s="1"/>
  <c r="M15" i="17" s="1"/>
  <c r="J24" i="17" a="1"/>
  <c r="J24" i="17" s="1"/>
  <c r="L24" i="17" s="1"/>
  <c r="K17" i="17" a="1"/>
  <c r="K17" i="17" s="1"/>
  <c r="M17" i="17" s="1"/>
  <c r="J39" i="17" a="1"/>
  <c r="J39" i="17" s="1"/>
  <c r="L39" i="17" s="1"/>
  <c r="K4" i="17" a="1"/>
  <c r="K4" i="17" s="1"/>
  <c r="J9" i="17" a="1"/>
  <c r="J9" i="17" s="1"/>
  <c r="L9" i="17" s="1"/>
  <c r="K5" i="17" a="1"/>
  <c r="K5" i="17" s="1"/>
  <c r="M13" i="17"/>
  <c r="AA22" i="17"/>
  <c r="M22" i="17"/>
  <c r="M25" i="17"/>
  <c r="M33" i="17"/>
  <c r="M41" i="17"/>
  <c r="M14" i="17"/>
  <c r="M18" i="17"/>
  <c r="M20" i="17"/>
  <c r="M11" i="17"/>
  <c r="M30" i="17"/>
  <c r="M26" i="17"/>
  <c r="M6" i="17"/>
  <c r="M36" i="17"/>
  <c r="M37" i="17"/>
  <c r="M9" i="17"/>
  <c r="M31" i="17"/>
  <c r="M34" i="17"/>
  <c r="M43" i="17"/>
  <c r="M28" i="17"/>
  <c r="M29" i="17"/>
  <c r="M21" i="17"/>
  <c r="M38" i="17"/>
  <c r="M19" i="17"/>
  <c r="M24" i="17"/>
  <c r="M32" i="17"/>
  <c r="M40" i="17"/>
  <c r="J25" i="17" a="1"/>
  <c r="J25" i="17" s="1"/>
  <c r="L25" i="17" s="1"/>
  <c r="J29" i="17" a="1"/>
  <c r="J29" i="17" s="1"/>
  <c r="L29" i="17" s="1"/>
  <c r="J33" i="17" a="1"/>
  <c r="J33" i="17" s="1"/>
  <c r="L33" i="17" s="1"/>
  <c r="J28" i="17" a="1"/>
  <c r="J28" i="17" s="1"/>
  <c r="L28" i="17" s="1"/>
  <c r="J32" i="17" a="1"/>
  <c r="J32" i="17" s="1"/>
  <c r="L32" i="17" s="1"/>
  <c r="J36" i="17" a="1"/>
  <c r="J36" i="17" s="1"/>
  <c r="L36" i="17" s="1"/>
  <c r="J38" i="17" a="1"/>
  <c r="J38" i="17" s="1"/>
  <c r="L38" i="17" s="1"/>
  <c r="J41" i="17" a="1"/>
  <c r="J41" i="17" s="1"/>
  <c r="L41" i="17" s="1"/>
  <c r="J43" i="17" a="1"/>
  <c r="J43" i="17" s="1"/>
  <c r="L43" i="17" s="1"/>
  <c r="J13" i="17" a="1"/>
  <c r="J13" i="17" s="1"/>
  <c r="L13" i="17" s="1"/>
  <c r="K35" i="17" a="1"/>
  <c r="K35" i="17" s="1"/>
  <c r="K42" i="17" a="1"/>
  <c r="K42" i="17" s="1"/>
  <c r="J14" i="17" a="1"/>
  <c r="J14" i="17" s="1"/>
  <c r="L14" i="17" s="1"/>
  <c r="J26" i="17" a="1"/>
  <c r="J26" i="17" s="1"/>
  <c r="L26" i="17" s="1"/>
  <c r="J30" i="17" a="1"/>
  <c r="J30" i="17" s="1"/>
  <c r="L30" i="17" s="1"/>
  <c r="J34" i="17" a="1"/>
  <c r="J34" i="17" s="1"/>
  <c r="L34" i="17" s="1"/>
  <c r="J37" i="17" a="1"/>
  <c r="J37" i="17" s="1"/>
  <c r="L37" i="17" s="1"/>
  <c r="J40" i="17" a="1"/>
  <c r="J40" i="17" s="1"/>
  <c r="L40" i="17" s="1"/>
  <c r="K27" i="17" a="1"/>
  <c r="K27" i="17" s="1"/>
  <c r="K39" i="17" a="1"/>
  <c r="K39" i="17" s="1"/>
  <c r="K12" i="17" a="1"/>
  <c r="K12" i="17" s="1"/>
  <c r="J11" i="17" a="1"/>
  <c r="J11" i="17" s="1"/>
  <c r="L11" i="17" s="1"/>
  <c r="J31" i="17" a="1"/>
  <c r="J31" i="17" s="1"/>
  <c r="L31" i="17" s="1"/>
  <c r="J44" i="17" a="1"/>
  <c r="J44" i="17" s="1"/>
  <c r="AA44" i="17" s="1"/>
  <c r="J6" i="17" a="1"/>
  <c r="J6" i="17" s="1"/>
  <c r="L6" i="17" s="1"/>
  <c r="Q18" i="15" a="1"/>
  <c r="Q18" i="15" s="1"/>
  <c r="Q17" i="15" a="1"/>
  <c r="Q17" i="15" s="1"/>
  <c r="Q16" i="15" a="1"/>
  <c r="Q16" i="15" s="1"/>
  <c r="Q15" i="15" a="1"/>
  <c r="Q15" i="15" s="1"/>
  <c r="Q14" i="15" a="1"/>
  <c r="Q14" i="15" s="1"/>
  <c r="Q13" i="15" a="1"/>
  <c r="Q13" i="15" s="1"/>
  <c r="Q12" i="15" a="1"/>
  <c r="Q12" i="15" s="1"/>
  <c r="Q11" i="15" a="1"/>
  <c r="Q11" i="15" s="1"/>
  <c r="Q10" i="15" a="1"/>
  <c r="Q10" i="15" s="1"/>
  <c r="Q9" i="15" a="1"/>
  <c r="Q9" i="15" s="1"/>
  <c r="Q8" i="15" a="1"/>
  <c r="Q8" i="15" s="1"/>
  <c r="Q7" i="15" a="1"/>
  <c r="Q7" i="15" s="1"/>
  <c r="Q6" i="15" a="1"/>
  <c r="Q6" i="15" s="1"/>
  <c r="Q5" i="15" a="1"/>
  <c r="Q5" i="15" s="1"/>
  <c r="AA4" i="17" l="1"/>
  <c r="AA10" i="17"/>
  <c r="AA32" i="17"/>
  <c r="M10" i="17"/>
  <c r="AA20" i="17"/>
  <c r="AA24" i="17"/>
  <c r="AA14" i="17"/>
  <c r="AA8" i="17"/>
  <c r="AA15" i="17"/>
  <c r="AA17" i="17"/>
  <c r="AA13" i="17"/>
  <c r="AA5" i="17"/>
  <c r="AA16" i="17"/>
  <c r="AA34" i="17"/>
  <c r="AA23" i="17"/>
  <c r="AA18" i="17"/>
  <c r="AA38" i="17"/>
  <c r="M7" i="17"/>
  <c r="AA9" i="17"/>
  <c r="AA6" i="17"/>
  <c r="M23" i="17"/>
  <c r="AA41" i="17"/>
  <c r="M16" i="17"/>
  <c r="AA30" i="17"/>
  <c r="AA21" i="17"/>
  <c r="AA19" i="17"/>
  <c r="AA26" i="17"/>
  <c r="AA43" i="17"/>
  <c r="AA37" i="17"/>
  <c r="M27" i="17"/>
  <c r="AA27" i="17"/>
  <c r="M35" i="17"/>
  <c r="AA35" i="17"/>
  <c r="AA12" i="17"/>
  <c r="M12" i="17"/>
  <c r="AA36" i="17"/>
  <c r="AA33" i="17"/>
  <c r="AA29" i="17"/>
  <c r="AA31" i="17"/>
  <c r="M42" i="17"/>
  <c r="AA42" i="17"/>
  <c r="L47" i="17"/>
  <c r="AA11" i="17"/>
  <c r="AA25" i="17"/>
  <c r="M39" i="17"/>
  <c r="AA39" i="17"/>
  <c r="AA40" i="17"/>
  <c r="AA28" i="17"/>
  <c r="M47" i="17" l="1"/>
  <c r="L49" i="17" s="1"/>
  <c r="E45" i="15" l="1"/>
  <c r="E44" i="15"/>
  <c r="E43" i="15"/>
  <c r="E42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D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45" i="10" l="1"/>
  <c r="E44" i="10"/>
  <c r="E43" i="10"/>
  <c r="E42" i="10"/>
  <c r="E41" i="10"/>
  <c r="E40" i="10"/>
  <c r="E39" i="10"/>
  <c r="E38" i="10"/>
  <c r="E37" i="10"/>
  <c r="E36" i="10"/>
  <c r="E35" i="10"/>
  <c r="E34" i="10"/>
  <c r="W39" i="12" l="1"/>
  <c r="V39" i="12"/>
  <c r="W38" i="12"/>
  <c r="V38" i="12"/>
  <c r="W37" i="12"/>
  <c r="V37" i="12"/>
  <c r="W36" i="12"/>
  <c r="V36" i="12"/>
  <c r="W35" i="12"/>
  <c r="V35" i="12"/>
  <c r="W34" i="12"/>
  <c r="V34" i="12"/>
  <c r="W33" i="12"/>
  <c r="V33" i="12"/>
  <c r="W32" i="12"/>
  <c r="V32" i="12"/>
  <c r="W31" i="12"/>
  <c r="V31" i="12"/>
  <c r="W30" i="12"/>
  <c r="V30" i="12"/>
  <c r="W29" i="12"/>
  <c r="V29" i="12"/>
  <c r="W28" i="12"/>
  <c r="V28" i="12"/>
  <c r="W27" i="12"/>
  <c r="V27" i="12"/>
  <c r="W26" i="12"/>
  <c r="V26" i="12"/>
  <c r="W25" i="12"/>
  <c r="V25" i="12"/>
  <c r="W24" i="12"/>
  <c r="V24" i="12"/>
  <c r="W23" i="12"/>
  <c r="V23" i="12"/>
  <c r="W22" i="12"/>
  <c r="V22" i="12"/>
  <c r="W21" i="12"/>
  <c r="V21" i="12"/>
  <c r="W20" i="12"/>
  <c r="V20" i="12"/>
  <c r="W19" i="12"/>
  <c r="V19" i="12"/>
  <c r="W18" i="12"/>
  <c r="V18" i="12"/>
  <c r="W17" i="12"/>
  <c r="V17" i="12"/>
  <c r="W16" i="12"/>
  <c r="V16" i="12"/>
  <c r="W15" i="12"/>
  <c r="V15" i="12"/>
  <c r="W14" i="12"/>
  <c r="V14" i="12"/>
  <c r="W13" i="12"/>
  <c r="V13" i="12"/>
  <c r="W12" i="12"/>
  <c r="V12" i="12"/>
  <c r="W11" i="12"/>
  <c r="V11" i="12"/>
  <c r="W10" i="12"/>
  <c r="V10" i="12"/>
  <c r="W9" i="12"/>
  <c r="V9" i="12"/>
  <c r="W8" i="12"/>
  <c r="V8" i="12"/>
  <c r="W7" i="12"/>
  <c r="V7" i="12"/>
  <c r="W6" i="12"/>
  <c r="V6" i="12"/>
  <c r="W5" i="12"/>
  <c r="V5" i="12"/>
  <c r="W4" i="12"/>
  <c r="V4" i="12"/>
  <c r="W3" i="12"/>
  <c r="V3" i="12"/>
  <c r="Z39" i="12"/>
  <c r="Z38" i="12"/>
  <c r="Z37" i="12"/>
  <c r="Z36" i="12"/>
  <c r="Z35" i="12"/>
  <c r="Z34" i="12"/>
  <c r="Z33" i="12"/>
  <c r="Z32" i="12"/>
  <c r="Z31" i="12"/>
  <c r="Z30" i="12"/>
  <c r="Z29" i="12"/>
  <c r="Z28" i="12"/>
  <c r="Z27" i="12"/>
  <c r="Z26" i="12"/>
  <c r="Z25" i="12"/>
  <c r="Z24" i="12"/>
  <c r="Z23" i="12"/>
  <c r="Z22" i="12"/>
  <c r="Z21" i="12"/>
  <c r="Z20" i="12"/>
  <c r="Z19" i="12"/>
  <c r="Z18" i="12"/>
  <c r="Z17" i="12"/>
  <c r="Z16" i="12"/>
  <c r="Z15" i="12"/>
  <c r="Z14" i="12"/>
  <c r="Z13" i="12"/>
  <c r="Z12" i="12"/>
  <c r="Z11" i="12"/>
  <c r="Z10" i="12"/>
  <c r="Z9" i="12"/>
  <c r="Z8" i="12"/>
  <c r="Z7" i="12"/>
  <c r="Z6" i="12"/>
  <c r="Z5" i="12"/>
  <c r="Z4" i="12"/>
  <c r="Z3" i="12"/>
  <c r="Z2" i="12"/>
  <c r="W2" i="12"/>
  <c r="V2" i="12"/>
  <c r="E39" i="12" l="1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2" i="12"/>
  <c r="C4" i="10" l="1"/>
  <c r="D25" i="10"/>
  <c r="E33" i="10"/>
  <c r="E32" i="10"/>
  <c r="C5" i="10" l="1"/>
  <c r="E5" i="10"/>
  <c r="E4" i="10"/>
  <c r="C6" i="10" l="1"/>
  <c r="C20" i="15" l="1"/>
  <c r="J4" i="15" s="1" a="1"/>
  <c r="J4" i="15" s="1"/>
  <c r="C7" i="10"/>
  <c r="J15" i="15" l="1" a="1"/>
  <c r="J11" i="15" a="1"/>
  <c r="J43" i="15" a="1"/>
  <c r="J39" i="15" a="1"/>
  <c r="J38" i="15" a="1"/>
  <c r="J37" i="15" a="1"/>
  <c r="J35" i="15" a="1"/>
  <c r="J31" i="15" a="1"/>
  <c r="J30" i="15" a="1"/>
  <c r="J29" i="15" a="1"/>
  <c r="J27" i="15" a="1"/>
  <c r="J23" i="15" a="1"/>
  <c r="J22" i="15" a="1"/>
  <c r="J21" i="15" a="1"/>
  <c r="J14" i="15" a="1"/>
  <c r="J45" i="15" a="1"/>
  <c r="J19" i="15" a="1"/>
  <c r="J17" i="15" a="1"/>
  <c r="J12" i="15" a="1"/>
  <c r="J7" i="15" a="1"/>
  <c r="J16" i="15" a="1"/>
  <c r="C8" i="10"/>
  <c r="J16" i="15" l="1"/>
  <c r="L16" i="15" s="1"/>
  <c r="J22" i="15"/>
  <c r="L22" i="15" s="1"/>
  <c r="J31" i="15"/>
  <c r="L31" i="15" s="1"/>
  <c r="J14" i="15"/>
  <c r="L14" i="15" s="1"/>
  <c r="J37" i="15"/>
  <c r="L37" i="15" s="1"/>
  <c r="J12" i="15"/>
  <c r="L12" i="15" s="1"/>
  <c r="J27" i="15"/>
  <c r="L27" i="15" s="1"/>
  <c r="J35" i="15"/>
  <c r="L35" i="15" s="1"/>
  <c r="J7" i="15"/>
  <c r="L7" i="15" s="1"/>
  <c r="J23" i="15"/>
  <c r="L23" i="15" s="1"/>
  <c r="J17" i="15"/>
  <c r="L17" i="15" s="1"/>
  <c r="J19" i="15"/>
  <c r="L19" i="15" s="1"/>
  <c r="J11" i="15"/>
  <c r="L11" i="15" s="1"/>
  <c r="J21" i="15"/>
  <c r="L21" i="15" s="1"/>
  <c r="J38" i="15"/>
  <c r="L38" i="15" s="1"/>
  <c r="J39" i="15"/>
  <c r="L39" i="15" s="1"/>
  <c r="J43" i="15"/>
  <c r="L43" i="15" s="1"/>
  <c r="J29" i="15"/>
  <c r="L29" i="15" s="1"/>
  <c r="J45" i="15"/>
  <c r="J30" i="15"/>
  <c r="L30" i="15" s="1"/>
  <c r="J15" i="15"/>
  <c r="L15" i="15" s="1"/>
  <c r="K15" i="15" a="1"/>
  <c r="K15" i="15" s="1"/>
  <c r="K30" i="15" a="1"/>
  <c r="K30" i="15" s="1"/>
  <c r="K35" i="15" a="1"/>
  <c r="K35" i="15" s="1"/>
  <c r="K12" i="15" a="1"/>
  <c r="K12" i="15" s="1"/>
  <c r="K8" i="15" a="1"/>
  <c r="K8" i="15" s="1"/>
  <c r="K13" i="15" a="1"/>
  <c r="K13" i="15" s="1"/>
  <c r="K16" i="15" a="1"/>
  <c r="K16" i="15" s="1"/>
  <c r="K24" i="15" a="1"/>
  <c r="K24" i="15" s="1"/>
  <c r="K43" i="15" a="1"/>
  <c r="K43" i="15" s="1"/>
  <c r="K14" i="15" a="1"/>
  <c r="K14" i="15" s="1"/>
  <c r="K31" i="15" a="1"/>
  <c r="K31" i="15" s="1"/>
  <c r="K37" i="15" a="1"/>
  <c r="K37" i="15" s="1"/>
  <c r="K28" i="15" a="1"/>
  <c r="K28" i="15" s="1"/>
  <c r="K5" i="15" a="1"/>
  <c r="K5" i="15" s="1"/>
  <c r="K40" i="15" a="1"/>
  <c r="K40" i="15" s="1"/>
  <c r="K23" i="15" a="1"/>
  <c r="K23" i="15" s="1"/>
  <c r="K22" i="15" a="1"/>
  <c r="K22" i="15" s="1"/>
  <c r="K9" i="15" a="1"/>
  <c r="K9" i="15" s="1"/>
  <c r="K27" i="15" a="1"/>
  <c r="K27" i="15" s="1"/>
  <c r="K20" i="15" a="1"/>
  <c r="K20" i="15" s="1"/>
  <c r="K7" i="15" a="1"/>
  <c r="K7" i="15" s="1"/>
  <c r="K44" i="15" a="1"/>
  <c r="K44" i="15" s="1"/>
  <c r="K17" i="15" a="1"/>
  <c r="K17" i="15" s="1"/>
  <c r="K6" i="15" a="1"/>
  <c r="K6" i="15" s="1"/>
  <c r="K45" i="15" a="1"/>
  <c r="K45" i="15" s="1"/>
  <c r="K41" i="15" a="1"/>
  <c r="K41" i="15" s="1"/>
  <c r="K10" i="15" a="1"/>
  <c r="K10" i="15" s="1"/>
  <c r="K38" i="15" a="1"/>
  <c r="K38" i="15" s="1"/>
  <c r="K42" i="15" a="1"/>
  <c r="K42" i="15" s="1"/>
  <c r="K29" i="15" a="1"/>
  <c r="K29" i="15" s="1"/>
  <c r="K34" i="15" a="1"/>
  <c r="K34" i="15" s="1"/>
  <c r="K19" i="15" a="1"/>
  <c r="K19" i="15" s="1"/>
  <c r="K21" i="15" a="1"/>
  <c r="K21" i="15" s="1"/>
  <c r="K36" i="15" a="1"/>
  <c r="K36" i="15" s="1"/>
  <c r="K4" i="15" a="1"/>
  <c r="K4" i="15" s="1"/>
  <c r="AA4" i="15" s="1"/>
  <c r="K11" i="15" a="1"/>
  <c r="K11" i="15" s="1"/>
  <c r="K33" i="15" a="1"/>
  <c r="K33" i="15" s="1"/>
  <c r="K26" i="15" a="1"/>
  <c r="K26" i="15" s="1"/>
  <c r="K32" i="15" a="1"/>
  <c r="K32" i="15" s="1"/>
  <c r="K25" i="15" a="1"/>
  <c r="K25" i="15" s="1"/>
  <c r="K39" i="15" a="1"/>
  <c r="K39" i="15" s="1"/>
  <c r="K18" i="15" a="1"/>
  <c r="K18" i="15" s="1"/>
  <c r="J18" i="15" a="1"/>
  <c r="J18" i="15" s="1"/>
  <c r="L18" i="15" s="1"/>
  <c r="J20" i="15" a="1"/>
  <c r="J20" i="15" s="1"/>
  <c r="L20" i="15" s="1"/>
  <c r="J28" i="15" a="1"/>
  <c r="J28" i="15" s="1"/>
  <c r="L28" i="15" s="1"/>
  <c r="J36" i="15" a="1"/>
  <c r="J36" i="15" s="1"/>
  <c r="L36" i="15" s="1"/>
  <c r="J44" i="15" a="1"/>
  <c r="J44" i="15" s="1"/>
  <c r="J5" i="15" a="1"/>
  <c r="J5" i="15" s="1"/>
  <c r="J24" i="15" a="1"/>
  <c r="J24" i="15" s="1"/>
  <c r="L24" i="15" s="1"/>
  <c r="J32" i="15" a="1"/>
  <c r="J32" i="15" s="1"/>
  <c r="L32" i="15" s="1"/>
  <c r="J40" i="15" a="1"/>
  <c r="J40" i="15" s="1"/>
  <c r="L40" i="15" s="1"/>
  <c r="J9" i="15" a="1"/>
  <c r="J9" i="15" s="1"/>
  <c r="L9" i="15" s="1"/>
  <c r="J25" i="15" a="1"/>
  <c r="J25" i="15" s="1"/>
  <c r="L25" i="15" s="1"/>
  <c r="J33" i="15" a="1"/>
  <c r="J33" i="15" s="1"/>
  <c r="L33" i="15" s="1"/>
  <c r="J41" i="15" a="1"/>
  <c r="J41" i="15" s="1"/>
  <c r="L41" i="15" s="1"/>
  <c r="J8" i="15" a="1"/>
  <c r="J8" i="15" s="1"/>
  <c r="L8" i="15" s="1"/>
  <c r="J6" i="15" a="1"/>
  <c r="J6" i="15" s="1"/>
  <c r="L6" i="15" s="1"/>
  <c r="J13" i="15" a="1"/>
  <c r="J13" i="15" s="1"/>
  <c r="L13" i="15" s="1"/>
  <c r="J10" i="15" a="1"/>
  <c r="J10" i="15" s="1"/>
  <c r="L10" i="15" s="1"/>
  <c r="J26" i="15" a="1"/>
  <c r="J26" i="15" s="1"/>
  <c r="L26" i="15" s="1"/>
  <c r="J34" i="15" a="1"/>
  <c r="J34" i="15" s="1"/>
  <c r="L34" i="15" s="1"/>
  <c r="J42" i="15" a="1"/>
  <c r="J42" i="15" s="1"/>
  <c r="L42" i="15" s="1"/>
  <c r="C9" i="10"/>
  <c r="L47" i="15" l="1"/>
  <c r="AA45" i="15"/>
  <c r="AA44" i="15"/>
  <c r="AA5" i="15"/>
  <c r="AA29" i="15"/>
  <c r="M29" i="15"/>
  <c r="AA33" i="15"/>
  <c r="M33" i="15"/>
  <c r="AA8" i="15"/>
  <c r="M8" i="15"/>
  <c r="AA12" i="15"/>
  <c r="M12" i="15"/>
  <c r="AA27" i="15"/>
  <c r="M27" i="15"/>
  <c r="M18" i="15"/>
  <c r="AA18" i="15"/>
  <c r="AA36" i="15"/>
  <c r="M36" i="15"/>
  <c r="AA41" i="15"/>
  <c r="M41" i="15"/>
  <c r="AA9" i="15"/>
  <c r="M9" i="15"/>
  <c r="AA14" i="15"/>
  <c r="M14" i="15"/>
  <c r="AA30" i="15"/>
  <c r="M30" i="15"/>
  <c r="AA26" i="15"/>
  <c r="M26" i="15"/>
  <c r="AA13" i="15"/>
  <c r="M13" i="15"/>
  <c r="AA28" i="15"/>
  <c r="M28" i="15"/>
  <c r="AA20" i="15"/>
  <c r="M20" i="15"/>
  <c r="AA10" i="15"/>
  <c r="M10" i="15"/>
  <c r="AA39" i="15"/>
  <c r="M39" i="15"/>
  <c r="AA21" i="15"/>
  <c r="M21" i="15"/>
  <c r="AA22" i="15"/>
  <c r="M22" i="15"/>
  <c r="AA43" i="15"/>
  <c r="M43" i="15"/>
  <c r="M15" i="15"/>
  <c r="AA15" i="15"/>
  <c r="M7" i="15"/>
  <c r="AA7" i="15"/>
  <c r="AA38" i="15"/>
  <c r="M38" i="15"/>
  <c r="AA35" i="15"/>
  <c r="M35" i="15"/>
  <c r="AA25" i="15"/>
  <c r="M25" i="15"/>
  <c r="AA19" i="15"/>
  <c r="M19" i="15"/>
  <c r="AA6" i="15"/>
  <c r="M6" i="15"/>
  <c r="AA23" i="15"/>
  <c r="M23" i="15"/>
  <c r="AA24" i="15"/>
  <c r="M24" i="15"/>
  <c r="AA42" i="15"/>
  <c r="M42" i="15"/>
  <c r="M11" i="15"/>
  <c r="AA11" i="15"/>
  <c r="AA37" i="15"/>
  <c r="M37" i="15"/>
  <c r="AA31" i="15"/>
  <c r="M31" i="15"/>
  <c r="AA32" i="15"/>
  <c r="M32" i="15"/>
  <c r="AA34" i="15"/>
  <c r="M34" i="15"/>
  <c r="AA17" i="15"/>
  <c r="M17" i="15"/>
  <c r="AA40" i="15"/>
  <c r="M40" i="15"/>
  <c r="M16" i="15"/>
  <c r="AA16" i="15"/>
  <c r="C10" i="10"/>
  <c r="C11" i="10" s="1"/>
  <c r="M47" i="15" l="1"/>
  <c r="L49" i="15"/>
  <c r="C12" i="10"/>
  <c r="C13" i="10" s="1"/>
  <c r="C14" i="10" l="1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C15" i="10" l="1"/>
  <c r="C16" i="10" l="1"/>
  <c r="C17" i="10" s="1"/>
  <c r="C18" i="10" s="1"/>
  <c r="Q4" i="10" l="1" a="1"/>
  <c r="Q4" i="10" s="1"/>
  <c r="Q14" i="10" a="1"/>
  <c r="Q11" i="10" a="1"/>
  <c r="Q10" i="10" a="1"/>
  <c r="Q10" i="10" s="1"/>
  <c r="Q8" i="10" a="1"/>
  <c r="Q8" i="10" s="1"/>
  <c r="Q12" i="10" a="1"/>
  <c r="Q12" i="10" s="1"/>
  <c r="Q17" i="10" a="1"/>
  <c r="Q17" i="10" s="1"/>
  <c r="Q15" i="10" a="1"/>
  <c r="Q13" i="10" a="1"/>
  <c r="Q9" i="10" a="1"/>
  <c r="Q9" i="10" s="1"/>
  <c r="Q5" i="10" a="1"/>
  <c r="Q5" i="10" s="1"/>
  <c r="Q16" i="10" a="1"/>
  <c r="Q18" i="10" a="1"/>
  <c r="Q18" i="10" s="1"/>
  <c r="Q6" i="10" a="1"/>
  <c r="Q6" i="10" s="1"/>
  <c r="Q7" i="10" a="1"/>
  <c r="Q7" i="10" s="1"/>
  <c r="Q13" i="10"/>
  <c r="Q14" i="10"/>
  <c r="Q15" i="10"/>
  <c r="Q11" i="10"/>
  <c r="Q16" i="10"/>
  <c r="K42" i="10" a="1"/>
  <c r="K42" i="10" s="1"/>
  <c r="K35" i="10" a="1"/>
  <c r="K35" i="10" s="1"/>
  <c r="K36" i="10" a="1"/>
  <c r="K36" i="10" s="1"/>
  <c r="K40" i="10" a="1"/>
  <c r="K40" i="10" s="1"/>
  <c r="K37" i="10" a="1"/>
  <c r="K37" i="10" s="1"/>
  <c r="K38" i="10" a="1"/>
  <c r="K38" i="10" s="1"/>
  <c r="K43" i="10" a="1"/>
  <c r="K43" i="10" s="1"/>
  <c r="K34" i="10" a="1"/>
  <c r="K34" i="10" s="1"/>
  <c r="K41" i="10" a="1"/>
  <c r="K41" i="10" s="1"/>
  <c r="K45" i="10" a="1"/>
  <c r="K45" i="10" s="1"/>
  <c r="K44" i="10" a="1"/>
  <c r="K44" i="10" s="1"/>
  <c r="K39" i="10" a="1"/>
  <c r="K39" i="10" s="1"/>
  <c r="K5" i="10" a="1"/>
  <c r="K5" i="10" s="1"/>
  <c r="K33" i="10" a="1"/>
  <c r="K33" i="10" s="1"/>
  <c r="K4" i="10" a="1"/>
  <c r="K4" i="10" s="1"/>
  <c r="K32" i="10" a="1"/>
  <c r="K32" i="10" s="1"/>
  <c r="C20" i="10"/>
  <c r="J4" i="10" l="1" a="1"/>
  <c r="J4" i="10" s="1"/>
  <c r="AA4" i="10" s="1"/>
  <c r="J18" i="10" a="1"/>
  <c r="J18" i="10" s="1"/>
  <c r="J41" i="10" a="1"/>
  <c r="J41" i="10" s="1"/>
  <c r="L41" i="10" s="1"/>
  <c r="J36" i="10" a="1"/>
  <c r="J36" i="10" s="1"/>
  <c r="L36" i="10" s="1"/>
  <c r="J43" i="10" a="1"/>
  <c r="J43" i="10" s="1"/>
  <c r="L43" i="10" s="1"/>
  <c r="J35" i="10" a="1"/>
  <c r="J35" i="10" s="1"/>
  <c r="L35" i="10" s="1"/>
  <c r="J40" i="10" a="1"/>
  <c r="J40" i="10" s="1"/>
  <c r="L40" i="10" s="1"/>
  <c r="J45" i="10" a="1"/>
  <c r="J45" i="10" s="1"/>
  <c r="AA45" i="10" s="1"/>
  <c r="J37" i="10" a="1"/>
  <c r="J37" i="10" s="1"/>
  <c r="L37" i="10" s="1"/>
  <c r="J44" i="10" a="1"/>
  <c r="J44" i="10" s="1"/>
  <c r="AA44" i="10" s="1"/>
  <c r="J42" i="10" a="1"/>
  <c r="J42" i="10" s="1"/>
  <c r="L42" i="10" s="1"/>
  <c r="J34" i="10" a="1"/>
  <c r="J34" i="10" s="1"/>
  <c r="L34" i="10" s="1"/>
  <c r="J39" i="10" a="1"/>
  <c r="J39" i="10" s="1"/>
  <c r="L39" i="10" s="1"/>
  <c r="J38" i="10" a="1"/>
  <c r="J38" i="10" s="1"/>
  <c r="L38" i="10" s="1"/>
  <c r="M41" i="10"/>
  <c r="M33" i="10"/>
  <c r="M35" i="10"/>
  <c r="M32" i="10"/>
  <c r="M42" i="10"/>
  <c r="M38" i="10"/>
  <c r="M39" i="10"/>
  <c r="M34" i="10"/>
  <c r="M37" i="10"/>
  <c r="M36" i="10"/>
  <c r="M40" i="10"/>
  <c r="M43" i="10"/>
  <c r="J32" i="10" a="1"/>
  <c r="J32" i="10" s="1"/>
  <c r="L32" i="10" s="1"/>
  <c r="J5" i="10" a="1"/>
  <c r="J5" i="10" s="1"/>
  <c r="AA5" i="10" s="1"/>
  <c r="J33" i="10" a="1"/>
  <c r="J33" i="10" s="1"/>
  <c r="L33" i="10" s="1"/>
  <c r="J6" i="10" a="1"/>
  <c r="J6" i="10" s="1"/>
  <c r="K28" i="10" a="1"/>
  <c r="K28" i="10" s="1"/>
  <c r="K6" i="10" a="1"/>
  <c r="K6" i="10" s="1"/>
  <c r="K15" i="10" a="1"/>
  <c r="K15" i="10" s="1"/>
  <c r="K23" i="10" a="1"/>
  <c r="K23" i="10" s="1"/>
  <c r="K25" i="10" a="1"/>
  <c r="K25" i="10" s="1"/>
  <c r="K29" i="10" a="1"/>
  <c r="K29" i="10" s="1"/>
  <c r="K21" i="10" a="1"/>
  <c r="K21" i="10" s="1"/>
  <c r="K10" i="10" a="1"/>
  <c r="K10" i="10" s="1"/>
  <c r="K17" i="10" a="1"/>
  <c r="K17" i="10" s="1"/>
  <c r="K13" i="10" a="1"/>
  <c r="K13" i="10" s="1"/>
  <c r="K11" i="10" a="1"/>
  <c r="K11" i="10" s="1"/>
  <c r="K24" i="10" a="1"/>
  <c r="K24" i="10" s="1"/>
  <c r="K14" i="10" a="1"/>
  <c r="K14" i="10" s="1"/>
  <c r="K8" i="10" a="1"/>
  <c r="K8" i="10" s="1"/>
  <c r="K18" i="10" a="1"/>
  <c r="K18" i="10" s="1"/>
  <c r="K26" i="10" a="1"/>
  <c r="K26" i="10" s="1"/>
  <c r="K20" i="10" a="1"/>
  <c r="K20" i="10" s="1"/>
  <c r="K31" i="10" a="1"/>
  <c r="K31" i="10" s="1"/>
  <c r="K16" i="10" a="1"/>
  <c r="K16" i="10" s="1"/>
  <c r="K30" i="10" a="1"/>
  <c r="K30" i="10" s="1"/>
  <c r="K27" i="10" a="1"/>
  <c r="K27" i="10" s="1"/>
  <c r="K12" i="10" a="1"/>
  <c r="K12" i="10" s="1"/>
  <c r="K19" i="10" a="1"/>
  <c r="K19" i="10" s="1"/>
  <c r="K9" i="10" a="1"/>
  <c r="K9" i="10" s="1"/>
  <c r="K7" i="10" a="1"/>
  <c r="K7" i="10" s="1"/>
  <c r="K22" i="10" a="1"/>
  <c r="K22" i="10" s="1"/>
  <c r="AA43" i="10" l="1"/>
  <c r="AA36" i="10"/>
  <c r="AA40" i="10"/>
  <c r="AA35" i="10"/>
  <c r="AA33" i="10"/>
  <c r="AA39" i="10"/>
  <c r="AA37" i="10"/>
  <c r="AA38" i="10"/>
  <c r="AA34" i="10"/>
  <c r="AA42" i="10"/>
  <c r="AA41" i="10"/>
  <c r="AA32" i="10"/>
  <c r="M7" i="10"/>
  <c r="M15" i="10"/>
  <c r="M10" i="10"/>
  <c r="M28" i="10"/>
  <c r="M19" i="10"/>
  <c r="M20" i="10"/>
  <c r="M31" i="10"/>
  <c r="M6" i="10"/>
  <c r="AA6" i="10"/>
  <c r="M21" i="10"/>
  <c r="M27" i="10"/>
  <c r="M11" i="10"/>
  <c r="M29" i="10"/>
  <c r="M14" i="10"/>
  <c r="M9" i="10"/>
  <c r="M12" i="10"/>
  <c r="M22" i="10"/>
  <c r="M30" i="10"/>
  <c r="M18" i="10"/>
  <c r="M13" i="10"/>
  <c r="M25" i="10"/>
  <c r="M17" i="10"/>
  <c r="M24" i="10"/>
  <c r="M26" i="10"/>
  <c r="M16" i="10"/>
  <c r="M8" i="10"/>
  <c r="M23" i="10"/>
  <c r="J30" i="10" a="1"/>
  <c r="J30" i="10" s="1"/>
  <c r="L30" i="10" s="1"/>
  <c r="J23" i="10" a="1"/>
  <c r="J23" i="10" s="1"/>
  <c r="L23" i="10" s="1"/>
  <c r="J15" i="10" a="1"/>
  <c r="J15" i="10" s="1"/>
  <c r="L15" i="10" s="1"/>
  <c r="J7" i="10" a="1"/>
  <c r="J7" i="10" s="1"/>
  <c r="L7" i="10" s="1"/>
  <c r="J22" i="10" a="1"/>
  <c r="J22" i="10" s="1"/>
  <c r="L22" i="10" s="1"/>
  <c r="J14" i="10" a="1"/>
  <c r="J14" i="10" s="1"/>
  <c r="L14" i="10" s="1"/>
  <c r="L6" i="10"/>
  <c r="J29" i="10" a="1"/>
  <c r="J29" i="10" s="1"/>
  <c r="L29" i="10" s="1"/>
  <c r="J21" i="10" a="1"/>
  <c r="J21" i="10" s="1"/>
  <c r="L21" i="10" s="1"/>
  <c r="J13" i="10" a="1"/>
  <c r="J13" i="10" s="1"/>
  <c r="L13" i="10" s="1"/>
  <c r="J28" i="10" a="1"/>
  <c r="J28" i="10" s="1"/>
  <c r="L28" i="10" s="1"/>
  <c r="J20" i="10" a="1"/>
  <c r="J20" i="10" s="1"/>
  <c r="L20" i="10" s="1"/>
  <c r="J12" i="10" a="1"/>
  <c r="J12" i="10" s="1"/>
  <c r="L12" i="10" s="1"/>
  <c r="J27" i="10" a="1"/>
  <c r="J27" i="10" s="1"/>
  <c r="L27" i="10" s="1"/>
  <c r="J19" i="10" a="1"/>
  <c r="J19" i="10" s="1"/>
  <c r="L19" i="10" s="1"/>
  <c r="J11" i="10" a="1"/>
  <c r="J11" i="10" s="1"/>
  <c r="L11" i="10" s="1"/>
  <c r="J26" i="10" a="1"/>
  <c r="J26" i="10" s="1"/>
  <c r="L26" i="10" s="1"/>
  <c r="L18" i="10"/>
  <c r="J10" i="10" a="1"/>
  <c r="J10" i="10" s="1"/>
  <c r="L10" i="10" s="1"/>
  <c r="J25" i="10" a="1"/>
  <c r="J25" i="10" s="1"/>
  <c r="L25" i="10" s="1"/>
  <c r="J17" i="10" a="1"/>
  <c r="J17" i="10" s="1"/>
  <c r="L17" i="10" s="1"/>
  <c r="J9" i="10" a="1"/>
  <c r="J9" i="10" s="1"/>
  <c r="L9" i="10" s="1"/>
  <c r="J31" i="10" a="1"/>
  <c r="J31" i="10" s="1"/>
  <c r="L31" i="10" s="1"/>
  <c r="J24" i="10" a="1"/>
  <c r="J24" i="10" s="1"/>
  <c r="L24" i="10" s="1"/>
  <c r="J16" i="10" a="1"/>
  <c r="J16" i="10" s="1"/>
  <c r="L16" i="10" s="1"/>
  <c r="J8" i="10" a="1"/>
  <c r="J8" i="10" s="1"/>
  <c r="L8" i="10" s="1"/>
  <c r="M47" i="10" l="1"/>
  <c r="L47" i="10"/>
  <c r="AA12" i="10"/>
  <c r="AA23" i="10"/>
  <c r="AA16" i="10"/>
  <c r="AA29" i="10"/>
  <c r="AA13" i="10"/>
  <c r="AA10" i="10"/>
  <c r="AA18" i="10"/>
  <c r="AA21" i="10"/>
  <c r="AA15" i="10"/>
  <c r="AA31" i="10"/>
  <c r="AA19" i="10"/>
  <c r="AA20" i="10"/>
  <c r="AA8" i="10"/>
  <c r="AA24" i="10"/>
  <c r="AA30" i="10"/>
  <c r="AA9" i="10"/>
  <c r="AA11" i="10"/>
  <c r="AA26" i="10"/>
  <c r="AA25" i="10"/>
  <c r="AA22" i="10"/>
  <c r="AA14" i="10"/>
  <c r="AA27" i="10"/>
  <c r="AA28" i="10"/>
  <c r="AA7" i="10"/>
  <c r="AA17" i="10"/>
  <c r="L49" i="10" l="1"/>
</calcChain>
</file>

<file path=xl/comments1.xml><?xml version="1.0" encoding="utf-8"?>
<comments xmlns="http://schemas.openxmlformats.org/spreadsheetml/2006/main">
  <authors>
    <author>Author</author>
  </authors>
  <commentList>
    <comment ref="E1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Added by Tod
</t>
        </r>
      </text>
    </comment>
  </commentList>
</comments>
</file>

<file path=xl/connections.xml><?xml version="1.0" encoding="utf-8"?>
<connections xmlns="http://schemas.openxmlformats.org/spreadsheetml/2006/main">
  <connection id="1" name="Gprime" type="6" refreshedVersion="4" background="1" saveData="1">
    <textPr codePage="437" sourceFile="C:\Tod\Materials\Boeing_Glass\Shifting\Arrieta\Gprime.txt" space="1" consecutive="1">
      <textFields count="3">
        <textField/>
        <textField/>
        <textField/>
      </textFields>
    </textPr>
  </connection>
  <connection id="2" name="Tandelta" type="6" refreshedVersion="4" background="1" saveData="1">
    <textPr codePage="437" sourceFile="C:\Tod\Materials\Boeing_Glass\Shifting\Arrieta\Tandelta.txt" space="1" consecutive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<sst xmlns="http://schemas.openxmlformats.org/spreadsheetml/2006/main" count="309" uniqueCount="183">
  <si>
    <t>Gs</t>
  </si>
  <si>
    <t>Gl</t>
  </si>
  <si>
    <t>time</t>
  </si>
  <si>
    <t>rel. modulus</t>
  </si>
  <si>
    <t>Prony series sum</t>
  </si>
  <si>
    <t>Original Test Data</t>
  </si>
  <si>
    <t>Prony Guess</t>
  </si>
  <si>
    <t>Calculated from Prony</t>
  </si>
  <si>
    <t xml:space="preserve">Gs Error </t>
  </si>
  <si>
    <t>Error Sum</t>
  </si>
  <si>
    <t>tau_i</t>
  </si>
  <si>
    <t>g_i</t>
  </si>
  <si>
    <t>G_0=</t>
  </si>
  <si>
    <t>Freq. (Hz)</t>
  </si>
  <si>
    <t>Storage Modulus</t>
  </si>
  <si>
    <t>Tan Delta</t>
  </si>
  <si>
    <t>Loss Modulus</t>
  </si>
  <si>
    <t>Freq. (rad/sec.)</t>
  </si>
  <si>
    <t>G_inf=</t>
  </si>
  <si>
    <t>x_i</t>
  </si>
  <si>
    <t>G Range</t>
  </si>
  <si>
    <t>i</t>
  </si>
  <si>
    <t>Sum_of_Gs</t>
  </si>
  <si>
    <t>Gl Error</t>
  </si>
  <si>
    <t>Weights</t>
  </si>
  <si>
    <t>Sum_of_Errors</t>
  </si>
  <si>
    <t>Freq (Hz)</t>
  </si>
  <si>
    <t>I edited the original test data to reduce the number of points</t>
  </si>
  <si>
    <t>Appendix: Material parameters</t>
  </si>
  <si>
    <t>Implementation of the mechanical behavior in the Abaqus input file:</t>
  </si>
  <si>
    <t>*MATERIAL,NAME=POLYM</t>
  </si>
  <si>
    <t>*HYPERELASTIC,NEO HOOKE,MODULI=INSTANTANEOUS</t>
  </si>
  <si>
    <t>*VISCOELASTIC,TIME=PRONY</t>
  </si>
  <si>
    <t>*TRS,DEFINITION=WLF</t>
  </si>
  <si>
    <t>80.,6.9,87.9</t>
  </si>
  <si>
    <t>Followed by:</t>
  </si>
  <si>
    <t>*EXPANSION</t>
  </si>
  <si>
    <t>for thermal expansion at 1◦C/min or</t>
  </si>
  <si>
    <t>for thermal expansion at 5◦C/min.</t>
  </si>
  <si>
    <t>Gl / Ginf</t>
  </si>
  <si>
    <t>1-Gs/Ginf</t>
  </si>
  <si>
    <t>Freq., Hz</t>
  </si>
  <si>
    <t>This test data is used to calibrate Prony from DMA test data</t>
  </si>
  <si>
    <t>see files Arrieta_DMA.cae and Arrieta_1.dat</t>
  </si>
  <si>
    <t xml:space="preserve">  *VISCOELASTIC, TIME=FREQUENCY DATA, ERRTOL=0.01, NMAX=13</t>
  </si>
  <si>
    <t xml:space="preserve">  START PRONY SERIES CALIBRATION FOR VISCOELASTIC MATERIAL: VISCOELASTIC                                                                    </t>
  </si>
  <si>
    <t xml:space="preserve">    Max. # of Prony terms calibrated:          13</t>
  </si>
  <si>
    <t xml:space="preserve">    Max. # of data points available:          38</t>
  </si>
  <si>
    <t xml:space="preserve">    Tolerance for RMS error:  1.000000000000000E-002</t>
  </si>
  <si>
    <t xml:space="preserve">      </t>
  </si>
  <si>
    <t xml:space="preserve">    Processing frequency-dependent SHEAR moduli data...</t>
  </si>
  <si>
    <t xml:space="preserve">    ---------------------------------------------------</t>
  </si>
  <si>
    <t xml:space="preserve">    Beginning            1 -term fit</t>
  </si>
  <si>
    <t xml:space="preserve">     Best values are</t>
  </si>
  <si>
    <t xml:space="preserve">      i= 1 g=  9.9412E-01 t=  3.5581E-05</t>
  </si>
  <si>
    <t xml:space="preserve"> ***WARNING: THE PRONY MATERIAL PARAMETERS FOR MATERIAL VISCOELASTIC COULD NOT </t>
  </si>
  <si>
    <t xml:space="preserve">             BE DETERMINED WITHIN THE PRESCRIBED TOLERANCE OF 1.00000E-02</t>
  </si>
  <si>
    <t xml:space="preserve">    Beginning            2 -term fit</t>
  </si>
  <si>
    <t xml:space="preserve">      i= 1 g=  4.9705E-01 t=  2.9519E-05</t>
  </si>
  <si>
    <t xml:space="preserve">      i= 2 g=  4.9705E-01 t=  4.4769E-05</t>
  </si>
  <si>
    <t xml:space="preserve">    Beginning            3 -term fit</t>
  </si>
  <si>
    <t xml:space="preserve">      i= 1 g=  3.6774E-01 t=  1.8870E-06</t>
  </si>
  <si>
    <t xml:space="preserve">      i= 2 g=  4.3729E-01 t=  3.5544E-05</t>
  </si>
  <si>
    <t xml:space="preserve">      i= 3 g=  1.9027E-01 t=  1.1530E-03</t>
  </si>
  <si>
    <t xml:space="preserve">    Beginning            4 -term fit</t>
  </si>
  <si>
    <t xml:space="preserve">      i= 1 g=  3.3574E-01 t=  1.8469E-06</t>
  </si>
  <si>
    <t xml:space="preserve">      i= 2 g=  2.8531E-01 t=  1.6600E-05</t>
  </si>
  <si>
    <t xml:space="preserve">      i= 3 g=  1.8710E-01 t=  1.8347E-04</t>
  </si>
  <si>
    <t xml:space="preserve">      i= 4 g=  1.8710E-01 t=  3.1515E-04</t>
  </si>
  <si>
    <t xml:space="preserve">    Beginning            5 -term fit</t>
  </si>
  <si>
    <t xml:space="preserve">      i= 1 g=  2.1904E-01 t=  1.0357E-06</t>
  </si>
  <si>
    <t xml:space="preserve">      i= 2 g=  2.8144E-01 t=  8.6529E-06</t>
  </si>
  <si>
    <t xml:space="preserve">      i= 3 g=  1.7233E-01 t=  2.6381E-05</t>
  </si>
  <si>
    <t xml:space="preserve">      i= 4 g=  1.6123E-01 t=  2.8195E-04</t>
  </si>
  <si>
    <t xml:space="preserve">      i= 5 g=  1.6123E-01 t=  3.8825E-04</t>
  </si>
  <si>
    <t xml:space="preserve">    Beginning            6 -term fit</t>
  </si>
  <si>
    <t xml:space="preserve">      i= 1 g=  3.0230E-01 t=  1.1594E-06</t>
  </si>
  <si>
    <t xml:space="preserve">      i= 2 g=  1.6565E-01 t=  9.5729E-06</t>
  </si>
  <si>
    <t xml:space="preserve">      i= 3 g=  2.0421E-01 t=  2.3824E-05</t>
  </si>
  <si>
    <t xml:space="preserve">      i= 4 g=  1.9431E-01 t=  1.4131E-04</t>
  </si>
  <si>
    <t xml:space="preserve">      i= 5 g=  8.1005E-02 t=  1.3655E-03</t>
  </si>
  <si>
    <t xml:space="preserve">      i= 6 g=  4.7934E-02 t=  2.3164E-02</t>
  </si>
  <si>
    <t xml:space="preserve">    Beginning            7 -term fit</t>
  </si>
  <si>
    <t xml:space="preserve">      i= 1 g=  2.8609E-01 t=  1.1116E-06</t>
  </si>
  <si>
    <t xml:space="preserve">      i= 2 g=  1.0498E-01 t=  7.6551E-06</t>
  </si>
  <si>
    <t xml:space="preserve">      i= 3 g=  1.3498E-01 t=  1.5010E-05</t>
  </si>
  <si>
    <t xml:space="preserve">      i= 4 g=  1.4186E-01 t=  2.6819E-05</t>
  </si>
  <si>
    <t xml:space="preserve">      i= 5 g=  1.9711E-01 t=  1.3749E-04</t>
  </si>
  <si>
    <t xml:space="preserve">      i= 6 g=  8.1693E-02 t=  1.3284E-03</t>
  </si>
  <si>
    <t xml:space="preserve">      i= 7 g=  4.8685E-02 t=  2.2302E-02</t>
  </si>
  <si>
    <t xml:space="preserve">    Beginning            8 -term fit</t>
  </si>
  <si>
    <t xml:space="preserve">      i= 1 g=  1.3785E-01 t=  5.0853E-07</t>
  </si>
  <si>
    <t xml:space="preserve">      i= 2 g=  2.1985E-01 t=  2.7881E-06</t>
  </si>
  <si>
    <t xml:space="preserve">      i= 3 g=  1.3669E-01 t=  1.6550E-05</t>
  </si>
  <si>
    <t xml:space="preserve">      i= 4 g=  1.3920E-01 t=  1.8209E-05</t>
  </si>
  <si>
    <t xml:space="preserve">      i= 5 g=  1.3743E-01 t=  8.4927E-05</t>
  </si>
  <si>
    <t xml:space="preserve">      i= 6 g=  9.8864E-02 t=  1.9734E-04</t>
  </si>
  <si>
    <t xml:space="preserve">      i= 7 g=  6.3341E-02 t=  1.0992E-03</t>
  </si>
  <si>
    <t xml:space="preserve">      i= 8 g=  6.2203E-02 t=  1.4160E-02</t>
  </si>
  <si>
    <t xml:space="preserve">    Beginning            9 -term fit</t>
  </si>
  <si>
    <t xml:space="preserve">      i= 1 g=  1.7378E-01 t=  1.0090E-06</t>
  </si>
  <si>
    <t xml:space="preserve">      i= 2 g=  1.5186E-01 t=  3.1384E-06</t>
  </si>
  <si>
    <t xml:space="preserve">      i= 3 g=  1.1779E-01 t=  1.1720E-05</t>
  </si>
  <si>
    <t xml:space="preserve">      i= 4 g=  1.1782E-01 t=  1.5382E-05</t>
  </si>
  <si>
    <t xml:space="preserve">      i= 5 g=  8.2243E-02 t=  2.5428E-05</t>
  </si>
  <si>
    <t xml:space="preserve">      i= 6 g=  1.0996E-01 t=  6.2627E-05</t>
  </si>
  <si>
    <t xml:space="preserve">      i= 7 g=  9.7734E-02 t=  2.0598E-04</t>
  </si>
  <si>
    <t xml:space="preserve">      i= 8 g=  7.2048E-02 t=  2.6765E-03</t>
  </si>
  <si>
    <t xml:space="preserve">      i= 9 g=  7.2048E-02 t=  2.6765E-03</t>
  </si>
  <si>
    <t xml:space="preserve">    Beginning           10 -term fit</t>
  </si>
  <si>
    <t xml:space="preserve">      i= 1 g=  1.4984E-01 t=  9.0222E-07</t>
  </si>
  <si>
    <t xml:space="preserve">      i= 2 g=  1.2573E-01 t=  1.3920E-06</t>
  </si>
  <si>
    <t xml:space="preserve">      i= 3 g=  1.0743E-01 t=  7.7958E-06</t>
  </si>
  <si>
    <t xml:space="preserve">      i= 4 g=  1.0596E-01 t=  1.1290E-05</t>
  </si>
  <si>
    <t xml:space="preserve">      i= 5 g=  9.0576E-02 t=  2.2072E-05</t>
  </si>
  <si>
    <t xml:space="preserve">      i= 6 g=  9.7982E-02 t=  3.4317E-05</t>
  </si>
  <si>
    <t xml:space="preserve">      i= 7 g=  7.4221E-02 t=  1.0254E-04</t>
  </si>
  <si>
    <t xml:space="preserve">      i= 8 g=  9.5332E-02 t=  1.3787E-04</t>
  </si>
  <si>
    <t xml:space="preserve">      i= 9 g=  7.4174E-02 t=  6.0015E-04</t>
  </si>
  <si>
    <t xml:space="preserve">      i=10 g=  7.4175E-02 t=  8.1940E-03</t>
  </si>
  <si>
    <t xml:space="preserve">    Beginning           11 -term fit</t>
  </si>
  <si>
    <t xml:space="preserve">      i= 1 g=  1.3154E-01 t=  8.8309E-07</t>
  </si>
  <si>
    <t xml:space="preserve">      i= 2 g=  1.1720E-01 t=  1.1850E-06</t>
  </si>
  <si>
    <t xml:space="preserve">      i= 3 g=  9.7771E-02 t=  5.6253E-06</t>
  </si>
  <si>
    <t xml:space="preserve">      i= 4 g=  9.5559E-02 t=  9.7145E-06</t>
  </si>
  <si>
    <t xml:space="preserve">      i= 5 g=  8.9331E-02 t=  1.3616E-05</t>
  </si>
  <si>
    <t xml:space="preserve">      i= 6 g=  8.9249E-02 t=  2.5615E-05</t>
  </si>
  <si>
    <t xml:space="preserve">      i= 7 g=  7.5189E-02 t=  6.3754E-05</t>
  </si>
  <si>
    <t xml:space="preserve">      i= 8 g=  8.0553E-02 t=  1.1679E-04</t>
  </si>
  <si>
    <t xml:space="preserve">      i= 9 g=  8.4298E-02 t=  1.5131E-04</t>
  </si>
  <si>
    <t xml:space="preserve">      i=10 g=  6.7348E-02 t=  2.6475E-03</t>
  </si>
  <si>
    <t xml:space="preserve">      i=11 g=  6.7348E-02 t=  2.6475E-03</t>
  </si>
  <si>
    <t xml:space="preserve">    Beginning           12 -term fit</t>
  </si>
  <si>
    <t xml:space="preserve">      i= 1 g=  1.1931E-01 t=  7.7379E-07</t>
  </si>
  <si>
    <t xml:space="preserve">      i= 2 g=  1.1000E-01 t=  1.0802E-06</t>
  </si>
  <si>
    <t xml:space="preserve">      i= 3 g=  9.0767E-02 t=  4.5727E-06</t>
  </si>
  <si>
    <t xml:space="preserve">      i= 4 g=  8.7509E-02 t=  9.2127E-06</t>
  </si>
  <si>
    <t xml:space="preserve">      i= 5 g=  8.2352E-02 t=  1.3855E-05</t>
  </si>
  <si>
    <t xml:space="preserve">      i= 6 g=  8.4660E-02 t=  1.3981E-05</t>
  </si>
  <si>
    <t xml:space="preserve">      i= 7 g=  7.5967E-02 t=  6.5410E-05</t>
  </si>
  <si>
    <t xml:space="preserve">      i= 8 g=  7.6414E-02 t=  7.4541E-05</t>
  </si>
  <si>
    <t xml:space="preserve">      i= 9 g=  7.5883E-02 t=  7.4561E-05</t>
  </si>
  <si>
    <t xml:space="preserve">      i=10 g=  6.4176E-02 t=  1.9152E-04</t>
  </si>
  <si>
    <t xml:space="preserve">      i=11 g=  6.4175E-02 t=  2.0890E-03</t>
  </si>
  <si>
    <t xml:space="preserve">      i=12 g=  6.4175E-02 t=  2.0890E-03</t>
  </si>
  <si>
    <t xml:space="preserve">    Beginning           13 -term fit</t>
  </si>
  <si>
    <t xml:space="preserve">      i= 1 g=  1.1227E-01 t=  7.1185E-07</t>
  </si>
  <si>
    <t xml:space="preserve">      i= 2 g=  1.0311E-01 t=  1.1956E-06</t>
  </si>
  <si>
    <t xml:space="preserve">      i= 3 g=  8.4508E-02 t=  3.6196E-06</t>
  </si>
  <si>
    <t xml:space="preserve">      i= 4 g=  8.0296E-02 t=  8.9838E-06</t>
  </si>
  <si>
    <t xml:space="preserve">      i= 5 g=  7.7509E-02 t=  1.3421E-05</t>
  </si>
  <si>
    <t xml:space="preserve">      i= 6 g=  7.7999E-02 t=  1.4086E-05</t>
  </si>
  <si>
    <t xml:space="preserve">      i= 7 g=  7.1385E-02 t=  2.4200E-05</t>
  </si>
  <si>
    <t xml:space="preserve">      i= 8 g=  6.6066E-02 t=  7.8008E-05</t>
  </si>
  <si>
    <t xml:space="preserve">      i= 9 g=  7.1140E-02 t=  7.9136E-05</t>
  </si>
  <si>
    <t xml:space="preserve">      i=10 g=  7.1023E-02 t=  8.0973E-05</t>
  </si>
  <si>
    <t xml:space="preserve">      i=11 g=  6.0012E-02 t=  1.3115E-03</t>
  </si>
  <si>
    <t xml:space="preserve">      i=12 g=  6.0012E-02 t=  1.3115E-03</t>
  </si>
  <si>
    <t xml:space="preserve">      i=13 g=  6.0012E-02 t=  1.3115E-03</t>
  </si>
  <si>
    <t xml:space="preserve">                                           </t>
  </si>
  <si>
    <t xml:space="preserve">    Final results:</t>
  </si>
  <si>
    <t xml:space="preserve">    --------------</t>
  </si>
  <si>
    <t xml:space="preserve">    Best fit occurs for the   10-term fit with rmserror    11.67236    </t>
  </si>
  <si>
    <t xml:space="preserve"> ***ERROR: THE PRONY MATERIAL PARAMETERS FOR MATERIAL VISCOELASTIC COULD NOT BE </t>
  </si>
  <si>
    <t xml:space="preserve">           DETERMINED WITHIN THE PRESCRIBED TOLERANCE OF 1.00000E-02</t>
  </si>
  <si>
    <t xml:space="preserve"> ***NOTE: DUE TO AN INPUT ERROR THE ANALYSIS PRE-PROCESSOR HAS BEEN UNABLE TO </t>
  </si>
  <si>
    <t xml:space="preserve">          INTERPRET SOME DATA.  SUBSEQUENT ERRORS MAY BE CAUSED BY THIS OMISSION</t>
  </si>
  <si>
    <t xml:space="preserve">    Curve fitting completed for shear moduli data.</t>
  </si>
  <si>
    <t xml:space="preserve">    ----------------------------------------------</t>
  </si>
  <si>
    <t xml:space="preserve">    Processing frequency-dependent BULK moduli data...</t>
  </si>
  <si>
    <t xml:space="preserve">    --------------------------------------------------</t>
  </si>
  <si>
    <t xml:space="preserve">     All bulk moduli data are zero; data fit is not performed</t>
  </si>
  <si>
    <t xml:space="preserve">  </t>
  </si>
  <si>
    <t xml:space="preserve">    Curve fitting completed for bulk moduli data.</t>
  </si>
  <si>
    <t xml:space="preserve">    ---------------------------------------------</t>
  </si>
  <si>
    <t>From Arrieta_1.dat file:</t>
  </si>
  <si>
    <t>i=</t>
  </si>
  <si>
    <t>g=</t>
  </si>
  <si>
    <t>t=</t>
  </si>
  <si>
    <t xml:space="preserve">Arrieta's Sum of g's = </t>
  </si>
  <si>
    <t>Not test data, added for looking at predictions outside the scope of the test data</t>
  </si>
  <si>
    <t> Juan-Sebastian ARRIETA, Julie DIANI, Pierre GILORMINI - Experimental characterization and thermoviscoelastic modeling of strain and stress recoveries of an amorphous polymer network -Mechanics of materials - Vol. 68, p.95-103 - 2014</t>
  </si>
  <si>
    <t>This is an author-deposited version published in: http://sam.ensam.eu         Handle ID: .http://hdl.handle.net/10985/7357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</si>
</sst>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.0000000E+00"/>
    <numFmt numFmtId="165" formatCode="0.0000"/>
    <numFmt numFmtId="166" formatCode="0.00000"/>
    <numFmt numFmtId="167" formatCode="0.000"/>
    <numFmt numFmtId="168" formatCode="0.0E+00"/>
    <numFmt numFmtId="169" formatCode="0.000000"/>
    <numFmt numFmtId="170" formatCode="0.0000E+00"/>
    <numFmt numFmtId="171" formatCode="0.000E+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0" fillId="0" borderId="0" xfId="0" applyNumberFormat="1"/>
    <xf numFmtId="0" fontId="1" fillId="0" borderId="0" xfId="0" applyFont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Fill="1" applyBorder="1"/>
    <xf numFmtId="164" fontId="0" fillId="0" borderId="0" xfId="0" applyNumberFormat="1" applyFill="1" applyBorder="1"/>
    <xf numFmtId="0" fontId="0" fillId="0" borderId="0" xfId="0" applyBorder="1" applyAlignment="1">
      <alignment horizontal="center" wrapText="1"/>
    </xf>
    <xf numFmtId="0" fontId="2" fillId="0" borderId="0" xfId="0" applyFont="1" applyFill="1" applyBorder="1"/>
    <xf numFmtId="164" fontId="0" fillId="0" borderId="0" xfId="0" applyNumberFormat="1" applyFill="1" applyBorder="1" applyAlignment="1">
      <alignment horizontal="center"/>
    </xf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center"/>
    </xf>
    <xf numFmtId="166" fontId="0" fillId="0" borderId="0" xfId="0" applyNumberFormat="1" applyFill="1" applyBorder="1" applyAlignment="1">
      <alignment horizontal="center"/>
    </xf>
    <xf numFmtId="0" fontId="3" fillId="0" borderId="0" xfId="0" applyFont="1" applyAlignme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1" fontId="0" fillId="0" borderId="0" xfId="0" applyNumberFormat="1"/>
    <xf numFmtId="168" fontId="0" fillId="0" borderId="0" xfId="0" applyNumberFormat="1"/>
    <xf numFmtId="0" fontId="0" fillId="0" borderId="0" xfId="0" applyAlignment="1">
      <alignment horizontal="right"/>
    </xf>
    <xf numFmtId="0" fontId="0" fillId="0" borderId="3" xfId="0" applyBorder="1" applyAlignment="1">
      <alignment horizontal="center" wrapText="1"/>
    </xf>
    <xf numFmtId="165" fontId="1" fillId="0" borderId="0" xfId="0" applyNumberFormat="1" applyFont="1"/>
    <xf numFmtId="165" fontId="0" fillId="0" borderId="0" xfId="0" applyNumberFormat="1"/>
    <xf numFmtId="164" fontId="3" fillId="0" borderId="0" xfId="0" applyNumberFormat="1" applyFont="1" applyAlignment="1"/>
    <xf numFmtId="164" fontId="3" fillId="0" borderId="0" xfId="0" applyNumberFormat="1" applyFont="1" applyAlignment="1"/>
    <xf numFmtId="169" fontId="0" fillId="0" borderId="0" xfId="0" applyNumberFormat="1"/>
    <xf numFmtId="166" fontId="0" fillId="0" borderId="0" xfId="0" applyNumberFormat="1" applyAlignment="1">
      <alignment horizontal="center"/>
    </xf>
    <xf numFmtId="0" fontId="0" fillId="2" borderId="0" xfId="0" applyFill="1" applyBorder="1" applyAlignment="1">
      <alignment horizontal="center" wrapText="1"/>
    </xf>
    <xf numFmtId="167" fontId="0" fillId="2" borderId="0" xfId="0" applyNumberFormat="1" applyFill="1" applyAlignment="1">
      <alignment horizontal="center"/>
    </xf>
    <xf numFmtId="166" fontId="0" fillId="2" borderId="0" xfId="0" applyNumberFormat="1" applyFill="1" applyBorder="1" applyAlignment="1">
      <alignment horizontal="center"/>
    </xf>
    <xf numFmtId="11" fontId="0" fillId="2" borderId="0" xfId="0" applyNumberFormat="1" applyFill="1"/>
    <xf numFmtId="167" fontId="0" fillId="2" borderId="0" xfId="0" applyNumberFormat="1" applyFill="1" applyBorder="1" applyAlignment="1">
      <alignment horizontal="center"/>
    </xf>
    <xf numFmtId="0" fontId="0" fillId="2" borderId="0" xfId="0" applyFill="1"/>
    <xf numFmtId="170" fontId="0" fillId="0" borderId="3" xfId="0" applyNumberFormat="1" applyBorder="1"/>
    <xf numFmtId="171" fontId="0" fillId="0" borderId="0" xfId="0" applyNumberFormat="1"/>
    <xf numFmtId="170" fontId="0" fillId="0" borderId="3" xfId="0" applyNumberFormat="1" applyFont="1" applyBorder="1"/>
    <xf numFmtId="2" fontId="0" fillId="0" borderId="0" xfId="0" applyNumberFormat="1"/>
    <xf numFmtId="168" fontId="0" fillId="0" borderId="0" xfId="0" applyNumberFormat="1" applyAlignment="1">
      <alignment horizontal="right"/>
    </xf>
    <xf numFmtId="168" fontId="0" fillId="2" borderId="0" xfId="0" applyNumberFormat="1" applyFill="1" applyBorder="1" applyAlignment="1">
      <alignment horizontal="right" wrapText="1"/>
    </xf>
    <xf numFmtId="0" fontId="0" fillId="0" borderId="2" xfId="0" applyBorder="1"/>
    <xf numFmtId="0" fontId="0" fillId="0" borderId="4" xfId="0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6" fontId="0" fillId="0" borderId="0" xfId="0" applyNumberFormat="1"/>
    <xf numFmtId="167" fontId="0" fillId="0" borderId="0" xfId="0" applyNumberFormat="1"/>
    <xf numFmtId="167" fontId="0" fillId="0" borderId="0" xfId="0" applyNumberFormat="1" applyFill="1" applyBorder="1" applyAlignment="1">
      <alignment horizontal="center"/>
    </xf>
    <xf numFmtId="167" fontId="0" fillId="0" borderId="0" xfId="0" applyNumberFormat="1" applyFont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167" fontId="0" fillId="0" borderId="7" xfId="0" applyNumberFormat="1" applyBorder="1" applyAlignment="1">
      <alignment horizontal="center"/>
    </xf>
    <xf numFmtId="167" fontId="0" fillId="0" borderId="4" xfId="0" applyNumberFormat="1" applyBorder="1" applyAlignment="1">
      <alignment horizontal="center"/>
    </xf>
    <xf numFmtId="167" fontId="0" fillId="0" borderId="8" xfId="0" applyNumberFormat="1" applyBorder="1" applyAlignment="1">
      <alignment horizontal="center"/>
    </xf>
    <xf numFmtId="167" fontId="0" fillId="0" borderId="0" xfId="0" applyNumberFormat="1" applyFill="1" applyAlignment="1">
      <alignment horizontal="center"/>
    </xf>
    <xf numFmtId="168" fontId="0" fillId="0" borderId="3" xfId="0" applyNumberFormat="1" applyFill="1" applyBorder="1"/>
    <xf numFmtId="167" fontId="0" fillId="0" borderId="4" xfId="0" applyNumberFormat="1" applyFill="1" applyBorder="1" applyAlignment="1">
      <alignment horizontal="center"/>
    </xf>
    <xf numFmtId="0" fontId="0" fillId="0" borderId="3" xfId="0" applyBorder="1"/>
    <xf numFmtId="0" fontId="0" fillId="0" borderId="6" xfId="0" applyBorder="1"/>
    <xf numFmtId="168" fontId="0" fillId="2" borderId="0" xfId="0" applyNumberFormat="1" applyFill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 applyFill="1"/>
    <xf numFmtId="168" fontId="0" fillId="0" borderId="0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1" fontId="0" fillId="0" borderId="0" xfId="0" applyNumberFormat="1" applyAlignment="1">
      <alignment horizontal="right"/>
    </xf>
    <xf numFmtId="170" fontId="0" fillId="0" borderId="0" xfId="0" applyNumberForma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Frequency domain representation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2269898596690822"/>
          <c:y val="0.11342640953046468"/>
          <c:w val="0.79333925765427749"/>
          <c:h val="0.74550407868732782"/>
        </c:manualLayout>
      </c:layout>
      <c:scatterChart>
        <c:scatterStyle val="lineMarker"/>
        <c:varyColors val="0"/>
        <c:ser>
          <c:idx val="2"/>
          <c:order val="0"/>
          <c:tx>
            <c:v>Gs Test Data</c:v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'Initial Guess'!$F$6:$F$43</c:f>
              <c:numCache>
                <c:formatCode>0.0000E+00</c:formatCode>
                <c:ptCount val="38"/>
                <c:pt idx="0">
                  <c:v>7.9399999999999998E-2</c:v>
                </c:pt>
                <c:pt idx="1">
                  <c:v>0.159</c:v>
                </c:pt>
                <c:pt idx="2">
                  <c:v>0.23799999999999999</c:v>
                </c:pt>
                <c:pt idx="3">
                  <c:v>0.318</c:v>
                </c:pt>
                <c:pt idx="4">
                  <c:v>0.47699999999999998</c:v>
                </c:pt>
                <c:pt idx="5">
                  <c:v>0.79400000000000004</c:v>
                </c:pt>
                <c:pt idx="6">
                  <c:v>1.27</c:v>
                </c:pt>
                <c:pt idx="7">
                  <c:v>1.99</c:v>
                </c:pt>
                <c:pt idx="8">
                  <c:v>3.18</c:v>
                </c:pt>
                <c:pt idx="9">
                  <c:v>5.62</c:v>
                </c:pt>
                <c:pt idx="10">
                  <c:v>7.94</c:v>
                </c:pt>
                <c:pt idx="11">
                  <c:v>12.7</c:v>
                </c:pt>
                <c:pt idx="12">
                  <c:v>22.5</c:v>
                </c:pt>
                <c:pt idx="13">
                  <c:v>35.4</c:v>
                </c:pt>
                <c:pt idx="14">
                  <c:v>60</c:v>
                </c:pt>
                <c:pt idx="15">
                  <c:v>79.400000000000006</c:v>
                </c:pt>
                <c:pt idx="16">
                  <c:v>100</c:v>
                </c:pt>
                <c:pt idx="17">
                  <c:v>160</c:v>
                </c:pt>
                <c:pt idx="18">
                  <c:v>238</c:v>
                </c:pt>
                <c:pt idx="19">
                  <c:v>285</c:v>
                </c:pt>
                <c:pt idx="20">
                  <c:v>400</c:v>
                </c:pt>
                <c:pt idx="21">
                  <c:v>533</c:v>
                </c:pt>
                <c:pt idx="22">
                  <c:v>794</c:v>
                </c:pt>
                <c:pt idx="23">
                  <c:v>1000</c:v>
                </c:pt>
                <c:pt idx="24">
                  <c:v>1600</c:v>
                </c:pt>
                <c:pt idx="25">
                  <c:v>2380</c:v>
                </c:pt>
                <c:pt idx="26" formatCode="0.0E+00">
                  <c:v>3180</c:v>
                </c:pt>
                <c:pt idx="27" formatCode="0.0E+00">
                  <c:v>4770</c:v>
                </c:pt>
                <c:pt idx="28" formatCode="General">
                  <c:v>7940</c:v>
                </c:pt>
                <c:pt idx="29" formatCode="General">
                  <c:v>12700</c:v>
                </c:pt>
                <c:pt idx="30" formatCode="General">
                  <c:v>19900</c:v>
                </c:pt>
                <c:pt idx="31" formatCode="General">
                  <c:v>31800</c:v>
                </c:pt>
                <c:pt idx="32" formatCode="General">
                  <c:v>50000</c:v>
                </c:pt>
                <c:pt idx="33" formatCode="General">
                  <c:v>79400</c:v>
                </c:pt>
                <c:pt idx="34" formatCode="General">
                  <c:v>127000</c:v>
                </c:pt>
                <c:pt idx="35" formatCode="General">
                  <c:v>238000</c:v>
                </c:pt>
                <c:pt idx="36" formatCode="General">
                  <c:v>500000</c:v>
                </c:pt>
                <c:pt idx="37" formatCode="General">
                  <c:v>794000</c:v>
                </c:pt>
              </c:numCache>
            </c:numRef>
          </c:xVal>
          <c:yVal>
            <c:numRef>
              <c:f>'Initial Guess'!$G$6:$G$43</c:f>
              <c:numCache>
                <c:formatCode>0.000</c:formatCode>
                <c:ptCount val="38"/>
                <c:pt idx="0">
                  <c:v>2.08</c:v>
                </c:pt>
                <c:pt idx="1">
                  <c:v>2.12</c:v>
                </c:pt>
                <c:pt idx="2">
                  <c:v>2.17</c:v>
                </c:pt>
                <c:pt idx="3">
                  <c:v>2.2200000000000002</c:v>
                </c:pt>
                <c:pt idx="4">
                  <c:v>2.33</c:v>
                </c:pt>
                <c:pt idx="5">
                  <c:v>2.5099999999999998</c:v>
                </c:pt>
                <c:pt idx="6">
                  <c:v>2.74</c:v>
                </c:pt>
                <c:pt idx="7">
                  <c:v>3.04</c:v>
                </c:pt>
                <c:pt idx="8">
                  <c:v>3.46</c:v>
                </c:pt>
                <c:pt idx="9">
                  <c:v>4.1399999999999997</c:v>
                </c:pt>
                <c:pt idx="10">
                  <c:v>4.79</c:v>
                </c:pt>
                <c:pt idx="11">
                  <c:v>5.84</c:v>
                </c:pt>
                <c:pt idx="12">
                  <c:v>7.62</c:v>
                </c:pt>
                <c:pt idx="13">
                  <c:v>9.84</c:v>
                </c:pt>
                <c:pt idx="14">
                  <c:v>13.2</c:v>
                </c:pt>
                <c:pt idx="15">
                  <c:v>16.3</c:v>
                </c:pt>
                <c:pt idx="16">
                  <c:v>19.399999999999999</c:v>
                </c:pt>
                <c:pt idx="17">
                  <c:v>26.5</c:v>
                </c:pt>
                <c:pt idx="18">
                  <c:v>34.4</c:v>
                </c:pt>
                <c:pt idx="19">
                  <c:v>38.299999999999997</c:v>
                </c:pt>
                <c:pt idx="20">
                  <c:v>50.1</c:v>
                </c:pt>
                <c:pt idx="21">
                  <c:v>58.8</c:v>
                </c:pt>
                <c:pt idx="22">
                  <c:v>73.7</c:v>
                </c:pt>
                <c:pt idx="23">
                  <c:v>86.4</c:v>
                </c:pt>
                <c:pt idx="24">
                  <c:v>106</c:v>
                </c:pt>
                <c:pt idx="25">
                  <c:v>138</c:v>
                </c:pt>
                <c:pt idx="26">
                  <c:v>159</c:v>
                </c:pt>
                <c:pt idx="27">
                  <c:v>188</c:v>
                </c:pt>
                <c:pt idx="28">
                  <c:v>225</c:v>
                </c:pt>
                <c:pt idx="29">
                  <c:v>258</c:v>
                </c:pt>
                <c:pt idx="30">
                  <c:v>292</c:v>
                </c:pt>
                <c:pt idx="31">
                  <c:v>328</c:v>
                </c:pt>
                <c:pt idx="32">
                  <c:v>354</c:v>
                </c:pt>
                <c:pt idx="33">
                  <c:v>386</c:v>
                </c:pt>
                <c:pt idx="34">
                  <c:v>418</c:v>
                </c:pt>
                <c:pt idx="35">
                  <c:v>461</c:v>
                </c:pt>
                <c:pt idx="36">
                  <c:v>501</c:v>
                </c:pt>
                <c:pt idx="37">
                  <c:v>530</c:v>
                </c:pt>
              </c:numCache>
            </c:numRef>
          </c:yVal>
          <c:smooth val="0"/>
        </c:ser>
        <c:ser>
          <c:idx val="0"/>
          <c:order val="1"/>
          <c:tx>
            <c:v>Gs from Prony</c:v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'Initial Guess'!$F$4:$F$45</c:f>
              <c:numCache>
                <c:formatCode>0.0E+00</c:formatCode>
                <c:ptCount val="42"/>
                <c:pt idx="0">
                  <c:v>1E-3</c:v>
                </c:pt>
                <c:pt idx="1">
                  <c:v>0.01</c:v>
                </c:pt>
                <c:pt idx="2" formatCode="0.0000E+00">
                  <c:v>7.9399999999999998E-2</c:v>
                </c:pt>
                <c:pt idx="3" formatCode="0.0000E+00">
                  <c:v>0.159</c:v>
                </c:pt>
                <c:pt idx="4" formatCode="0.0000E+00">
                  <c:v>0.23799999999999999</c:v>
                </c:pt>
                <c:pt idx="5" formatCode="0.0000E+00">
                  <c:v>0.318</c:v>
                </c:pt>
                <c:pt idx="6" formatCode="0.0000E+00">
                  <c:v>0.47699999999999998</c:v>
                </c:pt>
                <c:pt idx="7" formatCode="0.0000E+00">
                  <c:v>0.79400000000000004</c:v>
                </c:pt>
                <c:pt idx="8" formatCode="0.0000E+00">
                  <c:v>1.27</c:v>
                </c:pt>
                <c:pt idx="9" formatCode="0.0000E+00">
                  <c:v>1.99</c:v>
                </c:pt>
                <c:pt idx="10" formatCode="0.0000E+00">
                  <c:v>3.18</c:v>
                </c:pt>
                <c:pt idx="11" formatCode="0.0000E+00">
                  <c:v>5.62</c:v>
                </c:pt>
                <c:pt idx="12" formatCode="0.0000E+00">
                  <c:v>7.94</c:v>
                </c:pt>
                <c:pt idx="13" formatCode="0.0000E+00">
                  <c:v>12.7</c:v>
                </c:pt>
                <c:pt idx="14" formatCode="0.0000E+00">
                  <c:v>22.5</c:v>
                </c:pt>
                <c:pt idx="15" formatCode="0.0000E+00">
                  <c:v>35.4</c:v>
                </c:pt>
                <c:pt idx="16" formatCode="0.0000E+00">
                  <c:v>60</c:v>
                </c:pt>
                <c:pt idx="17" formatCode="0.0000E+00">
                  <c:v>79.400000000000006</c:v>
                </c:pt>
                <c:pt idx="18" formatCode="0.0000E+00">
                  <c:v>100</c:v>
                </c:pt>
                <c:pt idx="19" formatCode="0.0000E+00">
                  <c:v>160</c:v>
                </c:pt>
                <c:pt idx="20" formatCode="0.0000E+00">
                  <c:v>238</c:v>
                </c:pt>
                <c:pt idx="21" formatCode="0.0000E+00">
                  <c:v>285</c:v>
                </c:pt>
                <c:pt idx="22" formatCode="0.0000E+00">
                  <c:v>400</c:v>
                </c:pt>
                <c:pt idx="23" formatCode="0.0000E+00">
                  <c:v>533</c:v>
                </c:pt>
                <c:pt idx="24" formatCode="0.0000E+00">
                  <c:v>794</c:v>
                </c:pt>
                <c:pt idx="25" formatCode="0.0000E+00">
                  <c:v>1000</c:v>
                </c:pt>
                <c:pt idx="26" formatCode="0.0000E+00">
                  <c:v>1600</c:v>
                </c:pt>
                <c:pt idx="27" formatCode="0.0000E+00">
                  <c:v>2380</c:v>
                </c:pt>
                <c:pt idx="28">
                  <c:v>3180</c:v>
                </c:pt>
                <c:pt idx="29">
                  <c:v>4770</c:v>
                </c:pt>
                <c:pt idx="30" formatCode="General">
                  <c:v>7940</c:v>
                </c:pt>
                <c:pt idx="31" formatCode="General">
                  <c:v>12700</c:v>
                </c:pt>
                <c:pt idx="32" formatCode="General">
                  <c:v>19900</c:v>
                </c:pt>
                <c:pt idx="33" formatCode="General">
                  <c:v>31800</c:v>
                </c:pt>
                <c:pt idx="34" formatCode="General">
                  <c:v>50000</c:v>
                </c:pt>
                <c:pt idx="35" formatCode="General">
                  <c:v>79400</c:v>
                </c:pt>
                <c:pt idx="36" formatCode="General">
                  <c:v>127000</c:v>
                </c:pt>
                <c:pt idx="37" formatCode="General">
                  <c:v>238000</c:v>
                </c:pt>
                <c:pt idx="38" formatCode="General">
                  <c:v>500000</c:v>
                </c:pt>
                <c:pt idx="39" formatCode="General">
                  <c:v>794000</c:v>
                </c:pt>
                <c:pt idx="40" formatCode="0.00E+00">
                  <c:v>10000000</c:v>
                </c:pt>
                <c:pt idx="41" formatCode="0.00E+00">
                  <c:v>100000000</c:v>
                </c:pt>
              </c:numCache>
            </c:numRef>
          </c:xVal>
          <c:yVal>
            <c:numRef>
              <c:f>'Initial Guess'!$J$4:$J$45</c:f>
              <c:numCache>
                <c:formatCode>0.000</c:formatCode>
                <c:ptCount val="42"/>
                <c:pt idx="0">
                  <c:v>2.0703958974477512</c:v>
                </c:pt>
                <c:pt idx="1">
                  <c:v>2.078620421161903</c:v>
                </c:pt>
                <c:pt idx="2">
                  <c:v>2.493388008822107</c:v>
                </c:pt>
                <c:pt idx="3">
                  <c:v>3.1462210875667251</c:v>
                </c:pt>
                <c:pt idx="4">
                  <c:v>3.5933496615254268</c:v>
                </c:pt>
                <c:pt idx="5">
                  <c:v>3.8882458214414508</c:v>
                </c:pt>
                <c:pt idx="6">
                  <c:v>4.2820902014141442</c:v>
                </c:pt>
                <c:pt idx="7">
                  <c:v>4.9068060213509046</c:v>
                </c:pt>
                <c:pt idx="8">
                  <c:v>5.7729232736824283</c:v>
                </c:pt>
                <c:pt idx="9">
                  <c:v>6.7829124352655814</c:v>
                </c:pt>
                <c:pt idx="10">
                  <c:v>7.7713187267630062</c:v>
                </c:pt>
                <c:pt idx="11">
                  <c:v>8.9113314541122968</c:v>
                </c:pt>
                <c:pt idx="12">
                  <c:v>9.8127805455394856</c:v>
                </c:pt>
                <c:pt idx="13">
                  <c:v>11.54552145933636</c:v>
                </c:pt>
                <c:pt idx="14">
                  <c:v>14.111357058924511</c:v>
                </c:pt>
                <c:pt idx="15">
                  <c:v>15.959141996306155</c:v>
                </c:pt>
                <c:pt idx="16">
                  <c:v>18.124153209043136</c:v>
                </c:pt>
                <c:pt idx="17">
                  <c:v>19.625552759610251</c:v>
                </c:pt>
                <c:pt idx="18">
                  <c:v>21.177691569391712</c:v>
                </c:pt>
                <c:pt idx="19">
                  <c:v>25.144313741690155</c:v>
                </c:pt>
                <c:pt idx="20">
                  <c:v>28.709743524551119</c:v>
                </c:pt>
                <c:pt idx="21">
                  <c:v>30.212757828688417</c:v>
                </c:pt>
                <c:pt idx="22">
                  <c:v>32.85885804257623</c:v>
                </c:pt>
                <c:pt idx="23">
                  <c:v>35.177899388521872</c:v>
                </c:pt>
                <c:pt idx="24">
                  <c:v>39.251104116940766</c:v>
                </c:pt>
                <c:pt idx="25">
                  <c:v>42.355380993985669</c:v>
                </c:pt>
                <c:pt idx="26">
                  <c:v>50.288622106463663</c:v>
                </c:pt>
                <c:pt idx="27">
                  <c:v>57.419475187902322</c:v>
                </c:pt>
                <c:pt idx="28">
                  <c:v>62.170319751615665</c:v>
                </c:pt>
                <c:pt idx="29">
                  <c:v>68.494883831153643</c:v>
                </c:pt>
                <c:pt idx="30">
                  <c:v>78.502076323419431</c:v>
                </c:pt>
                <c:pt idx="31">
                  <c:v>92.363814243389953</c:v>
                </c:pt>
                <c:pt idx="32">
                  <c:v>108.52468880571097</c:v>
                </c:pt>
                <c:pt idx="33">
                  <c:v>124.3385236374105</c:v>
                </c:pt>
                <c:pt idx="34">
                  <c:v>138.53510779548253</c:v>
                </c:pt>
                <c:pt idx="35">
                  <c:v>156.99096200881641</c:v>
                </c:pt>
                <c:pt idx="36">
                  <c:v>184.69388302344058</c:v>
                </c:pt>
                <c:pt idx="37">
                  <c:v>229.55703744507946</c:v>
                </c:pt>
                <c:pt idx="38">
                  <c:v>276.54764231685573</c:v>
                </c:pt>
                <c:pt idx="39">
                  <c:v>312.66610228469079</c:v>
                </c:pt>
                <c:pt idx="40">
                  <c:v>523.41957859777199</c:v>
                </c:pt>
                <c:pt idx="41">
                  <c:v>529.93255440242865</c:v>
                </c:pt>
              </c:numCache>
            </c:numRef>
          </c:yVal>
          <c:smooth val="0"/>
        </c:ser>
        <c:ser>
          <c:idx val="1"/>
          <c:order val="2"/>
          <c:tx>
            <c:v>Gl Test Data</c:v>
          </c:tx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'Initial Guess'!$F$6:$F$43</c:f>
              <c:numCache>
                <c:formatCode>0.0000E+00</c:formatCode>
                <c:ptCount val="38"/>
                <c:pt idx="0">
                  <c:v>7.9399999999999998E-2</c:v>
                </c:pt>
                <c:pt idx="1">
                  <c:v>0.159</c:v>
                </c:pt>
                <c:pt idx="2">
                  <c:v>0.23799999999999999</c:v>
                </c:pt>
                <c:pt idx="3">
                  <c:v>0.318</c:v>
                </c:pt>
                <c:pt idx="4">
                  <c:v>0.47699999999999998</c:v>
                </c:pt>
                <c:pt idx="5">
                  <c:v>0.79400000000000004</c:v>
                </c:pt>
                <c:pt idx="6">
                  <c:v>1.27</c:v>
                </c:pt>
                <c:pt idx="7">
                  <c:v>1.99</c:v>
                </c:pt>
                <c:pt idx="8">
                  <c:v>3.18</c:v>
                </c:pt>
                <c:pt idx="9">
                  <c:v>5.62</c:v>
                </c:pt>
                <c:pt idx="10">
                  <c:v>7.94</c:v>
                </c:pt>
                <c:pt idx="11">
                  <c:v>12.7</c:v>
                </c:pt>
                <c:pt idx="12">
                  <c:v>22.5</c:v>
                </c:pt>
                <c:pt idx="13">
                  <c:v>35.4</c:v>
                </c:pt>
                <c:pt idx="14">
                  <c:v>60</c:v>
                </c:pt>
                <c:pt idx="15">
                  <c:v>79.400000000000006</c:v>
                </c:pt>
                <c:pt idx="16">
                  <c:v>100</c:v>
                </c:pt>
                <c:pt idx="17">
                  <c:v>160</c:v>
                </c:pt>
                <c:pt idx="18">
                  <c:v>238</c:v>
                </c:pt>
                <c:pt idx="19">
                  <c:v>285</c:v>
                </c:pt>
                <c:pt idx="20">
                  <c:v>400</c:v>
                </c:pt>
                <c:pt idx="21">
                  <c:v>533</c:v>
                </c:pt>
                <c:pt idx="22">
                  <c:v>794</c:v>
                </c:pt>
                <c:pt idx="23">
                  <c:v>1000</c:v>
                </c:pt>
                <c:pt idx="24">
                  <c:v>1600</c:v>
                </c:pt>
                <c:pt idx="25">
                  <c:v>2380</c:v>
                </c:pt>
                <c:pt idx="26" formatCode="0.0E+00">
                  <c:v>3180</c:v>
                </c:pt>
                <c:pt idx="27" formatCode="0.0E+00">
                  <c:v>4770</c:v>
                </c:pt>
                <c:pt idx="28" formatCode="General">
                  <c:v>7940</c:v>
                </c:pt>
                <c:pt idx="29" formatCode="General">
                  <c:v>12700</c:v>
                </c:pt>
                <c:pt idx="30" formatCode="General">
                  <c:v>19900</c:v>
                </c:pt>
                <c:pt idx="31" formatCode="General">
                  <c:v>31800</c:v>
                </c:pt>
                <c:pt idx="32" formatCode="General">
                  <c:v>50000</c:v>
                </c:pt>
                <c:pt idx="33" formatCode="General">
                  <c:v>79400</c:v>
                </c:pt>
                <c:pt idx="34" formatCode="General">
                  <c:v>127000</c:v>
                </c:pt>
                <c:pt idx="35" formatCode="General">
                  <c:v>238000</c:v>
                </c:pt>
                <c:pt idx="36" formatCode="General">
                  <c:v>500000</c:v>
                </c:pt>
                <c:pt idx="37" formatCode="General">
                  <c:v>794000</c:v>
                </c:pt>
              </c:numCache>
            </c:numRef>
          </c:xVal>
          <c:yVal>
            <c:numRef>
              <c:f>'Initial Guess'!$H$6:$H$43</c:f>
              <c:numCache>
                <c:formatCode>0.000</c:formatCode>
                <c:ptCount val="38"/>
                <c:pt idx="0">
                  <c:v>0.182</c:v>
                </c:pt>
                <c:pt idx="1">
                  <c:v>0.31599999200000006</c:v>
                </c:pt>
                <c:pt idx="2">
                  <c:v>0.44100000769999997</c:v>
                </c:pt>
                <c:pt idx="3">
                  <c:v>0.55500000000000005</c:v>
                </c:pt>
                <c:pt idx="4">
                  <c:v>0.751000008</c:v>
                </c:pt>
                <c:pt idx="5">
                  <c:v>1.0799999887999998</c:v>
                </c:pt>
                <c:pt idx="6">
                  <c:v>1.4899999988000001</c:v>
                </c:pt>
                <c:pt idx="7">
                  <c:v>2.0099999984000001</c:v>
                </c:pt>
                <c:pt idx="8">
                  <c:v>2.7500000074000002</c:v>
                </c:pt>
                <c:pt idx="9">
                  <c:v>3.9800000123999997</c:v>
                </c:pt>
                <c:pt idx="10">
                  <c:v>5.109999782</c:v>
                </c:pt>
                <c:pt idx="11">
                  <c:v>7.0900000240000001</c:v>
                </c:pt>
                <c:pt idx="12">
                  <c:v>10.500000336000001</c:v>
                </c:pt>
                <c:pt idx="13">
                  <c:v>14.499999647999999</c:v>
                </c:pt>
                <c:pt idx="14">
                  <c:v>20.30000016</c:v>
                </c:pt>
                <c:pt idx="15">
                  <c:v>24.500000249999999</c:v>
                </c:pt>
                <c:pt idx="16">
                  <c:v>28.099999839999995</c:v>
                </c:pt>
                <c:pt idx="17">
                  <c:v>35.775000000000006</c:v>
                </c:pt>
                <c:pt idx="18">
                  <c:v>43.299998959999996</c:v>
                </c:pt>
                <c:pt idx="19">
                  <c:v>46.725999999999992</c:v>
                </c:pt>
                <c:pt idx="20">
                  <c:v>57.300001260000002</c:v>
                </c:pt>
                <c:pt idx="21">
                  <c:v>63.100002839999995</c:v>
                </c:pt>
                <c:pt idx="22">
                  <c:v>70.751999999999995</c:v>
                </c:pt>
                <c:pt idx="23">
                  <c:v>78.499999584000008</c:v>
                </c:pt>
                <c:pt idx="24">
                  <c:v>85.199999480000002</c:v>
                </c:pt>
                <c:pt idx="25">
                  <c:v>98.400000239999997</c:v>
                </c:pt>
                <c:pt idx="26">
                  <c:v>102.99999966</c:v>
                </c:pt>
                <c:pt idx="27">
                  <c:v>108.99999923999999</c:v>
                </c:pt>
                <c:pt idx="28">
                  <c:v>114.99999975</c:v>
                </c:pt>
                <c:pt idx="29">
                  <c:v>118.99999998</c:v>
                </c:pt>
                <c:pt idx="30">
                  <c:v>120.99999951999999</c:v>
                </c:pt>
                <c:pt idx="31">
                  <c:v>122.00000016000001</c:v>
                </c:pt>
                <c:pt idx="32">
                  <c:v>118.99999926000001</c:v>
                </c:pt>
                <c:pt idx="33">
                  <c:v>117.99999928000001</c:v>
                </c:pt>
                <c:pt idx="34">
                  <c:v>117.99999969999999</c:v>
                </c:pt>
                <c:pt idx="35">
                  <c:v>117.00000210000002</c:v>
                </c:pt>
                <c:pt idx="36">
                  <c:v>115.00000092000001</c:v>
                </c:pt>
                <c:pt idx="37">
                  <c:v>113.0000015</c:v>
                </c:pt>
              </c:numCache>
            </c:numRef>
          </c:yVal>
          <c:smooth val="0"/>
        </c:ser>
        <c:ser>
          <c:idx val="3"/>
          <c:order val="3"/>
          <c:tx>
            <c:v>Gl from Prony</c:v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'Initial Guess'!$F$5:$F$45</c:f>
              <c:numCache>
                <c:formatCode>0.0000E+00</c:formatCode>
                <c:ptCount val="41"/>
                <c:pt idx="0" formatCode="0.0E+00">
                  <c:v>0.01</c:v>
                </c:pt>
                <c:pt idx="1">
                  <c:v>7.9399999999999998E-2</c:v>
                </c:pt>
                <c:pt idx="2">
                  <c:v>0.159</c:v>
                </c:pt>
                <c:pt idx="3">
                  <c:v>0.23799999999999999</c:v>
                </c:pt>
                <c:pt idx="4">
                  <c:v>0.318</c:v>
                </c:pt>
                <c:pt idx="5">
                  <c:v>0.47699999999999998</c:v>
                </c:pt>
                <c:pt idx="6">
                  <c:v>0.79400000000000004</c:v>
                </c:pt>
                <c:pt idx="7">
                  <c:v>1.27</c:v>
                </c:pt>
                <c:pt idx="8">
                  <c:v>1.99</c:v>
                </c:pt>
                <c:pt idx="9">
                  <c:v>3.18</c:v>
                </c:pt>
                <c:pt idx="10">
                  <c:v>5.62</c:v>
                </c:pt>
                <c:pt idx="11">
                  <c:v>7.94</c:v>
                </c:pt>
                <c:pt idx="12">
                  <c:v>12.7</c:v>
                </c:pt>
                <c:pt idx="13">
                  <c:v>22.5</c:v>
                </c:pt>
                <c:pt idx="14">
                  <c:v>35.4</c:v>
                </c:pt>
                <c:pt idx="15">
                  <c:v>60</c:v>
                </c:pt>
                <c:pt idx="16">
                  <c:v>79.400000000000006</c:v>
                </c:pt>
                <c:pt idx="17">
                  <c:v>100</c:v>
                </c:pt>
                <c:pt idx="18">
                  <c:v>160</c:v>
                </c:pt>
                <c:pt idx="19">
                  <c:v>238</c:v>
                </c:pt>
                <c:pt idx="20">
                  <c:v>285</c:v>
                </c:pt>
                <c:pt idx="21">
                  <c:v>400</c:v>
                </c:pt>
                <c:pt idx="22">
                  <c:v>533</c:v>
                </c:pt>
                <c:pt idx="23">
                  <c:v>794</c:v>
                </c:pt>
                <c:pt idx="24">
                  <c:v>1000</c:v>
                </c:pt>
                <c:pt idx="25">
                  <c:v>1600</c:v>
                </c:pt>
                <c:pt idx="26">
                  <c:v>2380</c:v>
                </c:pt>
                <c:pt idx="27" formatCode="0.0E+00">
                  <c:v>3180</c:v>
                </c:pt>
                <c:pt idx="28" formatCode="0.0E+00">
                  <c:v>4770</c:v>
                </c:pt>
                <c:pt idx="29" formatCode="General">
                  <c:v>7940</c:v>
                </c:pt>
                <c:pt idx="30" formatCode="General">
                  <c:v>12700</c:v>
                </c:pt>
                <c:pt idx="31" formatCode="General">
                  <c:v>19900</c:v>
                </c:pt>
                <c:pt idx="32" formatCode="General">
                  <c:v>31800</c:v>
                </c:pt>
                <c:pt idx="33" formatCode="General">
                  <c:v>50000</c:v>
                </c:pt>
                <c:pt idx="34" formatCode="General">
                  <c:v>79400</c:v>
                </c:pt>
                <c:pt idx="35" formatCode="General">
                  <c:v>127000</c:v>
                </c:pt>
                <c:pt idx="36" formatCode="General">
                  <c:v>238000</c:v>
                </c:pt>
                <c:pt idx="37" formatCode="General">
                  <c:v>500000</c:v>
                </c:pt>
                <c:pt idx="38" formatCode="General">
                  <c:v>794000</c:v>
                </c:pt>
                <c:pt idx="39" formatCode="0.00E+00">
                  <c:v>10000000</c:v>
                </c:pt>
                <c:pt idx="40" formatCode="0.00E+00">
                  <c:v>100000000</c:v>
                </c:pt>
              </c:numCache>
            </c:numRef>
          </c:xVal>
          <c:yVal>
            <c:numRef>
              <c:f>'Initial Guess'!$K$5:$K$45</c:f>
              <c:numCache>
                <c:formatCode>0.000</c:formatCode>
                <c:ptCount val="41"/>
                <c:pt idx="0">
                  <c:v>0.16208899610479136</c:v>
                </c:pt>
                <c:pt idx="1">
                  <c:v>1.0847098059847495</c:v>
                </c:pt>
                <c:pt idx="2">
                  <c:v>1.5481273658752523</c:v>
                </c:pt>
                <c:pt idx="3">
                  <c:v>1.7170590700170583</c:v>
                </c:pt>
                <c:pt idx="4">
                  <c:v>1.8309175341529553</c:v>
                </c:pt>
                <c:pt idx="5">
                  <c:v>2.0702743693017385</c:v>
                </c:pt>
                <c:pt idx="6">
                  <c:v>2.5683514178084206</c:v>
                </c:pt>
                <c:pt idx="7">
                  <c:v>3.0958947963713581</c:v>
                </c:pt>
                <c:pt idx="8">
                  <c:v>3.4624747403057392</c:v>
                </c:pt>
                <c:pt idx="9">
                  <c:v>3.7650867730581732</c:v>
                </c:pt>
                <c:pt idx="10">
                  <c:v>4.4742530296348528</c:v>
                </c:pt>
                <c:pt idx="11">
                  <c:v>5.1779205590129198</c:v>
                </c:pt>
                <c:pt idx="12">
                  <c:v>6.217307516327641</c:v>
                </c:pt>
                <c:pt idx="13">
                  <c:v>7.0902761005073023</c:v>
                </c:pt>
                <c:pt idx="14">
                  <c:v>7.7216178882204805</c:v>
                </c:pt>
                <c:pt idx="15">
                  <c:v>9.1911627055836114</c:v>
                </c:pt>
                <c:pt idx="16">
                  <c:v>10.357346891262329</c:v>
                </c:pt>
                <c:pt idx="17">
                  <c:v>11.404916997238582</c:v>
                </c:pt>
                <c:pt idx="18">
                  <c:v>13.262620977759925</c:v>
                </c:pt>
                <c:pt idx="19">
                  <c:v>14.307034033621791</c:v>
                </c:pt>
                <c:pt idx="20">
                  <c:v>14.753837485242485</c:v>
                </c:pt>
                <c:pt idx="21">
                  <c:v>15.929786826940678</c:v>
                </c:pt>
                <c:pt idx="22">
                  <c:v>17.524095149100663</c:v>
                </c:pt>
                <c:pt idx="23">
                  <c:v>20.688667870159232</c:v>
                </c:pt>
                <c:pt idx="24">
                  <c:v>22.776862612940349</c:v>
                </c:pt>
                <c:pt idx="25">
                  <c:v>26.472166482443992</c:v>
                </c:pt>
                <c:pt idx="26">
                  <c:v>28.534950415125376</c:v>
                </c:pt>
                <c:pt idx="27">
                  <c:v>30.033003657866477</c:v>
                </c:pt>
                <c:pt idx="28">
                  <c:v>33.5072392869249</c:v>
                </c:pt>
                <c:pt idx="29">
                  <c:v>41.112968300828953</c:v>
                </c:pt>
                <c:pt idx="30">
                  <c:v>49.224960903189093</c:v>
                </c:pt>
                <c:pt idx="31">
                  <c:v>54.711987677472784</c:v>
                </c:pt>
                <c:pt idx="32">
                  <c:v>59.007053853322631</c:v>
                </c:pt>
                <c:pt idx="33">
                  <c:v>66.4606014490696</c:v>
                </c:pt>
                <c:pt idx="34">
                  <c:v>79.581916516673573</c:v>
                </c:pt>
                <c:pt idx="35">
                  <c:v>94.22098164743673</c:v>
                </c:pt>
                <c:pt idx="36">
                  <c:v>104.63087428389332</c:v>
                </c:pt>
                <c:pt idx="37">
                  <c:v>116.28717961670328</c:v>
                </c:pt>
                <c:pt idx="38">
                  <c:v>132.78857739978955</c:v>
                </c:pt>
                <c:pt idx="39">
                  <c:v>43.353378803298313</c:v>
                </c:pt>
                <c:pt idx="40">
                  <c:v>4.4385166585283837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769152"/>
        <c:axId val="162775424"/>
      </c:scatterChart>
      <c:scatterChart>
        <c:scatterStyle val="lineMarker"/>
        <c:varyColors val="0"/>
        <c:ser>
          <c:idx val="4"/>
          <c:order val="4"/>
          <c:tx>
            <c:v>Tan Delta Test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'Initial Guess'!$F$6:$F$43</c:f>
              <c:numCache>
                <c:formatCode>0.0000E+00</c:formatCode>
                <c:ptCount val="38"/>
                <c:pt idx="0">
                  <c:v>7.9399999999999998E-2</c:v>
                </c:pt>
                <c:pt idx="1">
                  <c:v>0.159</c:v>
                </c:pt>
                <c:pt idx="2">
                  <c:v>0.23799999999999999</c:v>
                </c:pt>
                <c:pt idx="3">
                  <c:v>0.318</c:v>
                </c:pt>
                <c:pt idx="4">
                  <c:v>0.47699999999999998</c:v>
                </c:pt>
                <c:pt idx="5">
                  <c:v>0.79400000000000004</c:v>
                </c:pt>
                <c:pt idx="6">
                  <c:v>1.27</c:v>
                </c:pt>
                <c:pt idx="7">
                  <c:v>1.99</c:v>
                </c:pt>
                <c:pt idx="8">
                  <c:v>3.18</c:v>
                </c:pt>
                <c:pt idx="9">
                  <c:v>5.62</c:v>
                </c:pt>
                <c:pt idx="10">
                  <c:v>7.94</c:v>
                </c:pt>
                <c:pt idx="11">
                  <c:v>12.7</c:v>
                </c:pt>
                <c:pt idx="12">
                  <c:v>22.5</c:v>
                </c:pt>
                <c:pt idx="13">
                  <c:v>35.4</c:v>
                </c:pt>
                <c:pt idx="14">
                  <c:v>60</c:v>
                </c:pt>
                <c:pt idx="15">
                  <c:v>79.400000000000006</c:v>
                </c:pt>
                <c:pt idx="16">
                  <c:v>100</c:v>
                </c:pt>
                <c:pt idx="17">
                  <c:v>160</c:v>
                </c:pt>
                <c:pt idx="18">
                  <c:v>238</c:v>
                </c:pt>
                <c:pt idx="19">
                  <c:v>285</c:v>
                </c:pt>
                <c:pt idx="20">
                  <c:v>400</c:v>
                </c:pt>
                <c:pt idx="21">
                  <c:v>533</c:v>
                </c:pt>
                <c:pt idx="22">
                  <c:v>794</c:v>
                </c:pt>
                <c:pt idx="23">
                  <c:v>1000</c:v>
                </c:pt>
                <c:pt idx="24">
                  <c:v>1600</c:v>
                </c:pt>
                <c:pt idx="25">
                  <c:v>2380</c:v>
                </c:pt>
                <c:pt idx="26" formatCode="0.0E+00">
                  <c:v>3180</c:v>
                </c:pt>
                <c:pt idx="27" formatCode="0.0E+00">
                  <c:v>4770</c:v>
                </c:pt>
                <c:pt idx="28" formatCode="General">
                  <c:v>7940</c:v>
                </c:pt>
                <c:pt idx="29" formatCode="General">
                  <c:v>12700</c:v>
                </c:pt>
                <c:pt idx="30" formatCode="General">
                  <c:v>19900</c:v>
                </c:pt>
                <c:pt idx="31" formatCode="General">
                  <c:v>31800</c:v>
                </c:pt>
                <c:pt idx="32" formatCode="General">
                  <c:v>50000</c:v>
                </c:pt>
                <c:pt idx="33" formatCode="General">
                  <c:v>79400</c:v>
                </c:pt>
                <c:pt idx="34" formatCode="General">
                  <c:v>127000</c:v>
                </c:pt>
                <c:pt idx="35" formatCode="General">
                  <c:v>238000</c:v>
                </c:pt>
                <c:pt idx="36" formatCode="General">
                  <c:v>500000</c:v>
                </c:pt>
                <c:pt idx="37" formatCode="General">
                  <c:v>794000</c:v>
                </c:pt>
              </c:numCache>
            </c:numRef>
          </c:xVal>
          <c:yVal>
            <c:numRef>
              <c:f>'Initial Guess'!$I$6:$I$43</c:f>
              <c:numCache>
                <c:formatCode>0.000</c:formatCode>
                <c:ptCount val="38"/>
                <c:pt idx="0">
                  <c:v>8.7499999999999994E-2</c:v>
                </c:pt>
                <c:pt idx="1">
                  <c:v>0.14905660000000001</c:v>
                </c:pt>
                <c:pt idx="2">
                  <c:v>0.20322581000000001</c:v>
                </c:pt>
                <c:pt idx="3">
                  <c:v>0.25</c:v>
                </c:pt>
                <c:pt idx="4">
                  <c:v>0.32231759999999998</c:v>
                </c:pt>
                <c:pt idx="5">
                  <c:v>0.43027887999999997</c:v>
                </c:pt>
                <c:pt idx="6">
                  <c:v>0.54379562000000004</c:v>
                </c:pt>
                <c:pt idx="7">
                  <c:v>0.66118421000000005</c:v>
                </c:pt>
                <c:pt idx="8">
                  <c:v>0.79479769</c:v>
                </c:pt>
                <c:pt idx="9">
                  <c:v>0.96135265999999997</c:v>
                </c:pt>
                <c:pt idx="10">
                  <c:v>1.0668058</c:v>
                </c:pt>
                <c:pt idx="11">
                  <c:v>1.2140411</c:v>
                </c:pt>
                <c:pt idx="12">
                  <c:v>1.3779528000000001</c:v>
                </c:pt>
                <c:pt idx="13">
                  <c:v>1.4735772</c:v>
                </c:pt>
                <c:pt idx="14">
                  <c:v>1.5378788000000001</c:v>
                </c:pt>
                <c:pt idx="15">
                  <c:v>1.5030675</c:v>
                </c:pt>
                <c:pt idx="16">
                  <c:v>1.4484535999999999</c:v>
                </c:pt>
                <c:pt idx="17">
                  <c:v>1.35</c:v>
                </c:pt>
                <c:pt idx="18">
                  <c:v>1.2587208999999999</c:v>
                </c:pt>
                <c:pt idx="19">
                  <c:v>1.22</c:v>
                </c:pt>
                <c:pt idx="20">
                  <c:v>1.1437126</c:v>
                </c:pt>
                <c:pt idx="21">
                  <c:v>1.0731293</c:v>
                </c:pt>
                <c:pt idx="22">
                  <c:v>0.96</c:v>
                </c:pt>
                <c:pt idx="23">
                  <c:v>0.90856481</c:v>
                </c:pt>
                <c:pt idx="24">
                  <c:v>0.80377357999999999</c:v>
                </c:pt>
                <c:pt idx="25">
                  <c:v>0.71304347999999995</c:v>
                </c:pt>
                <c:pt idx="26">
                  <c:v>0.64779874000000004</c:v>
                </c:pt>
                <c:pt idx="27">
                  <c:v>0.57978722999999999</c:v>
                </c:pt>
                <c:pt idx="28">
                  <c:v>0.51111110999999998</c:v>
                </c:pt>
                <c:pt idx="29">
                  <c:v>0.46124030999999999</c:v>
                </c:pt>
                <c:pt idx="30">
                  <c:v>0.41438355999999998</c:v>
                </c:pt>
                <c:pt idx="31">
                  <c:v>0.37195122000000003</c:v>
                </c:pt>
                <c:pt idx="32">
                  <c:v>0.33615819000000002</c:v>
                </c:pt>
                <c:pt idx="33">
                  <c:v>0.30569948000000002</c:v>
                </c:pt>
                <c:pt idx="34">
                  <c:v>0.28229664999999998</c:v>
                </c:pt>
                <c:pt idx="35">
                  <c:v>0.25379610000000002</c:v>
                </c:pt>
                <c:pt idx="36">
                  <c:v>0.22954092000000001</c:v>
                </c:pt>
                <c:pt idx="37">
                  <c:v>0.21320755</c:v>
                </c:pt>
              </c:numCache>
            </c:numRef>
          </c:yVal>
          <c:smooth val="0"/>
        </c:ser>
        <c:ser>
          <c:idx val="5"/>
          <c:order val="5"/>
          <c:tx>
            <c:v>Tan Delta Prony</c:v>
          </c:tx>
          <c:spPr>
            <a:ln w="2222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'Initial Guess'!$F$4:$F$45</c:f>
              <c:numCache>
                <c:formatCode>0.0E+00</c:formatCode>
                <c:ptCount val="42"/>
                <c:pt idx="0">
                  <c:v>1E-3</c:v>
                </c:pt>
                <c:pt idx="1">
                  <c:v>0.01</c:v>
                </c:pt>
                <c:pt idx="2" formatCode="0.0000E+00">
                  <c:v>7.9399999999999998E-2</c:v>
                </c:pt>
                <c:pt idx="3" formatCode="0.0000E+00">
                  <c:v>0.159</c:v>
                </c:pt>
                <c:pt idx="4" formatCode="0.0000E+00">
                  <c:v>0.23799999999999999</c:v>
                </c:pt>
                <c:pt idx="5" formatCode="0.0000E+00">
                  <c:v>0.318</c:v>
                </c:pt>
                <c:pt idx="6" formatCode="0.0000E+00">
                  <c:v>0.47699999999999998</c:v>
                </c:pt>
                <c:pt idx="7" formatCode="0.0000E+00">
                  <c:v>0.79400000000000004</c:v>
                </c:pt>
                <c:pt idx="8" formatCode="0.0000E+00">
                  <c:v>1.27</c:v>
                </c:pt>
                <c:pt idx="9" formatCode="0.0000E+00">
                  <c:v>1.99</c:v>
                </c:pt>
                <c:pt idx="10" formatCode="0.0000E+00">
                  <c:v>3.18</c:v>
                </c:pt>
                <c:pt idx="11" formatCode="0.0000E+00">
                  <c:v>5.62</c:v>
                </c:pt>
                <c:pt idx="12" formatCode="0.0000E+00">
                  <c:v>7.94</c:v>
                </c:pt>
                <c:pt idx="13" formatCode="0.0000E+00">
                  <c:v>12.7</c:v>
                </c:pt>
                <c:pt idx="14" formatCode="0.0000E+00">
                  <c:v>22.5</c:v>
                </c:pt>
                <c:pt idx="15" formatCode="0.0000E+00">
                  <c:v>35.4</c:v>
                </c:pt>
                <c:pt idx="16" formatCode="0.0000E+00">
                  <c:v>60</c:v>
                </c:pt>
                <c:pt idx="17" formatCode="0.0000E+00">
                  <c:v>79.400000000000006</c:v>
                </c:pt>
                <c:pt idx="18" formatCode="0.0000E+00">
                  <c:v>100</c:v>
                </c:pt>
                <c:pt idx="19" formatCode="0.0000E+00">
                  <c:v>160</c:v>
                </c:pt>
                <c:pt idx="20" formatCode="0.0000E+00">
                  <c:v>238</c:v>
                </c:pt>
                <c:pt idx="21" formatCode="0.0000E+00">
                  <c:v>285</c:v>
                </c:pt>
                <c:pt idx="22" formatCode="0.0000E+00">
                  <c:v>400</c:v>
                </c:pt>
                <c:pt idx="23" formatCode="0.0000E+00">
                  <c:v>533</c:v>
                </c:pt>
                <c:pt idx="24" formatCode="0.0000E+00">
                  <c:v>794</c:v>
                </c:pt>
                <c:pt idx="25" formatCode="0.0000E+00">
                  <c:v>1000</c:v>
                </c:pt>
                <c:pt idx="26" formatCode="0.0000E+00">
                  <c:v>1600</c:v>
                </c:pt>
                <c:pt idx="27" formatCode="0.0000E+00">
                  <c:v>2380</c:v>
                </c:pt>
                <c:pt idx="28">
                  <c:v>3180</c:v>
                </c:pt>
                <c:pt idx="29">
                  <c:v>4770</c:v>
                </c:pt>
                <c:pt idx="30" formatCode="General">
                  <c:v>7940</c:v>
                </c:pt>
                <c:pt idx="31" formatCode="General">
                  <c:v>12700</c:v>
                </c:pt>
                <c:pt idx="32" formatCode="General">
                  <c:v>19900</c:v>
                </c:pt>
                <c:pt idx="33" formatCode="General">
                  <c:v>31800</c:v>
                </c:pt>
                <c:pt idx="34" formatCode="General">
                  <c:v>50000</c:v>
                </c:pt>
                <c:pt idx="35" formatCode="General">
                  <c:v>79400</c:v>
                </c:pt>
                <c:pt idx="36" formatCode="General">
                  <c:v>127000</c:v>
                </c:pt>
                <c:pt idx="37" formatCode="General">
                  <c:v>238000</c:v>
                </c:pt>
                <c:pt idx="38" formatCode="General">
                  <c:v>500000</c:v>
                </c:pt>
                <c:pt idx="39" formatCode="General">
                  <c:v>794000</c:v>
                </c:pt>
                <c:pt idx="40" formatCode="0.00E+00">
                  <c:v>10000000</c:v>
                </c:pt>
                <c:pt idx="41" formatCode="0.00E+00">
                  <c:v>100000000</c:v>
                </c:pt>
              </c:numCache>
            </c:numRef>
          </c:xVal>
          <c:yVal>
            <c:numRef>
              <c:f>'Initial Guess'!$AA$4:$AA$45</c:f>
              <c:numCache>
                <c:formatCode>General</c:formatCode>
                <c:ptCount val="42"/>
                <c:pt idx="0">
                  <c:v>7.8533966354954899E-3</c:v>
                </c:pt>
                <c:pt idx="1">
                  <c:v>7.7979122332584014E-2</c:v>
                </c:pt>
                <c:pt idx="2">
                  <c:v>0.43503450010460815</c:v>
                </c:pt>
                <c:pt idx="3">
                  <c:v>0.49205930631930506</c:v>
                </c:pt>
                <c:pt idx="4">
                  <c:v>0.4778435809912645</c:v>
                </c:pt>
                <c:pt idx="5">
                  <c:v>0.47088523160148282</c:v>
                </c:pt>
                <c:pt idx="6">
                  <c:v>0.48347285365871978</c:v>
                </c:pt>
                <c:pt idx="7">
                  <c:v>0.52342631981635201</c:v>
                </c:pt>
                <c:pt idx="8">
                  <c:v>0.53627852815659383</c:v>
                </c:pt>
                <c:pt idx="9">
                  <c:v>0.5104702107465976</c:v>
                </c:pt>
                <c:pt idx="10">
                  <c:v>0.48448492533087084</c:v>
                </c:pt>
                <c:pt idx="11">
                  <c:v>0.5020858053226297</c:v>
                </c:pt>
                <c:pt idx="12">
                  <c:v>0.52767108517132832</c:v>
                </c:pt>
                <c:pt idx="13">
                  <c:v>0.53850382923154805</c:v>
                </c:pt>
                <c:pt idx="14">
                  <c:v>0.50245175364074324</c:v>
                </c:pt>
                <c:pt idx="15">
                  <c:v>0.48383665550489485</c:v>
                </c:pt>
                <c:pt idx="16">
                  <c:v>0.50712232453418216</c:v>
                </c:pt>
                <c:pt idx="17">
                  <c:v>0.52774803431666595</c:v>
                </c:pt>
                <c:pt idx="18">
                  <c:v>0.53853447434857349</c:v>
                </c:pt>
                <c:pt idx="19">
                  <c:v>0.52746004977539052</c:v>
                </c:pt>
                <c:pt idx="20">
                  <c:v>0.49833374587227297</c:v>
                </c:pt>
                <c:pt idx="21">
                  <c:v>0.48833137209450739</c:v>
                </c:pt>
                <c:pt idx="22">
                  <c:v>0.48479429219055525</c:v>
                </c:pt>
                <c:pt idx="23">
                  <c:v>0.49815638380097721</c:v>
                </c:pt>
                <c:pt idx="24">
                  <c:v>0.52708499125327812</c:v>
                </c:pt>
                <c:pt idx="25">
                  <c:v>0.53775605550979677</c:v>
                </c:pt>
                <c:pt idx="26">
                  <c:v>0.52640468904479065</c:v>
                </c:pt>
                <c:pt idx="27">
                  <c:v>0.49695596000740511</c:v>
                </c:pt>
                <c:pt idx="28">
                  <c:v>0.48307622958760782</c:v>
                </c:pt>
                <c:pt idx="29">
                  <c:v>0.48919331507333319</c:v>
                </c:pt>
                <c:pt idx="30">
                  <c:v>0.52371822792875311</c:v>
                </c:pt>
                <c:pt idx="31">
                  <c:v>0.53294638497144886</c:v>
                </c:pt>
                <c:pt idx="32">
                  <c:v>0.50414323486725021</c:v>
                </c:pt>
                <c:pt idx="33">
                  <c:v>0.47456775363841308</c:v>
                </c:pt>
                <c:pt idx="34">
                  <c:v>0.47973833136351596</c:v>
                </c:pt>
                <c:pt idx="35">
                  <c:v>0.50692036979940513</c:v>
                </c:pt>
                <c:pt idx="36">
                  <c:v>0.51014673634577601</c:v>
                </c:pt>
                <c:pt idx="37">
                  <c:v>0.45579467067711138</c:v>
                </c:pt>
                <c:pt idx="38">
                  <c:v>0.42049600800236336</c:v>
                </c:pt>
                <c:pt idx="39">
                  <c:v>0.42469770924793765</c:v>
                </c:pt>
                <c:pt idx="40">
                  <c:v>8.2827201304622455E-2</c:v>
                </c:pt>
                <c:pt idx="41">
                  <c:v>8.3756255803786525E-3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783616"/>
        <c:axId val="162777344"/>
      </c:scatterChart>
      <c:valAx>
        <c:axId val="162769152"/>
        <c:scaling>
          <c:logBase val="10"/>
          <c:orientation val="minMax"/>
          <c:max val="1000000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Frequency, Hz.</a:t>
                </a:r>
              </a:p>
            </c:rich>
          </c:tx>
          <c:layout/>
          <c:overlay val="0"/>
        </c:title>
        <c:numFmt formatCode="0.E+00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62775424"/>
        <c:crossesAt val="1.0000000000000002E-2"/>
        <c:crossBetween val="midCat"/>
      </c:valAx>
      <c:valAx>
        <c:axId val="162775424"/>
        <c:scaling>
          <c:logBase val="10"/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Shear &amp; Loss Modulus (MPa)</a:t>
                </a:r>
              </a:p>
            </c:rich>
          </c:tx>
          <c:layout/>
          <c:overlay val="0"/>
        </c:title>
        <c:numFmt formatCode="0.E+0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62769152"/>
        <c:crossesAt val="1.0000000000000004E-6"/>
        <c:crossBetween val="midCat"/>
      </c:valAx>
      <c:valAx>
        <c:axId val="162777344"/>
        <c:scaling>
          <c:orientation val="minMax"/>
          <c:max val="5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Tan Delta</a:t>
                </a:r>
              </a:p>
            </c:rich>
          </c:tx>
          <c:layout/>
          <c:overlay val="0"/>
        </c:title>
        <c:numFmt formatCode="#,##0.0" sourceLinked="0"/>
        <c:majorTickMark val="out"/>
        <c:minorTickMark val="none"/>
        <c:tickLblPos val="nextTo"/>
        <c:crossAx val="162783616"/>
        <c:crosses val="max"/>
        <c:crossBetween val="midCat"/>
      </c:valAx>
      <c:valAx>
        <c:axId val="162783616"/>
        <c:scaling>
          <c:logBase val="10"/>
          <c:orientation val="minMax"/>
        </c:scaling>
        <c:delete val="1"/>
        <c:axPos val="b"/>
        <c:numFmt formatCode="0.0000E+00" sourceLinked="1"/>
        <c:majorTickMark val="out"/>
        <c:minorTickMark val="none"/>
        <c:tickLblPos val="nextTo"/>
        <c:crossAx val="16277734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426244053204633"/>
          <c:y val="0.11669778391103176"/>
          <c:w val="0.21723143450303606"/>
          <c:h val="0.32031301241983928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Time domain representation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208905102161428"/>
          <c:y val="0.13231063566360501"/>
          <c:w val="0.85950880908547755"/>
          <c:h val="0.70313335966408685"/>
        </c:manualLayout>
      </c:layout>
      <c:scatterChart>
        <c:scatterStyle val="lineMarker"/>
        <c:varyColors val="0"/>
        <c:ser>
          <c:idx val="0"/>
          <c:order val="0"/>
          <c:tx>
            <c:v>Time Domain Response</c:v>
          </c:tx>
          <c:xVal>
            <c:numRef>
              <c:f>'Initial Guess'!$P$5:$P$61</c:f>
              <c:numCache>
                <c:formatCode>0.0E+00</c:formatCode>
                <c:ptCount val="57"/>
                <c:pt idx="0">
                  <c:v>9.9999999999999994E-12</c:v>
                </c:pt>
                <c:pt idx="1">
                  <c:v>1E-10</c:v>
                </c:pt>
                <c:pt idx="2">
                  <c:v>1.0000000000000001E-9</c:v>
                </c:pt>
                <c:pt idx="3">
                  <c:v>1E-8</c:v>
                </c:pt>
                <c:pt idx="4">
                  <c:v>9.9999999999999995E-8</c:v>
                </c:pt>
                <c:pt idx="5">
                  <c:v>9.9999999999999995E-7</c:v>
                </c:pt>
                <c:pt idx="6">
                  <c:v>1.0000000000000001E-5</c:v>
                </c:pt>
                <c:pt idx="7">
                  <c:v>1E-4</c:v>
                </c:pt>
                <c:pt idx="8">
                  <c:v>1E-3</c:v>
                </c:pt>
                <c:pt idx="9">
                  <c:v>0.01</c:v>
                </c:pt>
                <c:pt idx="10">
                  <c:v>0.1</c:v>
                </c:pt>
                <c:pt idx="11">
                  <c:v>1</c:v>
                </c:pt>
                <c:pt idx="12">
                  <c:v>10</c:v>
                </c:pt>
                <c:pt idx="13">
                  <c:v>100</c:v>
                </c:pt>
              </c:numCache>
            </c:numRef>
          </c:xVal>
          <c:yVal>
            <c:numRef>
              <c:f>'Initial Guess'!$Q$5:$Q$61</c:f>
              <c:numCache>
                <c:formatCode>General</c:formatCode>
                <c:ptCount val="57"/>
                <c:pt idx="0">
                  <c:v>0.99994737093353414</c:v>
                </c:pt>
                <c:pt idx="1">
                  <c:v>0.99947393538347407</c:v>
                </c:pt>
                <c:pt idx="2">
                  <c:v>0.99476188456651637</c:v>
                </c:pt>
                <c:pt idx="3">
                  <c:v>0.94979965130319111</c:v>
                </c:pt>
                <c:pt idx="4">
                  <c:v>0.65883954625684793</c:v>
                </c:pt>
                <c:pt idx="5">
                  <c:v>0.32944247328861775</c:v>
                </c:pt>
                <c:pt idx="6">
                  <c:v>0.16472123859743282</c:v>
                </c:pt>
                <c:pt idx="7">
                  <c:v>8.2360638829868771E-2</c:v>
                </c:pt>
                <c:pt idx="8">
                  <c:v>4.1180514717669148E-2</c:v>
                </c:pt>
                <c:pt idx="9">
                  <c:v>2.0592209507597437E-2</c:v>
                </c:pt>
                <c:pt idx="10">
                  <c:v>1.0315538672257318E-2</c:v>
                </c:pt>
                <c:pt idx="11">
                  <c:v>5.3436337540272438E-3</c:v>
                </c:pt>
                <c:pt idx="12">
                  <c:v>3.9064273434756824E-3</c:v>
                </c:pt>
                <c:pt idx="13">
                  <c:v>3.90625E-3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19168"/>
        <c:axId val="162921088"/>
      </c:scatterChart>
      <c:valAx>
        <c:axId val="162919168"/>
        <c:scaling>
          <c:logBase val="10"/>
          <c:orientation val="minMax"/>
          <c:max val="1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Time, sec.</a:t>
                </a:r>
              </a:p>
            </c:rich>
          </c:tx>
          <c:layout/>
          <c:overlay val="0"/>
        </c:title>
        <c:numFmt formatCode="0.E+0" sourceLinked="0"/>
        <c:majorTickMark val="out"/>
        <c:minorTickMark val="none"/>
        <c:tickLblPos val="nextTo"/>
        <c:crossAx val="162921088"/>
        <c:crosses val="autoZero"/>
        <c:crossBetween val="midCat"/>
      </c:valAx>
      <c:valAx>
        <c:axId val="1629210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Norm. shear modulus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62919168"/>
        <c:crossesAt val="1.0000000000000006E-11"/>
        <c:crossBetween val="midCat"/>
      </c:valAx>
    </c:plotArea>
    <c:legend>
      <c:legendPos val="r"/>
      <c:legendEntry>
        <c:idx val="0"/>
        <c:txPr>
          <a:bodyPr/>
          <a:lstStyle/>
          <a:p>
            <a:pPr>
              <a:defRPr sz="1400"/>
            </a:pPr>
            <a:endParaRPr lang="en-US"/>
          </a:p>
        </c:txPr>
      </c:legendEntry>
      <c:layout>
        <c:manualLayout>
          <c:xMode val="edge"/>
          <c:yMode val="edge"/>
          <c:x val="0.54971552122863632"/>
          <c:y val="0.25821938569546821"/>
          <c:w val="0.35843141445690663"/>
          <c:h val="9.990364064684016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Frequency domain representation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269898596690822"/>
          <c:y val="0.11342640953046468"/>
          <c:w val="0.79333925765427749"/>
          <c:h val="0.74550407868732782"/>
        </c:manualLayout>
      </c:layout>
      <c:scatterChart>
        <c:scatterStyle val="lineMarker"/>
        <c:varyColors val="0"/>
        <c:ser>
          <c:idx val="2"/>
          <c:order val="0"/>
          <c:tx>
            <c:v>Gs Test Data</c:v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'Arrieta''s Prony Response'!$F$6:$F$43</c:f>
              <c:numCache>
                <c:formatCode>0.0000E+00</c:formatCode>
                <c:ptCount val="38"/>
                <c:pt idx="0">
                  <c:v>7.9399999999999998E-2</c:v>
                </c:pt>
                <c:pt idx="1">
                  <c:v>0.159</c:v>
                </c:pt>
                <c:pt idx="2">
                  <c:v>0.23799999999999999</c:v>
                </c:pt>
                <c:pt idx="3">
                  <c:v>0.318</c:v>
                </c:pt>
                <c:pt idx="4">
                  <c:v>0.47699999999999998</c:v>
                </c:pt>
                <c:pt idx="5">
                  <c:v>0.79400000000000004</c:v>
                </c:pt>
                <c:pt idx="6">
                  <c:v>1.27</c:v>
                </c:pt>
                <c:pt idx="7">
                  <c:v>1.99</c:v>
                </c:pt>
                <c:pt idx="8">
                  <c:v>3.18</c:v>
                </c:pt>
                <c:pt idx="9">
                  <c:v>5.62</c:v>
                </c:pt>
                <c:pt idx="10">
                  <c:v>7.94</c:v>
                </c:pt>
                <c:pt idx="11">
                  <c:v>12.7</c:v>
                </c:pt>
                <c:pt idx="12">
                  <c:v>22.5</c:v>
                </c:pt>
                <c:pt idx="13">
                  <c:v>35.4</c:v>
                </c:pt>
                <c:pt idx="14">
                  <c:v>60</c:v>
                </c:pt>
                <c:pt idx="15">
                  <c:v>79.400000000000006</c:v>
                </c:pt>
                <c:pt idx="16">
                  <c:v>100</c:v>
                </c:pt>
                <c:pt idx="17">
                  <c:v>160</c:v>
                </c:pt>
                <c:pt idx="18">
                  <c:v>238</c:v>
                </c:pt>
                <c:pt idx="19">
                  <c:v>285</c:v>
                </c:pt>
                <c:pt idx="20">
                  <c:v>400</c:v>
                </c:pt>
                <c:pt idx="21">
                  <c:v>533</c:v>
                </c:pt>
                <c:pt idx="22">
                  <c:v>794</c:v>
                </c:pt>
                <c:pt idx="23">
                  <c:v>1000</c:v>
                </c:pt>
                <c:pt idx="24">
                  <c:v>1600</c:v>
                </c:pt>
                <c:pt idx="25">
                  <c:v>2380</c:v>
                </c:pt>
                <c:pt idx="26" formatCode="0.0E+00">
                  <c:v>3180</c:v>
                </c:pt>
                <c:pt idx="27" formatCode="0.0E+00">
                  <c:v>4770</c:v>
                </c:pt>
                <c:pt idx="28" formatCode="General">
                  <c:v>7940</c:v>
                </c:pt>
                <c:pt idx="29" formatCode="General">
                  <c:v>12700</c:v>
                </c:pt>
                <c:pt idx="30" formatCode="General">
                  <c:v>19900</c:v>
                </c:pt>
                <c:pt idx="31" formatCode="General">
                  <c:v>31800</c:v>
                </c:pt>
                <c:pt idx="32" formatCode="General">
                  <c:v>50000</c:v>
                </c:pt>
                <c:pt idx="33" formatCode="General">
                  <c:v>79400</c:v>
                </c:pt>
                <c:pt idx="34" formatCode="General">
                  <c:v>127000</c:v>
                </c:pt>
                <c:pt idx="35" formatCode="General">
                  <c:v>238000</c:v>
                </c:pt>
                <c:pt idx="36" formatCode="General">
                  <c:v>500000</c:v>
                </c:pt>
                <c:pt idx="37" formatCode="General">
                  <c:v>794000</c:v>
                </c:pt>
              </c:numCache>
            </c:numRef>
          </c:xVal>
          <c:yVal>
            <c:numRef>
              <c:f>'Arrieta''s Prony Response'!$G$6:$G$43</c:f>
              <c:numCache>
                <c:formatCode>0.000</c:formatCode>
                <c:ptCount val="38"/>
                <c:pt idx="0">
                  <c:v>2.08</c:v>
                </c:pt>
                <c:pt idx="1">
                  <c:v>2.12</c:v>
                </c:pt>
                <c:pt idx="2">
                  <c:v>2.17</c:v>
                </c:pt>
                <c:pt idx="3">
                  <c:v>2.2200000000000002</c:v>
                </c:pt>
                <c:pt idx="4">
                  <c:v>2.33</c:v>
                </c:pt>
                <c:pt idx="5">
                  <c:v>2.5099999999999998</c:v>
                </c:pt>
                <c:pt idx="6">
                  <c:v>2.74</c:v>
                </c:pt>
                <c:pt idx="7">
                  <c:v>3.04</c:v>
                </c:pt>
                <c:pt idx="8">
                  <c:v>3.46</c:v>
                </c:pt>
                <c:pt idx="9">
                  <c:v>4.1399999999999997</c:v>
                </c:pt>
                <c:pt idx="10">
                  <c:v>4.79</c:v>
                </c:pt>
                <c:pt idx="11">
                  <c:v>5.84</c:v>
                </c:pt>
                <c:pt idx="12">
                  <c:v>7.62</c:v>
                </c:pt>
                <c:pt idx="13">
                  <c:v>9.84</c:v>
                </c:pt>
                <c:pt idx="14">
                  <c:v>13.2</c:v>
                </c:pt>
                <c:pt idx="15">
                  <c:v>16.3</c:v>
                </c:pt>
                <c:pt idx="16">
                  <c:v>19.399999999999999</c:v>
                </c:pt>
                <c:pt idx="17">
                  <c:v>26.5</c:v>
                </c:pt>
                <c:pt idx="18">
                  <c:v>34.4</c:v>
                </c:pt>
                <c:pt idx="19">
                  <c:v>38.299999999999997</c:v>
                </c:pt>
                <c:pt idx="20">
                  <c:v>50.1</c:v>
                </c:pt>
                <c:pt idx="21">
                  <c:v>58.8</c:v>
                </c:pt>
                <c:pt idx="22">
                  <c:v>73.7</c:v>
                </c:pt>
                <c:pt idx="23">
                  <c:v>86.4</c:v>
                </c:pt>
                <c:pt idx="24">
                  <c:v>106</c:v>
                </c:pt>
                <c:pt idx="25">
                  <c:v>138</c:v>
                </c:pt>
                <c:pt idx="26">
                  <c:v>159</c:v>
                </c:pt>
                <c:pt idx="27">
                  <c:v>188</c:v>
                </c:pt>
                <c:pt idx="28">
                  <c:v>225</c:v>
                </c:pt>
                <c:pt idx="29">
                  <c:v>258</c:v>
                </c:pt>
                <c:pt idx="30">
                  <c:v>292</c:v>
                </c:pt>
                <c:pt idx="31">
                  <c:v>328</c:v>
                </c:pt>
                <c:pt idx="32">
                  <c:v>354</c:v>
                </c:pt>
                <c:pt idx="33">
                  <c:v>386</c:v>
                </c:pt>
                <c:pt idx="34">
                  <c:v>418</c:v>
                </c:pt>
                <c:pt idx="35">
                  <c:v>461</c:v>
                </c:pt>
                <c:pt idx="36">
                  <c:v>501</c:v>
                </c:pt>
                <c:pt idx="37">
                  <c:v>530</c:v>
                </c:pt>
              </c:numCache>
            </c:numRef>
          </c:yVal>
          <c:smooth val="0"/>
        </c:ser>
        <c:ser>
          <c:idx val="0"/>
          <c:order val="1"/>
          <c:tx>
            <c:v>Gs from Prony</c:v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'Arrieta''s Prony Response'!$F$4:$F$45</c:f>
              <c:numCache>
                <c:formatCode>0.0E+00</c:formatCode>
                <c:ptCount val="42"/>
                <c:pt idx="0">
                  <c:v>1E-3</c:v>
                </c:pt>
                <c:pt idx="1">
                  <c:v>0.01</c:v>
                </c:pt>
                <c:pt idx="2" formatCode="0.0000E+00">
                  <c:v>7.9399999999999998E-2</c:v>
                </c:pt>
                <c:pt idx="3" formatCode="0.0000E+00">
                  <c:v>0.159</c:v>
                </c:pt>
                <c:pt idx="4" formatCode="0.0000E+00">
                  <c:v>0.23799999999999999</c:v>
                </c:pt>
                <c:pt idx="5" formatCode="0.0000E+00">
                  <c:v>0.318</c:v>
                </c:pt>
                <c:pt idx="6" formatCode="0.0000E+00">
                  <c:v>0.47699999999999998</c:v>
                </c:pt>
                <c:pt idx="7" formatCode="0.0000E+00">
                  <c:v>0.79400000000000004</c:v>
                </c:pt>
                <c:pt idx="8" formatCode="0.0000E+00">
                  <c:v>1.27</c:v>
                </c:pt>
                <c:pt idx="9" formatCode="0.0000E+00">
                  <c:v>1.99</c:v>
                </c:pt>
                <c:pt idx="10" formatCode="0.0000E+00">
                  <c:v>3.18</c:v>
                </c:pt>
                <c:pt idx="11" formatCode="0.0000E+00">
                  <c:v>5.62</c:v>
                </c:pt>
                <c:pt idx="12" formatCode="0.0000E+00">
                  <c:v>7.94</c:v>
                </c:pt>
                <c:pt idx="13" formatCode="0.0000E+00">
                  <c:v>12.7</c:v>
                </c:pt>
                <c:pt idx="14" formatCode="0.0000E+00">
                  <c:v>22.5</c:v>
                </c:pt>
                <c:pt idx="15" formatCode="0.0000E+00">
                  <c:v>35.4</c:v>
                </c:pt>
                <c:pt idx="16" formatCode="0.0000E+00">
                  <c:v>60</c:v>
                </c:pt>
                <c:pt idx="17" formatCode="0.0000E+00">
                  <c:v>79.400000000000006</c:v>
                </c:pt>
                <c:pt idx="18" formatCode="0.0000E+00">
                  <c:v>100</c:v>
                </c:pt>
                <c:pt idx="19" formatCode="0.0000E+00">
                  <c:v>160</c:v>
                </c:pt>
                <c:pt idx="20" formatCode="0.0000E+00">
                  <c:v>238</c:v>
                </c:pt>
                <c:pt idx="21" formatCode="0.0000E+00">
                  <c:v>285</c:v>
                </c:pt>
                <c:pt idx="22" formatCode="0.0000E+00">
                  <c:v>400</c:v>
                </c:pt>
                <c:pt idx="23" formatCode="0.0000E+00">
                  <c:v>533</c:v>
                </c:pt>
                <c:pt idx="24" formatCode="0.0000E+00">
                  <c:v>794</c:v>
                </c:pt>
                <c:pt idx="25" formatCode="0.0000E+00">
                  <c:v>1000</c:v>
                </c:pt>
                <c:pt idx="26" formatCode="0.0000E+00">
                  <c:v>1600</c:v>
                </c:pt>
                <c:pt idx="27" formatCode="0.0000E+00">
                  <c:v>2380</c:v>
                </c:pt>
                <c:pt idx="28">
                  <c:v>3180</c:v>
                </c:pt>
                <c:pt idx="29">
                  <c:v>4770</c:v>
                </c:pt>
                <c:pt idx="30" formatCode="General">
                  <c:v>7940</c:v>
                </c:pt>
                <c:pt idx="31" formatCode="General">
                  <c:v>12700</c:v>
                </c:pt>
                <c:pt idx="32" formatCode="General">
                  <c:v>19900</c:v>
                </c:pt>
                <c:pt idx="33" formatCode="General">
                  <c:v>31800</c:v>
                </c:pt>
                <c:pt idx="34" formatCode="General">
                  <c:v>50000</c:v>
                </c:pt>
                <c:pt idx="35" formatCode="General">
                  <c:v>79400</c:v>
                </c:pt>
                <c:pt idx="36" formatCode="General">
                  <c:v>127000</c:v>
                </c:pt>
                <c:pt idx="37" formatCode="General">
                  <c:v>238000</c:v>
                </c:pt>
                <c:pt idx="38" formatCode="General">
                  <c:v>500000</c:v>
                </c:pt>
                <c:pt idx="39" formatCode="General">
                  <c:v>794000</c:v>
                </c:pt>
                <c:pt idx="40" formatCode="0.00E+00">
                  <c:v>10000000</c:v>
                </c:pt>
                <c:pt idx="41" formatCode="0.00E+00">
                  <c:v>100000000</c:v>
                </c:pt>
              </c:numCache>
            </c:numRef>
          </c:xVal>
          <c:yVal>
            <c:numRef>
              <c:f>'Arrieta''s Prony Response'!$J$4:$J$45</c:f>
              <c:numCache>
                <c:formatCode>0.000</c:formatCode>
                <c:ptCount val="42"/>
                <c:pt idx="0">
                  <c:v>4.8323345271910636</c:v>
                </c:pt>
                <c:pt idx="1">
                  <c:v>4.8398678884877624</c:v>
                </c:pt>
                <c:pt idx="2">
                  <c:v>4.9086062764631757</c:v>
                </c:pt>
                <c:pt idx="3">
                  <c:v>4.9712562025926603</c:v>
                </c:pt>
                <c:pt idx="4">
                  <c:v>5.0268301178219756</c:v>
                </c:pt>
                <c:pt idx="5">
                  <c:v>5.0791061224260581</c:v>
                </c:pt>
                <c:pt idx="6">
                  <c:v>5.1749885723801237</c:v>
                </c:pt>
                <c:pt idx="7">
                  <c:v>5.3457558982289273</c:v>
                </c:pt>
                <c:pt idx="8">
                  <c:v>5.5709601660585628</c:v>
                </c:pt>
                <c:pt idx="9">
                  <c:v>5.8692418681666121</c:v>
                </c:pt>
                <c:pt idx="10">
                  <c:v>6.2967675679677244</c:v>
                </c:pt>
                <c:pt idx="11">
                  <c:v>7.0394724584114101</c:v>
                </c:pt>
                <c:pt idx="12">
                  <c:v>7.6555906777228797</c:v>
                </c:pt>
                <c:pt idx="13">
                  <c:v>8.7795115420496312</c:v>
                </c:pt>
                <c:pt idx="14">
                  <c:v>10.803674064475112</c:v>
                </c:pt>
                <c:pt idx="15">
                  <c:v>13.186820224002767</c:v>
                </c:pt>
                <c:pt idx="16">
                  <c:v>17.291720375169007</c:v>
                </c:pt>
                <c:pt idx="17">
                  <c:v>20.272606699861871</c:v>
                </c:pt>
                <c:pt idx="18">
                  <c:v>23.257850176687661</c:v>
                </c:pt>
                <c:pt idx="19">
                  <c:v>31.157940303390273</c:v>
                </c:pt>
                <c:pt idx="20">
                  <c:v>40.11931382704509</c:v>
                </c:pt>
                <c:pt idx="21">
                  <c:v>44.985403453642753</c:v>
                </c:pt>
                <c:pt idx="22">
                  <c:v>55.602648910185763</c:v>
                </c:pt>
                <c:pt idx="23">
                  <c:v>66.152282492225353</c:v>
                </c:pt>
                <c:pt idx="24">
                  <c:v>83.235171332109729</c:v>
                </c:pt>
                <c:pt idx="25">
                  <c:v>94.378868706546655</c:v>
                </c:pt>
                <c:pt idx="26">
                  <c:v>119.73856851185654</c:v>
                </c:pt>
                <c:pt idx="27">
                  <c:v>143.66909552427134</c:v>
                </c:pt>
                <c:pt idx="28">
                  <c:v>162.37781748393476</c:v>
                </c:pt>
                <c:pt idx="29">
                  <c:v>190.1443074432961</c:v>
                </c:pt>
                <c:pt idx="30">
                  <c:v>227.39609150270564</c:v>
                </c:pt>
                <c:pt idx="31">
                  <c:v>264.0255357441668</c:v>
                </c:pt>
                <c:pt idx="32">
                  <c:v>301.11517704653323</c:v>
                </c:pt>
                <c:pt idx="33">
                  <c:v>341.97432974741241</c:v>
                </c:pt>
                <c:pt idx="34">
                  <c:v>383.08901867095534</c:v>
                </c:pt>
                <c:pt idx="35">
                  <c:v>425.35898574358924</c:v>
                </c:pt>
                <c:pt idx="36">
                  <c:v>464.96177998844121</c:v>
                </c:pt>
                <c:pt idx="37">
                  <c:v>503.26045466125828</c:v>
                </c:pt>
                <c:pt idx="38">
                  <c:v>522.89232550554323</c:v>
                </c:pt>
                <c:pt idx="39">
                  <c:v>527.09005477870301</c:v>
                </c:pt>
                <c:pt idx="40">
                  <c:v>529.98125508375881</c:v>
                </c:pt>
                <c:pt idx="41">
                  <c:v>529.99981252512077</c:v>
                </c:pt>
              </c:numCache>
            </c:numRef>
          </c:yVal>
          <c:smooth val="0"/>
        </c:ser>
        <c:ser>
          <c:idx val="1"/>
          <c:order val="2"/>
          <c:tx>
            <c:v>Gl Test Data</c:v>
          </c:tx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'Arrieta''s Prony Response'!$F$6:$F$43</c:f>
              <c:numCache>
                <c:formatCode>0.0000E+00</c:formatCode>
                <c:ptCount val="38"/>
                <c:pt idx="0">
                  <c:v>7.9399999999999998E-2</c:v>
                </c:pt>
                <c:pt idx="1">
                  <c:v>0.159</c:v>
                </c:pt>
                <c:pt idx="2">
                  <c:v>0.23799999999999999</c:v>
                </c:pt>
                <c:pt idx="3">
                  <c:v>0.318</c:v>
                </c:pt>
                <c:pt idx="4">
                  <c:v>0.47699999999999998</c:v>
                </c:pt>
                <c:pt idx="5">
                  <c:v>0.79400000000000004</c:v>
                </c:pt>
                <c:pt idx="6">
                  <c:v>1.27</c:v>
                </c:pt>
                <c:pt idx="7">
                  <c:v>1.99</c:v>
                </c:pt>
                <c:pt idx="8">
                  <c:v>3.18</c:v>
                </c:pt>
                <c:pt idx="9">
                  <c:v>5.62</c:v>
                </c:pt>
                <c:pt idx="10">
                  <c:v>7.94</c:v>
                </c:pt>
                <c:pt idx="11">
                  <c:v>12.7</c:v>
                </c:pt>
                <c:pt idx="12">
                  <c:v>22.5</c:v>
                </c:pt>
                <c:pt idx="13">
                  <c:v>35.4</c:v>
                </c:pt>
                <c:pt idx="14">
                  <c:v>60</c:v>
                </c:pt>
                <c:pt idx="15">
                  <c:v>79.400000000000006</c:v>
                </c:pt>
                <c:pt idx="16">
                  <c:v>100</c:v>
                </c:pt>
                <c:pt idx="17">
                  <c:v>160</c:v>
                </c:pt>
                <c:pt idx="18">
                  <c:v>238</c:v>
                </c:pt>
                <c:pt idx="19">
                  <c:v>285</c:v>
                </c:pt>
                <c:pt idx="20">
                  <c:v>400</c:v>
                </c:pt>
                <c:pt idx="21">
                  <c:v>533</c:v>
                </c:pt>
                <c:pt idx="22">
                  <c:v>794</c:v>
                </c:pt>
                <c:pt idx="23">
                  <c:v>1000</c:v>
                </c:pt>
                <c:pt idx="24">
                  <c:v>1600</c:v>
                </c:pt>
                <c:pt idx="25">
                  <c:v>2380</c:v>
                </c:pt>
                <c:pt idx="26" formatCode="0.0E+00">
                  <c:v>3180</c:v>
                </c:pt>
                <c:pt idx="27" formatCode="0.0E+00">
                  <c:v>4770</c:v>
                </c:pt>
                <c:pt idx="28" formatCode="General">
                  <c:v>7940</c:v>
                </c:pt>
                <c:pt idx="29" formatCode="General">
                  <c:v>12700</c:v>
                </c:pt>
                <c:pt idx="30" formatCode="General">
                  <c:v>19900</c:v>
                </c:pt>
                <c:pt idx="31" formatCode="General">
                  <c:v>31800</c:v>
                </c:pt>
                <c:pt idx="32" formatCode="General">
                  <c:v>50000</c:v>
                </c:pt>
                <c:pt idx="33" formatCode="General">
                  <c:v>79400</c:v>
                </c:pt>
                <c:pt idx="34" formatCode="General">
                  <c:v>127000</c:v>
                </c:pt>
                <c:pt idx="35" formatCode="General">
                  <c:v>238000</c:v>
                </c:pt>
                <c:pt idx="36" formatCode="General">
                  <c:v>500000</c:v>
                </c:pt>
                <c:pt idx="37" formatCode="General">
                  <c:v>794000</c:v>
                </c:pt>
              </c:numCache>
            </c:numRef>
          </c:xVal>
          <c:yVal>
            <c:numRef>
              <c:f>'Arrieta''s Prony Response'!$H$6:$H$43</c:f>
              <c:numCache>
                <c:formatCode>0.000</c:formatCode>
                <c:ptCount val="38"/>
                <c:pt idx="0">
                  <c:v>0.182</c:v>
                </c:pt>
                <c:pt idx="1">
                  <c:v>0.31599999200000006</c:v>
                </c:pt>
                <c:pt idx="2">
                  <c:v>0.44100000769999997</c:v>
                </c:pt>
                <c:pt idx="3">
                  <c:v>0.55500000000000005</c:v>
                </c:pt>
                <c:pt idx="4">
                  <c:v>0.751000008</c:v>
                </c:pt>
                <c:pt idx="5">
                  <c:v>1.0799999887999998</c:v>
                </c:pt>
                <c:pt idx="6">
                  <c:v>1.4899999988000001</c:v>
                </c:pt>
                <c:pt idx="7">
                  <c:v>2.0099999984000001</c:v>
                </c:pt>
                <c:pt idx="8">
                  <c:v>2.7500000074000002</c:v>
                </c:pt>
                <c:pt idx="9">
                  <c:v>3.9800000123999997</c:v>
                </c:pt>
                <c:pt idx="10">
                  <c:v>5.109999782</c:v>
                </c:pt>
                <c:pt idx="11">
                  <c:v>7.0900000240000001</c:v>
                </c:pt>
                <c:pt idx="12">
                  <c:v>10.500000336000001</c:v>
                </c:pt>
                <c:pt idx="13">
                  <c:v>14.499999647999999</c:v>
                </c:pt>
                <c:pt idx="14">
                  <c:v>20.30000016</c:v>
                </c:pt>
                <c:pt idx="15">
                  <c:v>24.500000249999999</c:v>
                </c:pt>
                <c:pt idx="16">
                  <c:v>28.099999839999995</c:v>
                </c:pt>
                <c:pt idx="17">
                  <c:v>35.775000000000006</c:v>
                </c:pt>
                <c:pt idx="18">
                  <c:v>43.299998959999996</c:v>
                </c:pt>
                <c:pt idx="19">
                  <c:v>46.725999999999992</c:v>
                </c:pt>
                <c:pt idx="20">
                  <c:v>57.300001260000002</c:v>
                </c:pt>
                <c:pt idx="21">
                  <c:v>63.100002839999995</c:v>
                </c:pt>
                <c:pt idx="22">
                  <c:v>70.751999999999995</c:v>
                </c:pt>
                <c:pt idx="23">
                  <c:v>78.499999584000008</c:v>
                </c:pt>
                <c:pt idx="24">
                  <c:v>85.199999480000002</c:v>
                </c:pt>
                <c:pt idx="25">
                  <c:v>98.400000239999997</c:v>
                </c:pt>
                <c:pt idx="26">
                  <c:v>102.99999966</c:v>
                </c:pt>
                <c:pt idx="27">
                  <c:v>108.99999923999999</c:v>
                </c:pt>
                <c:pt idx="28">
                  <c:v>114.99999975</c:v>
                </c:pt>
                <c:pt idx="29">
                  <c:v>118.99999998</c:v>
                </c:pt>
                <c:pt idx="30">
                  <c:v>120.99999951999999</c:v>
                </c:pt>
                <c:pt idx="31">
                  <c:v>122.00000016000001</c:v>
                </c:pt>
                <c:pt idx="32">
                  <c:v>118.99999926000001</c:v>
                </c:pt>
                <c:pt idx="33">
                  <c:v>117.99999928000001</c:v>
                </c:pt>
                <c:pt idx="34">
                  <c:v>117.99999969999999</c:v>
                </c:pt>
                <c:pt idx="35">
                  <c:v>117.00000210000002</c:v>
                </c:pt>
                <c:pt idx="36">
                  <c:v>115.00000092000001</c:v>
                </c:pt>
                <c:pt idx="37">
                  <c:v>113.0000015</c:v>
                </c:pt>
              </c:numCache>
            </c:numRef>
          </c:yVal>
          <c:smooth val="0"/>
        </c:ser>
        <c:ser>
          <c:idx val="3"/>
          <c:order val="3"/>
          <c:tx>
            <c:v>Gl from Prony</c:v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'Arrieta''s Prony Response'!$F$5:$F$45</c:f>
              <c:numCache>
                <c:formatCode>0.0000E+00</c:formatCode>
                <c:ptCount val="41"/>
                <c:pt idx="0" formatCode="0.0E+00">
                  <c:v>0.01</c:v>
                </c:pt>
                <c:pt idx="1">
                  <c:v>7.9399999999999998E-2</c:v>
                </c:pt>
                <c:pt idx="2">
                  <c:v>0.159</c:v>
                </c:pt>
                <c:pt idx="3">
                  <c:v>0.23799999999999999</c:v>
                </c:pt>
                <c:pt idx="4">
                  <c:v>0.318</c:v>
                </c:pt>
                <c:pt idx="5">
                  <c:v>0.47699999999999998</c:v>
                </c:pt>
                <c:pt idx="6">
                  <c:v>0.79400000000000004</c:v>
                </c:pt>
                <c:pt idx="7">
                  <c:v>1.27</c:v>
                </c:pt>
                <c:pt idx="8">
                  <c:v>1.99</c:v>
                </c:pt>
                <c:pt idx="9">
                  <c:v>3.18</c:v>
                </c:pt>
                <c:pt idx="10">
                  <c:v>5.62</c:v>
                </c:pt>
                <c:pt idx="11">
                  <c:v>7.94</c:v>
                </c:pt>
                <c:pt idx="12">
                  <c:v>12.7</c:v>
                </c:pt>
                <c:pt idx="13">
                  <c:v>22.5</c:v>
                </c:pt>
                <c:pt idx="14">
                  <c:v>35.4</c:v>
                </c:pt>
                <c:pt idx="15">
                  <c:v>60</c:v>
                </c:pt>
                <c:pt idx="16">
                  <c:v>79.400000000000006</c:v>
                </c:pt>
                <c:pt idx="17">
                  <c:v>100</c:v>
                </c:pt>
                <c:pt idx="18">
                  <c:v>160</c:v>
                </c:pt>
                <c:pt idx="19">
                  <c:v>238</c:v>
                </c:pt>
                <c:pt idx="20">
                  <c:v>285</c:v>
                </c:pt>
                <c:pt idx="21">
                  <c:v>400</c:v>
                </c:pt>
                <c:pt idx="22">
                  <c:v>533</c:v>
                </c:pt>
                <c:pt idx="23">
                  <c:v>794</c:v>
                </c:pt>
                <c:pt idx="24">
                  <c:v>1000</c:v>
                </c:pt>
                <c:pt idx="25">
                  <c:v>1600</c:v>
                </c:pt>
                <c:pt idx="26">
                  <c:v>2380</c:v>
                </c:pt>
                <c:pt idx="27" formatCode="0.0E+00">
                  <c:v>3180</c:v>
                </c:pt>
                <c:pt idx="28" formatCode="0.0E+00">
                  <c:v>4770</c:v>
                </c:pt>
                <c:pt idx="29" formatCode="General">
                  <c:v>7940</c:v>
                </c:pt>
                <c:pt idx="30" formatCode="General">
                  <c:v>12700</c:v>
                </c:pt>
                <c:pt idx="31" formatCode="General">
                  <c:v>19900</c:v>
                </c:pt>
                <c:pt idx="32" formatCode="General">
                  <c:v>31800</c:v>
                </c:pt>
                <c:pt idx="33" formatCode="General">
                  <c:v>50000</c:v>
                </c:pt>
                <c:pt idx="34" formatCode="General">
                  <c:v>79400</c:v>
                </c:pt>
                <c:pt idx="35" formatCode="General">
                  <c:v>127000</c:v>
                </c:pt>
                <c:pt idx="36" formatCode="General">
                  <c:v>238000</c:v>
                </c:pt>
                <c:pt idx="37" formatCode="General">
                  <c:v>500000</c:v>
                </c:pt>
                <c:pt idx="38" formatCode="General">
                  <c:v>794000</c:v>
                </c:pt>
                <c:pt idx="39" formatCode="0.00E+00">
                  <c:v>10000000</c:v>
                </c:pt>
                <c:pt idx="40" formatCode="0.00E+00">
                  <c:v>100000000</c:v>
                </c:pt>
              </c:numCache>
            </c:numRef>
          </c:xVal>
          <c:yVal>
            <c:numRef>
              <c:f>'Arrieta''s Prony Response'!$K$5:$K$45</c:f>
              <c:numCache>
                <c:formatCode>0.000</c:formatCode>
                <c:ptCount val="41"/>
                <c:pt idx="0">
                  <c:v>4.0571573773767418E-2</c:v>
                </c:pt>
                <c:pt idx="1">
                  <c:v>0.20440901990991464</c:v>
                </c:pt>
                <c:pt idx="2">
                  <c:v>0.34141777535783446</c:v>
                </c:pt>
                <c:pt idx="3">
                  <c:v>0.45829430363538581</c:v>
                </c:pt>
                <c:pt idx="4">
                  <c:v>0.56517612549021212</c:v>
                </c:pt>
                <c:pt idx="5">
                  <c:v>0.75550078576306456</c:v>
                </c:pt>
                <c:pt idx="6">
                  <c:v>1.0823890490213095</c:v>
                </c:pt>
                <c:pt idx="7">
                  <c:v>1.5000175563358338</c:v>
                </c:pt>
                <c:pt idx="8">
                  <c:v>2.0417659037787876</c:v>
                </c:pt>
                <c:pt idx="9">
                  <c:v>2.809433203050276</c:v>
                </c:pt>
                <c:pt idx="10">
                  <c:v>4.1339783654904272</c:v>
                </c:pt>
                <c:pt idx="11">
                  <c:v>5.2255637375153849</c:v>
                </c:pt>
                <c:pt idx="12">
                  <c:v>7.1844244914504616</c:v>
                </c:pt>
                <c:pt idx="13">
                  <c:v>10.564710008426427</c:v>
                </c:pt>
                <c:pt idx="14">
                  <c:v>14.271183961794485</c:v>
                </c:pt>
                <c:pt idx="15">
                  <c:v>20.037408432207314</c:v>
                </c:pt>
                <c:pt idx="16">
                  <c:v>23.82411453803396</c:v>
                </c:pt>
                <c:pt idx="17">
                  <c:v>27.344895130791585</c:v>
                </c:pt>
                <c:pt idx="18">
                  <c:v>35.634601865252492</c:v>
                </c:pt>
                <c:pt idx="19">
                  <c:v>43.71114792786819</c:v>
                </c:pt>
                <c:pt idx="20">
                  <c:v>47.643885612739197</c:v>
                </c:pt>
                <c:pt idx="21">
                  <c:v>55.359293292917592</c:v>
                </c:pt>
                <c:pt idx="22">
                  <c:v>62.094047798393078</c:v>
                </c:pt>
                <c:pt idx="23">
                  <c:v>71.466275326613939</c:v>
                </c:pt>
                <c:pt idx="24">
                  <c:v>76.761957028236424</c:v>
                </c:pt>
                <c:pt idx="25">
                  <c:v>87.008828750967027</c:v>
                </c:pt>
                <c:pt idx="26">
                  <c:v>94.882303103284571</c:v>
                </c:pt>
                <c:pt idx="27">
                  <c:v>100.13833663741192</c:v>
                </c:pt>
                <c:pt idx="28">
                  <c:v>106.80996097286639</c:v>
                </c:pt>
                <c:pt idx="29">
                  <c:v>114.11985701652988</c:v>
                </c:pt>
                <c:pt idx="30">
                  <c:v>119.74483518510095</c:v>
                </c:pt>
                <c:pt idx="31">
                  <c:v>123.76548624737744</c:v>
                </c:pt>
                <c:pt idx="32">
                  <c:v>125.68399303406017</c:v>
                </c:pt>
                <c:pt idx="33">
                  <c:v>123.92751317466353</c:v>
                </c:pt>
                <c:pt idx="34">
                  <c:v>116.36085193458614</c:v>
                </c:pt>
                <c:pt idx="35">
                  <c:v>100.91191148266368</c:v>
                </c:pt>
                <c:pt idx="36">
                  <c:v>70.621881865360351</c:v>
                </c:pt>
                <c:pt idx="37">
                  <c:v>37.985975085474095</c:v>
                </c:pt>
                <c:pt idx="38">
                  <c:v>24.520314617135298</c:v>
                </c:pt>
                <c:pt idx="39">
                  <c:v>1.979867227625502</c:v>
                </c:pt>
                <c:pt idx="40">
                  <c:v>0.19800791536078632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979264"/>
        <c:axId val="163981184"/>
      </c:scatterChart>
      <c:scatterChart>
        <c:scatterStyle val="lineMarker"/>
        <c:varyColors val="0"/>
        <c:ser>
          <c:idx val="4"/>
          <c:order val="4"/>
          <c:tx>
            <c:v>Tan Delta Test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'Arrieta''s Prony Response'!$F$6:$F$43</c:f>
              <c:numCache>
                <c:formatCode>0.0000E+00</c:formatCode>
                <c:ptCount val="38"/>
                <c:pt idx="0">
                  <c:v>7.9399999999999998E-2</c:v>
                </c:pt>
                <c:pt idx="1">
                  <c:v>0.159</c:v>
                </c:pt>
                <c:pt idx="2">
                  <c:v>0.23799999999999999</c:v>
                </c:pt>
                <c:pt idx="3">
                  <c:v>0.318</c:v>
                </c:pt>
                <c:pt idx="4">
                  <c:v>0.47699999999999998</c:v>
                </c:pt>
                <c:pt idx="5">
                  <c:v>0.79400000000000004</c:v>
                </c:pt>
                <c:pt idx="6">
                  <c:v>1.27</c:v>
                </c:pt>
                <c:pt idx="7">
                  <c:v>1.99</c:v>
                </c:pt>
                <c:pt idx="8">
                  <c:v>3.18</c:v>
                </c:pt>
                <c:pt idx="9">
                  <c:v>5.62</c:v>
                </c:pt>
                <c:pt idx="10">
                  <c:v>7.94</c:v>
                </c:pt>
                <c:pt idx="11">
                  <c:v>12.7</c:v>
                </c:pt>
                <c:pt idx="12">
                  <c:v>22.5</c:v>
                </c:pt>
                <c:pt idx="13">
                  <c:v>35.4</c:v>
                </c:pt>
                <c:pt idx="14">
                  <c:v>60</c:v>
                </c:pt>
                <c:pt idx="15">
                  <c:v>79.400000000000006</c:v>
                </c:pt>
                <c:pt idx="16">
                  <c:v>100</c:v>
                </c:pt>
                <c:pt idx="17">
                  <c:v>160</c:v>
                </c:pt>
                <c:pt idx="18">
                  <c:v>238</c:v>
                </c:pt>
                <c:pt idx="19">
                  <c:v>285</c:v>
                </c:pt>
                <c:pt idx="20">
                  <c:v>400</c:v>
                </c:pt>
                <c:pt idx="21">
                  <c:v>533</c:v>
                </c:pt>
                <c:pt idx="22">
                  <c:v>794</c:v>
                </c:pt>
                <c:pt idx="23">
                  <c:v>1000</c:v>
                </c:pt>
                <c:pt idx="24">
                  <c:v>1600</c:v>
                </c:pt>
                <c:pt idx="25">
                  <c:v>2380</c:v>
                </c:pt>
                <c:pt idx="26" formatCode="0.0E+00">
                  <c:v>3180</c:v>
                </c:pt>
                <c:pt idx="27" formatCode="0.0E+00">
                  <c:v>4770</c:v>
                </c:pt>
                <c:pt idx="28" formatCode="General">
                  <c:v>7940</c:v>
                </c:pt>
                <c:pt idx="29" formatCode="General">
                  <c:v>12700</c:v>
                </c:pt>
                <c:pt idx="30" formatCode="General">
                  <c:v>19900</c:v>
                </c:pt>
                <c:pt idx="31" formatCode="General">
                  <c:v>31800</c:v>
                </c:pt>
                <c:pt idx="32" formatCode="General">
                  <c:v>50000</c:v>
                </c:pt>
                <c:pt idx="33" formatCode="General">
                  <c:v>79400</c:v>
                </c:pt>
                <c:pt idx="34" formatCode="General">
                  <c:v>127000</c:v>
                </c:pt>
                <c:pt idx="35" formatCode="General">
                  <c:v>238000</c:v>
                </c:pt>
                <c:pt idx="36" formatCode="General">
                  <c:v>500000</c:v>
                </c:pt>
                <c:pt idx="37" formatCode="General">
                  <c:v>794000</c:v>
                </c:pt>
              </c:numCache>
            </c:numRef>
          </c:xVal>
          <c:yVal>
            <c:numRef>
              <c:f>'Arrieta''s Prony Response'!$I$6:$I$43</c:f>
              <c:numCache>
                <c:formatCode>0.000</c:formatCode>
                <c:ptCount val="38"/>
                <c:pt idx="0">
                  <c:v>8.7499999999999994E-2</c:v>
                </c:pt>
                <c:pt idx="1">
                  <c:v>0.14905660000000001</c:v>
                </c:pt>
                <c:pt idx="2">
                  <c:v>0.20322581000000001</c:v>
                </c:pt>
                <c:pt idx="3">
                  <c:v>0.25</c:v>
                </c:pt>
                <c:pt idx="4">
                  <c:v>0.32231759999999998</c:v>
                </c:pt>
                <c:pt idx="5">
                  <c:v>0.43027887999999997</c:v>
                </c:pt>
                <c:pt idx="6">
                  <c:v>0.54379562000000004</c:v>
                </c:pt>
                <c:pt idx="7">
                  <c:v>0.66118421000000005</c:v>
                </c:pt>
                <c:pt idx="8">
                  <c:v>0.79479769</c:v>
                </c:pt>
                <c:pt idx="9">
                  <c:v>0.96135265999999997</c:v>
                </c:pt>
                <c:pt idx="10">
                  <c:v>1.0668058</c:v>
                </c:pt>
                <c:pt idx="11">
                  <c:v>1.2140411</c:v>
                </c:pt>
                <c:pt idx="12">
                  <c:v>1.3779528000000001</c:v>
                </c:pt>
                <c:pt idx="13">
                  <c:v>1.4735772</c:v>
                </c:pt>
                <c:pt idx="14">
                  <c:v>1.5378788000000001</c:v>
                </c:pt>
                <c:pt idx="15">
                  <c:v>1.5030675</c:v>
                </c:pt>
                <c:pt idx="16">
                  <c:v>1.4484535999999999</c:v>
                </c:pt>
                <c:pt idx="17">
                  <c:v>1.35</c:v>
                </c:pt>
                <c:pt idx="18">
                  <c:v>1.2587208999999999</c:v>
                </c:pt>
                <c:pt idx="19">
                  <c:v>1.22</c:v>
                </c:pt>
                <c:pt idx="20">
                  <c:v>1.1437126</c:v>
                </c:pt>
                <c:pt idx="21">
                  <c:v>1.0731293</c:v>
                </c:pt>
                <c:pt idx="22">
                  <c:v>0.96</c:v>
                </c:pt>
                <c:pt idx="23">
                  <c:v>0.90856481</c:v>
                </c:pt>
                <c:pt idx="24">
                  <c:v>0.80377357999999999</c:v>
                </c:pt>
                <c:pt idx="25">
                  <c:v>0.71304347999999995</c:v>
                </c:pt>
                <c:pt idx="26">
                  <c:v>0.64779874000000004</c:v>
                </c:pt>
                <c:pt idx="27">
                  <c:v>0.57978722999999999</c:v>
                </c:pt>
                <c:pt idx="28">
                  <c:v>0.51111110999999998</c:v>
                </c:pt>
                <c:pt idx="29">
                  <c:v>0.46124030999999999</c:v>
                </c:pt>
                <c:pt idx="30">
                  <c:v>0.41438355999999998</c:v>
                </c:pt>
                <c:pt idx="31">
                  <c:v>0.37195122000000003</c:v>
                </c:pt>
                <c:pt idx="32">
                  <c:v>0.33615819000000002</c:v>
                </c:pt>
                <c:pt idx="33">
                  <c:v>0.30569948000000002</c:v>
                </c:pt>
                <c:pt idx="34">
                  <c:v>0.28229664999999998</c:v>
                </c:pt>
                <c:pt idx="35">
                  <c:v>0.25379610000000002</c:v>
                </c:pt>
                <c:pt idx="36">
                  <c:v>0.22954092000000001</c:v>
                </c:pt>
                <c:pt idx="37">
                  <c:v>0.21320755</c:v>
                </c:pt>
              </c:numCache>
            </c:numRef>
          </c:yVal>
          <c:smooth val="0"/>
        </c:ser>
        <c:ser>
          <c:idx val="5"/>
          <c:order val="5"/>
          <c:tx>
            <c:v>Tan Delta Prony</c:v>
          </c:tx>
          <c:spPr>
            <a:ln w="2222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'Arrieta''s Prony Response'!$F$4:$F$45</c:f>
              <c:numCache>
                <c:formatCode>0.0E+00</c:formatCode>
                <c:ptCount val="42"/>
                <c:pt idx="0">
                  <c:v>1E-3</c:v>
                </c:pt>
                <c:pt idx="1">
                  <c:v>0.01</c:v>
                </c:pt>
                <c:pt idx="2" formatCode="0.0000E+00">
                  <c:v>7.9399999999999998E-2</c:v>
                </c:pt>
                <c:pt idx="3" formatCode="0.0000E+00">
                  <c:v>0.159</c:v>
                </c:pt>
                <c:pt idx="4" formatCode="0.0000E+00">
                  <c:v>0.23799999999999999</c:v>
                </c:pt>
                <c:pt idx="5" formatCode="0.0000E+00">
                  <c:v>0.318</c:v>
                </c:pt>
                <c:pt idx="6" formatCode="0.0000E+00">
                  <c:v>0.47699999999999998</c:v>
                </c:pt>
                <c:pt idx="7" formatCode="0.0000E+00">
                  <c:v>0.79400000000000004</c:v>
                </c:pt>
                <c:pt idx="8" formatCode="0.0000E+00">
                  <c:v>1.27</c:v>
                </c:pt>
                <c:pt idx="9" formatCode="0.0000E+00">
                  <c:v>1.99</c:v>
                </c:pt>
                <c:pt idx="10" formatCode="0.0000E+00">
                  <c:v>3.18</c:v>
                </c:pt>
                <c:pt idx="11" formatCode="0.0000E+00">
                  <c:v>5.62</c:v>
                </c:pt>
                <c:pt idx="12" formatCode="0.0000E+00">
                  <c:v>7.94</c:v>
                </c:pt>
                <c:pt idx="13" formatCode="0.0000E+00">
                  <c:v>12.7</c:v>
                </c:pt>
                <c:pt idx="14" formatCode="0.0000E+00">
                  <c:v>22.5</c:v>
                </c:pt>
                <c:pt idx="15" formatCode="0.0000E+00">
                  <c:v>35.4</c:v>
                </c:pt>
                <c:pt idx="16" formatCode="0.0000E+00">
                  <c:v>60</c:v>
                </c:pt>
                <c:pt idx="17" formatCode="0.0000E+00">
                  <c:v>79.400000000000006</c:v>
                </c:pt>
                <c:pt idx="18" formatCode="0.0000E+00">
                  <c:v>100</c:v>
                </c:pt>
                <c:pt idx="19" formatCode="0.0000E+00">
                  <c:v>160</c:v>
                </c:pt>
                <c:pt idx="20" formatCode="0.0000E+00">
                  <c:v>238</c:v>
                </c:pt>
                <c:pt idx="21" formatCode="0.0000E+00">
                  <c:v>285</c:v>
                </c:pt>
                <c:pt idx="22" formatCode="0.0000E+00">
                  <c:v>400</c:v>
                </c:pt>
                <c:pt idx="23" formatCode="0.0000E+00">
                  <c:v>533</c:v>
                </c:pt>
                <c:pt idx="24" formatCode="0.0000E+00">
                  <c:v>794</c:v>
                </c:pt>
                <c:pt idx="25" formatCode="0.0000E+00">
                  <c:v>1000</c:v>
                </c:pt>
                <c:pt idx="26" formatCode="0.0000E+00">
                  <c:v>1600</c:v>
                </c:pt>
                <c:pt idx="27" formatCode="0.0000E+00">
                  <c:v>2380</c:v>
                </c:pt>
                <c:pt idx="28">
                  <c:v>3180</c:v>
                </c:pt>
                <c:pt idx="29">
                  <c:v>4770</c:v>
                </c:pt>
                <c:pt idx="30" formatCode="General">
                  <c:v>7940</c:v>
                </c:pt>
                <c:pt idx="31" formatCode="General">
                  <c:v>12700</c:v>
                </c:pt>
                <c:pt idx="32" formatCode="General">
                  <c:v>19900</c:v>
                </c:pt>
                <c:pt idx="33" formatCode="General">
                  <c:v>31800</c:v>
                </c:pt>
                <c:pt idx="34" formatCode="General">
                  <c:v>50000</c:v>
                </c:pt>
                <c:pt idx="35" formatCode="General">
                  <c:v>79400</c:v>
                </c:pt>
                <c:pt idx="36" formatCode="General">
                  <c:v>127000</c:v>
                </c:pt>
                <c:pt idx="37" formatCode="General">
                  <c:v>238000</c:v>
                </c:pt>
                <c:pt idx="38" formatCode="General">
                  <c:v>500000</c:v>
                </c:pt>
                <c:pt idx="39" formatCode="General">
                  <c:v>794000</c:v>
                </c:pt>
                <c:pt idx="40" formatCode="0.00E+00">
                  <c:v>10000000</c:v>
                </c:pt>
                <c:pt idx="41" formatCode="0.00E+00">
                  <c:v>100000000</c:v>
                </c:pt>
              </c:numCache>
            </c:numRef>
          </c:xVal>
          <c:yVal>
            <c:numRef>
              <c:f>'Arrieta''s Prony Response'!$AA$4:$AA$45</c:f>
              <c:numCache>
                <c:formatCode>General</c:formatCode>
                <c:ptCount val="42"/>
                <c:pt idx="0">
                  <c:v>9.2550207489138002E-4</c:v>
                </c:pt>
                <c:pt idx="1">
                  <c:v>8.3827853793844321E-3</c:v>
                </c:pt>
                <c:pt idx="2">
                  <c:v>4.1642985482469488E-2</c:v>
                </c:pt>
                <c:pt idx="3">
                  <c:v>6.8678370505180317E-2</c:v>
                </c:pt>
                <c:pt idx="4">
                  <c:v>9.1169642278254581E-2</c:v>
                </c:pt>
                <c:pt idx="5">
                  <c:v>0.11127472273019828</c:v>
                </c:pt>
                <c:pt idx="6">
                  <c:v>0.14599081238465197</c:v>
                </c:pt>
                <c:pt idx="7">
                  <c:v>0.20247633255755465</c:v>
                </c:pt>
                <c:pt idx="8">
                  <c:v>0.26925655750956329</c:v>
                </c:pt>
                <c:pt idx="9">
                  <c:v>0.3478755773983086</c:v>
                </c:pt>
                <c:pt idx="10">
                  <c:v>0.44617070151074639</c:v>
                </c:pt>
                <c:pt idx="11">
                  <c:v>0.58725684203093498</c:v>
                </c:pt>
                <c:pt idx="12">
                  <c:v>0.68258139149488917</c:v>
                </c:pt>
                <c:pt idx="13">
                  <c:v>0.81831710762501186</c:v>
                </c:pt>
                <c:pt idx="14">
                  <c:v>0.9778812231262648</c:v>
                </c:pt>
                <c:pt idx="15">
                  <c:v>1.0822308728997418</c:v>
                </c:pt>
                <c:pt idx="16">
                  <c:v>1.1587862860066329</c:v>
                </c:pt>
                <c:pt idx="17">
                  <c:v>1.1751875272259036</c:v>
                </c:pt>
                <c:pt idx="18">
                  <c:v>1.1757275467446491</c:v>
                </c:pt>
                <c:pt idx="19">
                  <c:v>1.1436764278470331</c:v>
                </c:pt>
                <c:pt idx="20">
                  <c:v>1.0895288019208789</c:v>
                </c:pt>
                <c:pt idx="21">
                  <c:v>1.0590965503251737</c:v>
                </c:pt>
                <c:pt idx="22">
                  <c:v>0.9956233089243417</c:v>
                </c:pt>
                <c:pt idx="23">
                  <c:v>0.93865314179734882</c:v>
                </c:pt>
                <c:pt idx="24">
                  <c:v>0.85860669453616312</c:v>
                </c:pt>
                <c:pt idx="25">
                  <c:v>0.81333838898740451</c:v>
                </c:pt>
                <c:pt idx="26">
                  <c:v>0.72665666403345541</c:v>
                </c:pt>
                <c:pt idx="27">
                  <c:v>0.66042249905620953</c:v>
                </c:pt>
                <c:pt idx="28">
                  <c:v>0.61669960952221414</c:v>
                </c:pt>
                <c:pt idx="29">
                  <c:v>0.56173104737683899</c:v>
                </c:pt>
                <c:pt idx="30">
                  <c:v>0.50185496268818686</c:v>
                </c:pt>
                <c:pt idx="31">
                  <c:v>0.45353505238648689</c:v>
                </c:pt>
                <c:pt idx="32">
                  <c:v>0.41102374002307818</c:v>
                </c:pt>
                <c:pt idx="33">
                  <c:v>0.36752464176738742</c:v>
                </c:pt>
                <c:pt idx="34">
                  <c:v>0.32349534216512726</c:v>
                </c:pt>
                <c:pt idx="35">
                  <c:v>0.27355917198074581</c:v>
                </c:pt>
                <c:pt idx="36">
                  <c:v>0.21703270209687411</c:v>
                </c:pt>
                <c:pt idx="37">
                  <c:v>0.14032869304800738</c:v>
                </c:pt>
                <c:pt idx="38">
                  <c:v>7.2645883736672676E-2</c:v>
                </c:pt>
                <c:pt idx="39">
                  <c:v>4.6520161772792452E-2</c:v>
                </c:pt>
                <c:pt idx="40">
                  <c:v>3.735730667139542E-3</c:v>
                </c:pt>
                <c:pt idx="41">
                  <c:v>3.735999724554642E-4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989376"/>
        <c:axId val="163987456"/>
      </c:scatterChart>
      <c:valAx>
        <c:axId val="163979264"/>
        <c:scaling>
          <c:logBase val="10"/>
          <c:orientation val="minMax"/>
          <c:max val="1000000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Frequency, Hz.</a:t>
                </a:r>
              </a:p>
            </c:rich>
          </c:tx>
          <c:overlay val="0"/>
        </c:title>
        <c:numFmt formatCode="0.E+00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63981184"/>
        <c:crossesAt val="1.0000000000000002E-2"/>
        <c:crossBetween val="midCat"/>
      </c:valAx>
      <c:valAx>
        <c:axId val="163981184"/>
        <c:scaling>
          <c:logBase val="10"/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Shear &amp; Loss Modulus (MPa)</a:t>
                </a:r>
              </a:p>
            </c:rich>
          </c:tx>
          <c:overlay val="0"/>
        </c:title>
        <c:numFmt formatCode="0.E+0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63979264"/>
        <c:crossesAt val="1.0000000000000004E-6"/>
        <c:crossBetween val="midCat"/>
      </c:valAx>
      <c:valAx>
        <c:axId val="163987456"/>
        <c:scaling>
          <c:orientation val="minMax"/>
          <c:max val="5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Tan Delta</a:t>
                </a:r>
              </a:p>
            </c:rich>
          </c:tx>
          <c:overlay val="0"/>
        </c:title>
        <c:numFmt formatCode="#,##0.0" sourceLinked="0"/>
        <c:majorTickMark val="out"/>
        <c:minorTickMark val="none"/>
        <c:tickLblPos val="nextTo"/>
        <c:crossAx val="163989376"/>
        <c:crosses val="max"/>
        <c:crossBetween val="midCat"/>
      </c:valAx>
      <c:valAx>
        <c:axId val="163989376"/>
        <c:scaling>
          <c:logBase val="10"/>
          <c:orientation val="minMax"/>
        </c:scaling>
        <c:delete val="1"/>
        <c:axPos val="b"/>
        <c:numFmt formatCode="0.0000E+00" sourceLinked="1"/>
        <c:majorTickMark val="out"/>
        <c:minorTickMark val="none"/>
        <c:tickLblPos val="nextTo"/>
        <c:crossAx val="16398745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426244053204633"/>
          <c:y val="0.11669778391103176"/>
          <c:w val="0.21723143450303606"/>
          <c:h val="0.32031301241983928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Time domain representation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208905102161428"/>
          <c:y val="0.13231063566360501"/>
          <c:w val="0.85950880908547755"/>
          <c:h val="0.70313335966408685"/>
        </c:manualLayout>
      </c:layout>
      <c:scatterChart>
        <c:scatterStyle val="lineMarker"/>
        <c:varyColors val="0"/>
        <c:ser>
          <c:idx val="0"/>
          <c:order val="0"/>
          <c:tx>
            <c:v>Time Domain Response</c:v>
          </c:tx>
          <c:xVal>
            <c:numRef>
              <c:f>'Arrieta''s Prony Response'!$P$5:$P$61</c:f>
              <c:numCache>
                <c:formatCode>0.0E+00</c:formatCode>
                <c:ptCount val="57"/>
                <c:pt idx="0">
                  <c:v>9.9999999999999994E-12</c:v>
                </c:pt>
                <c:pt idx="1">
                  <c:v>1E-10</c:v>
                </c:pt>
                <c:pt idx="2">
                  <c:v>1.0000000000000001E-9</c:v>
                </c:pt>
                <c:pt idx="3">
                  <c:v>1E-8</c:v>
                </c:pt>
                <c:pt idx="4">
                  <c:v>9.9999999999999995E-8</c:v>
                </c:pt>
                <c:pt idx="5">
                  <c:v>9.9999999999999995E-7</c:v>
                </c:pt>
                <c:pt idx="6">
                  <c:v>1.0000000000000001E-5</c:v>
                </c:pt>
                <c:pt idx="7">
                  <c:v>1E-4</c:v>
                </c:pt>
                <c:pt idx="8">
                  <c:v>1E-3</c:v>
                </c:pt>
                <c:pt idx="9">
                  <c:v>0.01</c:v>
                </c:pt>
                <c:pt idx="10">
                  <c:v>0.1</c:v>
                </c:pt>
                <c:pt idx="11">
                  <c:v>1</c:v>
                </c:pt>
                <c:pt idx="12">
                  <c:v>10</c:v>
                </c:pt>
                <c:pt idx="13">
                  <c:v>100</c:v>
                </c:pt>
              </c:numCache>
            </c:numRef>
          </c:xVal>
          <c:yVal>
            <c:numRef>
              <c:f>'Arrieta''s Prony Response'!$Q$5:$Q$61</c:f>
              <c:numCache>
                <c:formatCode>General</c:formatCode>
                <c:ptCount val="57"/>
                <c:pt idx="0">
                  <c:v>0.9999976526074168</c:v>
                </c:pt>
                <c:pt idx="1">
                  <c:v>0.99997652670255666</c:v>
                </c:pt>
                <c:pt idx="2">
                  <c:v>0.99976532984959865</c:v>
                </c:pt>
                <c:pt idx="3">
                  <c:v>0.99765956605058381</c:v>
                </c:pt>
                <c:pt idx="4">
                  <c:v>0.9772078458197121</c:v>
                </c:pt>
                <c:pt idx="5">
                  <c:v>0.821127428544423</c:v>
                </c:pt>
                <c:pt idx="6">
                  <c:v>0.45489610062643127</c:v>
                </c:pt>
                <c:pt idx="7">
                  <c:v>0.18018235656768589</c:v>
                </c:pt>
                <c:pt idx="8">
                  <c:v>4.5390507442138128E-2</c:v>
                </c:pt>
                <c:pt idx="9">
                  <c:v>1.5459374476663568E-2</c:v>
                </c:pt>
                <c:pt idx="10">
                  <c:v>1.0310961359480619E-2</c:v>
                </c:pt>
                <c:pt idx="11">
                  <c:v>9.2985929787220423E-3</c:v>
                </c:pt>
                <c:pt idx="12">
                  <c:v>9.1338967477678779E-3</c:v>
                </c:pt>
                <c:pt idx="13">
                  <c:v>9.1174214160533174E-3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12032"/>
        <c:axId val="164013952"/>
      </c:scatterChart>
      <c:valAx>
        <c:axId val="164012032"/>
        <c:scaling>
          <c:logBase val="10"/>
          <c:orientation val="minMax"/>
          <c:max val="1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Time, sec.</a:t>
                </a:r>
              </a:p>
            </c:rich>
          </c:tx>
          <c:overlay val="0"/>
        </c:title>
        <c:numFmt formatCode="0.E+0" sourceLinked="0"/>
        <c:majorTickMark val="out"/>
        <c:minorTickMark val="none"/>
        <c:tickLblPos val="nextTo"/>
        <c:crossAx val="164013952"/>
        <c:crosses val="autoZero"/>
        <c:crossBetween val="midCat"/>
      </c:valAx>
      <c:valAx>
        <c:axId val="1640139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Norm. shear modulus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4012032"/>
        <c:crossesAt val="1.0000000000000006E-11"/>
        <c:crossBetween val="midCat"/>
      </c:valAx>
    </c:plotArea>
    <c:legend>
      <c:legendPos val="r"/>
      <c:legendEntry>
        <c:idx val="0"/>
        <c:txPr>
          <a:bodyPr/>
          <a:lstStyle/>
          <a:p>
            <a:pPr>
              <a:defRPr sz="1400"/>
            </a:pPr>
            <a:endParaRPr lang="en-US"/>
          </a:p>
        </c:txPr>
      </c:legendEntry>
      <c:layout>
        <c:manualLayout>
          <c:xMode val="edge"/>
          <c:yMode val="edge"/>
          <c:x val="0.54971552122863632"/>
          <c:y val="0.25821938569546821"/>
          <c:w val="0.35843141445690663"/>
          <c:h val="9.990364064684016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383624829420215"/>
          <c:y val="3.2076615159784778E-2"/>
          <c:w val="0.79684709436535617"/>
          <c:h val="0.84884852146560508"/>
        </c:manualLayout>
      </c:layout>
      <c:scatterChart>
        <c:scatterStyle val="lineMarker"/>
        <c:varyColors val="0"/>
        <c:ser>
          <c:idx val="0"/>
          <c:order val="1"/>
          <c:tx>
            <c:v>G', Storage Modulus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'Arrieta Test Data'!$B$2:$B$39</c:f>
              <c:numCache>
                <c:formatCode>0.00000</c:formatCode>
                <c:ptCount val="38"/>
                <c:pt idx="0">
                  <c:v>7.9399999999999998E-2</c:v>
                </c:pt>
                <c:pt idx="1">
                  <c:v>0.159</c:v>
                </c:pt>
                <c:pt idx="2">
                  <c:v>0.23799999999999999</c:v>
                </c:pt>
                <c:pt idx="3">
                  <c:v>0.318</c:v>
                </c:pt>
                <c:pt idx="4">
                  <c:v>0.47699999999999998</c:v>
                </c:pt>
                <c:pt idx="5">
                  <c:v>0.79400000000000004</c:v>
                </c:pt>
                <c:pt idx="6">
                  <c:v>1.27</c:v>
                </c:pt>
                <c:pt idx="7">
                  <c:v>1.99</c:v>
                </c:pt>
                <c:pt idx="8">
                  <c:v>3.18</c:v>
                </c:pt>
                <c:pt idx="9">
                  <c:v>5.62</c:v>
                </c:pt>
                <c:pt idx="10">
                  <c:v>7.94</c:v>
                </c:pt>
                <c:pt idx="11">
                  <c:v>12.7</c:v>
                </c:pt>
                <c:pt idx="12">
                  <c:v>22.5</c:v>
                </c:pt>
                <c:pt idx="13">
                  <c:v>35.4</c:v>
                </c:pt>
                <c:pt idx="14">
                  <c:v>60</c:v>
                </c:pt>
                <c:pt idx="15">
                  <c:v>79.400000000000006</c:v>
                </c:pt>
                <c:pt idx="16">
                  <c:v>100</c:v>
                </c:pt>
                <c:pt idx="17">
                  <c:v>160</c:v>
                </c:pt>
                <c:pt idx="18">
                  <c:v>238</c:v>
                </c:pt>
                <c:pt idx="19">
                  <c:v>285</c:v>
                </c:pt>
                <c:pt idx="20">
                  <c:v>400</c:v>
                </c:pt>
                <c:pt idx="21">
                  <c:v>533</c:v>
                </c:pt>
                <c:pt idx="22">
                  <c:v>794</c:v>
                </c:pt>
                <c:pt idx="23">
                  <c:v>1000</c:v>
                </c:pt>
                <c:pt idx="24">
                  <c:v>1600</c:v>
                </c:pt>
                <c:pt idx="25">
                  <c:v>2380</c:v>
                </c:pt>
                <c:pt idx="26">
                  <c:v>3180</c:v>
                </c:pt>
                <c:pt idx="27">
                  <c:v>4770</c:v>
                </c:pt>
                <c:pt idx="28">
                  <c:v>7940</c:v>
                </c:pt>
                <c:pt idx="29">
                  <c:v>12700</c:v>
                </c:pt>
                <c:pt idx="30">
                  <c:v>19900</c:v>
                </c:pt>
                <c:pt idx="31">
                  <c:v>31800</c:v>
                </c:pt>
                <c:pt idx="32">
                  <c:v>50000</c:v>
                </c:pt>
                <c:pt idx="33">
                  <c:v>79400</c:v>
                </c:pt>
                <c:pt idx="34">
                  <c:v>127000</c:v>
                </c:pt>
                <c:pt idx="35">
                  <c:v>238000</c:v>
                </c:pt>
                <c:pt idx="36">
                  <c:v>500000</c:v>
                </c:pt>
                <c:pt idx="37">
                  <c:v>794000</c:v>
                </c:pt>
              </c:numCache>
            </c:numRef>
          </c:xVal>
          <c:yVal>
            <c:numRef>
              <c:f>'Arrieta Test Data'!$C$2:$C$39</c:f>
              <c:numCache>
                <c:formatCode>0.00000</c:formatCode>
                <c:ptCount val="38"/>
                <c:pt idx="0">
                  <c:v>2.08</c:v>
                </c:pt>
                <c:pt idx="1">
                  <c:v>2.12</c:v>
                </c:pt>
                <c:pt idx="2">
                  <c:v>2.17</c:v>
                </c:pt>
                <c:pt idx="3">
                  <c:v>2.2200000000000002</c:v>
                </c:pt>
                <c:pt idx="4">
                  <c:v>2.33</c:v>
                </c:pt>
                <c:pt idx="5">
                  <c:v>2.5099999999999998</c:v>
                </c:pt>
                <c:pt idx="6">
                  <c:v>2.74</c:v>
                </c:pt>
                <c:pt idx="7">
                  <c:v>3.04</c:v>
                </c:pt>
                <c:pt idx="8">
                  <c:v>3.46</c:v>
                </c:pt>
                <c:pt idx="9">
                  <c:v>4.1399999999999997</c:v>
                </c:pt>
                <c:pt idx="10">
                  <c:v>4.79</c:v>
                </c:pt>
                <c:pt idx="11">
                  <c:v>5.84</c:v>
                </c:pt>
                <c:pt idx="12">
                  <c:v>7.62</c:v>
                </c:pt>
                <c:pt idx="13">
                  <c:v>9.84</c:v>
                </c:pt>
                <c:pt idx="14">
                  <c:v>13.2</c:v>
                </c:pt>
                <c:pt idx="15">
                  <c:v>16.3</c:v>
                </c:pt>
                <c:pt idx="16">
                  <c:v>19.399999999999999</c:v>
                </c:pt>
                <c:pt idx="17">
                  <c:v>26.5</c:v>
                </c:pt>
                <c:pt idx="18">
                  <c:v>34.4</c:v>
                </c:pt>
                <c:pt idx="19">
                  <c:v>38.299999999999997</c:v>
                </c:pt>
                <c:pt idx="20">
                  <c:v>50.1</c:v>
                </c:pt>
                <c:pt idx="21">
                  <c:v>58.8</c:v>
                </c:pt>
                <c:pt idx="22">
                  <c:v>73.7</c:v>
                </c:pt>
                <c:pt idx="23">
                  <c:v>86.4</c:v>
                </c:pt>
                <c:pt idx="24">
                  <c:v>106</c:v>
                </c:pt>
                <c:pt idx="25">
                  <c:v>138</c:v>
                </c:pt>
                <c:pt idx="26">
                  <c:v>159</c:v>
                </c:pt>
                <c:pt idx="27">
                  <c:v>188</c:v>
                </c:pt>
                <c:pt idx="28">
                  <c:v>225</c:v>
                </c:pt>
                <c:pt idx="29">
                  <c:v>258</c:v>
                </c:pt>
                <c:pt idx="30">
                  <c:v>292</c:v>
                </c:pt>
                <c:pt idx="31">
                  <c:v>328</c:v>
                </c:pt>
                <c:pt idx="32">
                  <c:v>354</c:v>
                </c:pt>
                <c:pt idx="33">
                  <c:v>386</c:v>
                </c:pt>
                <c:pt idx="34">
                  <c:v>418</c:v>
                </c:pt>
                <c:pt idx="35">
                  <c:v>461</c:v>
                </c:pt>
                <c:pt idx="36">
                  <c:v>501</c:v>
                </c:pt>
                <c:pt idx="37">
                  <c:v>530</c:v>
                </c:pt>
              </c:numCache>
            </c:numRef>
          </c:yVal>
          <c:smooth val="0"/>
        </c:ser>
        <c:ser>
          <c:idx val="2"/>
          <c:order val="2"/>
          <c:tx>
            <c:v>G'', Loss Modulus</c:v>
          </c:tx>
          <c:spPr>
            <a:ln w="28575">
              <a:noFill/>
            </a:ln>
          </c:spPr>
          <c:marker>
            <c:symbol val="triangle"/>
            <c:size val="5"/>
          </c:marker>
          <c:xVal>
            <c:numRef>
              <c:f>'Arrieta Test Data'!$B$2:$B$39</c:f>
              <c:numCache>
                <c:formatCode>0.00000</c:formatCode>
                <c:ptCount val="38"/>
                <c:pt idx="0">
                  <c:v>7.9399999999999998E-2</c:v>
                </c:pt>
                <c:pt idx="1">
                  <c:v>0.159</c:v>
                </c:pt>
                <c:pt idx="2">
                  <c:v>0.23799999999999999</c:v>
                </c:pt>
                <c:pt idx="3">
                  <c:v>0.318</c:v>
                </c:pt>
                <c:pt idx="4">
                  <c:v>0.47699999999999998</c:v>
                </c:pt>
                <c:pt idx="5">
                  <c:v>0.79400000000000004</c:v>
                </c:pt>
                <c:pt idx="6">
                  <c:v>1.27</c:v>
                </c:pt>
                <c:pt idx="7">
                  <c:v>1.99</c:v>
                </c:pt>
                <c:pt idx="8">
                  <c:v>3.18</c:v>
                </c:pt>
                <c:pt idx="9">
                  <c:v>5.62</c:v>
                </c:pt>
                <c:pt idx="10">
                  <c:v>7.94</c:v>
                </c:pt>
                <c:pt idx="11">
                  <c:v>12.7</c:v>
                </c:pt>
                <c:pt idx="12">
                  <c:v>22.5</c:v>
                </c:pt>
                <c:pt idx="13">
                  <c:v>35.4</c:v>
                </c:pt>
                <c:pt idx="14">
                  <c:v>60</c:v>
                </c:pt>
                <c:pt idx="15">
                  <c:v>79.400000000000006</c:v>
                </c:pt>
                <c:pt idx="16">
                  <c:v>100</c:v>
                </c:pt>
                <c:pt idx="17">
                  <c:v>160</c:v>
                </c:pt>
                <c:pt idx="18">
                  <c:v>238</c:v>
                </c:pt>
                <c:pt idx="19">
                  <c:v>285</c:v>
                </c:pt>
                <c:pt idx="20">
                  <c:v>400</c:v>
                </c:pt>
                <c:pt idx="21">
                  <c:v>533</c:v>
                </c:pt>
                <c:pt idx="22">
                  <c:v>794</c:v>
                </c:pt>
                <c:pt idx="23">
                  <c:v>1000</c:v>
                </c:pt>
                <c:pt idx="24">
                  <c:v>1600</c:v>
                </c:pt>
                <c:pt idx="25">
                  <c:v>2380</c:v>
                </c:pt>
                <c:pt idx="26">
                  <c:v>3180</c:v>
                </c:pt>
                <c:pt idx="27">
                  <c:v>4770</c:v>
                </c:pt>
                <c:pt idx="28">
                  <c:v>7940</c:v>
                </c:pt>
                <c:pt idx="29">
                  <c:v>12700</c:v>
                </c:pt>
                <c:pt idx="30">
                  <c:v>19900</c:v>
                </c:pt>
                <c:pt idx="31">
                  <c:v>31800</c:v>
                </c:pt>
                <c:pt idx="32">
                  <c:v>50000</c:v>
                </c:pt>
                <c:pt idx="33">
                  <c:v>79400</c:v>
                </c:pt>
                <c:pt idx="34">
                  <c:v>127000</c:v>
                </c:pt>
                <c:pt idx="35">
                  <c:v>238000</c:v>
                </c:pt>
                <c:pt idx="36">
                  <c:v>500000</c:v>
                </c:pt>
                <c:pt idx="37">
                  <c:v>794000</c:v>
                </c:pt>
              </c:numCache>
            </c:numRef>
          </c:xVal>
          <c:yVal>
            <c:numRef>
              <c:f>'Arrieta Test Data'!$E$2:$E$39</c:f>
              <c:numCache>
                <c:formatCode>0.00E+00</c:formatCode>
                <c:ptCount val="38"/>
                <c:pt idx="0">
                  <c:v>0.182</c:v>
                </c:pt>
                <c:pt idx="1">
                  <c:v>0.31599999200000006</c:v>
                </c:pt>
                <c:pt idx="2">
                  <c:v>0.44100000769999997</c:v>
                </c:pt>
                <c:pt idx="3">
                  <c:v>0.55500000000000005</c:v>
                </c:pt>
                <c:pt idx="4">
                  <c:v>0.751000008</c:v>
                </c:pt>
                <c:pt idx="5">
                  <c:v>1.0799999887999998</c:v>
                </c:pt>
                <c:pt idx="6">
                  <c:v>1.4899999988000001</c:v>
                </c:pt>
                <c:pt idx="7">
                  <c:v>2.0099999984000001</c:v>
                </c:pt>
                <c:pt idx="8">
                  <c:v>2.7500000074000002</c:v>
                </c:pt>
                <c:pt idx="9">
                  <c:v>3.9800000123999997</c:v>
                </c:pt>
                <c:pt idx="10">
                  <c:v>5.109999782</c:v>
                </c:pt>
                <c:pt idx="11">
                  <c:v>7.0900000240000001</c:v>
                </c:pt>
                <c:pt idx="12">
                  <c:v>10.500000336000001</c:v>
                </c:pt>
                <c:pt idx="13">
                  <c:v>14.499999647999999</c:v>
                </c:pt>
                <c:pt idx="14">
                  <c:v>20.30000016</c:v>
                </c:pt>
                <c:pt idx="15">
                  <c:v>24.500000249999999</c:v>
                </c:pt>
                <c:pt idx="16">
                  <c:v>28.099999839999995</c:v>
                </c:pt>
                <c:pt idx="17">
                  <c:v>35.775000000000006</c:v>
                </c:pt>
                <c:pt idx="18">
                  <c:v>43.299998959999996</c:v>
                </c:pt>
                <c:pt idx="19">
                  <c:v>46.725999999999992</c:v>
                </c:pt>
                <c:pt idx="20">
                  <c:v>57.300001260000002</c:v>
                </c:pt>
                <c:pt idx="21">
                  <c:v>63.100002839999995</c:v>
                </c:pt>
                <c:pt idx="22">
                  <c:v>70.751999999999995</c:v>
                </c:pt>
                <c:pt idx="23">
                  <c:v>78.499999584000008</c:v>
                </c:pt>
                <c:pt idx="24">
                  <c:v>85.199999480000002</c:v>
                </c:pt>
                <c:pt idx="25">
                  <c:v>98.400000239999997</c:v>
                </c:pt>
                <c:pt idx="26">
                  <c:v>102.99999966</c:v>
                </c:pt>
                <c:pt idx="27">
                  <c:v>108.99999923999999</c:v>
                </c:pt>
                <c:pt idx="28">
                  <c:v>114.99999975</c:v>
                </c:pt>
                <c:pt idx="29">
                  <c:v>118.99999998</c:v>
                </c:pt>
                <c:pt idx="30">
                  <c:v>120.99999951999999</c:v>
                </c:pt>
                <c:pt idx="31">
                  <c:v>122.00000016000001</c:v>
                </c:pt>
                <c:pt idx="32">
                  <c:v>118.99999926000001</c:v>
                </c:pt>
                <c:pt idx="33">
                  <c:v>117.99999928000001</c:v>
                </c:pt>
                <c:pt idx="34">
                  <c:v>117.99999969999999</c:v>
                </c:pt>
                <c:pt idx="35">
                  <c:v>117.00000210000002</c:v>
                </c:pt>
                <c:pt idx="36">
                  <c:v>115.00000092000001</c:v>
                </c:pt>
                <c:pt idx="37">
                  <c:v>113.0000015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776384"/>
        <c:axId val="163783040"/>
      </c:scatterChart>
      <c:scatterChart>
        <c:scatterStyle val="lineMarker"/>
        <c:varyColors val="0"/>
        <c:ser>
          <c:idx val="1"/>
          <c:order val="0"/>
          <c:tx>
            <c:v>Tan Delta</c:v>
          </c:tx>
          <c:spPr>
            <a:ln w="28575">
              <a:noFill/>
            </a:ln>
          </c:spPr>
          <c:marker>
            <c:symbol val="square"/>
            <c:size val="4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'Arrieta Test Data'!$B$2:$B$39</c:f>
              <c:numCache>
                <c:formatCode>0.00000</c:formatCode>
                <c:ptCount val="38"/>
                <c:pt idx="0">
                  <c:v>7.9399999999999998E-2</c:v>
                </c:pt>
                <c:pt idx="1">
                  <c:v>0.159</c:v>
                </c:pt>
                <c:pt idx="2">
                  <c:v>0.23799999999999999</c:v>
                </c:pt>
                <c:pt idx="3">
                  <c:v>0.318</c:v>
                </c:pt>
                <c:pt idx="4">
                  <c:v>0.47699999999999998</c:v>
                </c:pt>
                <c:pt idx="5">
                  <c:v>0.79400000000000004</c:v>
                </c:pt>
                <c:pt idx="6">
                  <c:v>1.27</c:v>
                </c:pt>
                <c:pt idx="7">
                  <c:v>1.99</c:v>
                </c:pt>
                <c:pt idx="8">
                  <c:v>3.18</c:v>
                </c:pt>
                <c:pt idx="9">
                  <c:v>5.62</c:v>
                </c:pt>
                <c:pt idx="10">
                  <c:v>7.94</c:v>
                </c:pt>
                <c:pt idx="11">
                  <c:v>12.7</c:v>
                </c:pt>
                <c:pt idx="12">
                  <c:v>22.5</c:v>
                </c:pt>
                <c:pt idx="13">
                  <c:v>35.4</c:v>
                </c:pt>
                <c:pt idx="14">
                  <c:v>60</c:v>
                </c:pt>
                <c:pt idx="15">
                  <c:v>79.400000000000006</c:v>
                </c:pt>
                <c:pt idx="16">
                  <c:v>100</c:v>
                </c:pt>
                <c:pt idx="17">
                  <c:v>160</c:v>
                </c:pt>
                <c:pt idx="18">
                  <c:v>238</c:v>
                </c:pt>
                <c:pt idx="19">
                  <c:v>285</c:v>
                </c:pt>
                <c:pt idx="20">
                  <c:v>400</c:v>
                </c:pt>
                <c:pt idx="21">
                  <c:v>533</c:v>
                </c:pt>
                <c:pt idx="22">
                  <c:v>794</c:v>
                </c:pt>
                <c:pt idx="23">
                  <c:v>1000</c:v>
                </c:pt>
                <c:pt idx="24">
                  <c:v>1600</c:v>
                </c:pt>
                <c:pt idx="25">
                  <c:v>2380</c:v>
                </c:pt>
                <c:pt idx="26">
                  <c:v>3180</c:v>
                </c:pt>
                <c:pt idx="27">
                  <c:v>4770</c:v>
                </c:pt>
                <c:pt idx="28">
                  <c:v>7940</c:v>
                </c:pt>
                <c:pt idx="29">
                  <c:v>12700</c:v>
                </c:pt>
                <c:pt idx="30">
                  <c:v>19900</c:v>
                </c:pt>
                <c:pt idx="31">
                  <c:v>31800</c:v>
                </c:pt>
                <c:pt idx="32">
                  <c:v>50000</c:v>
                </c:pt>
                <c:pt idx="33">
                  <c:v>79400</c:v>
                </c:pt>
                <c:pt idx="34">
                  <c:v>127000</c:v>
                </c:pt>
                <c:pt idx="35">
                  <c:v>238000</c:v>
                </c:pt>
                <c:pt idx="36">
                  <c:v>500000</c:v>
                </c:pt>
                <c:pt idx="37">
                  <c:v>794000</c:v>
                </c:pt>
              </c:numCache>
            </c:numRef>
          </c:xVal>
          <c:yVal>
            <c:numRef>
              <c:f>'Arrieta Test Data'!$D$2:$D$39</c:f>
              <c:numCache>
                <c:formatCode>0.00E+00</c:formatCode>
                <c:ptCount val="38"/>
                <c:pt idx="0">
                  <c:v>8.7499999999999994E-2</c:v>
                </c:pt>
                <c:pt idx="1">
                  <c:v>0.14905660000000001</c:v>
                </c:pt>
                <c:pt idx="2">
                  <c:v>0.20322581000000001</c:v>
                </c:pt>
                <c:pt idx="3">
                  <c:v>0.25</c:v>
                </c:pt>
                <c:pt idx="4">
                  <c:v>0.32231759999999998</c:v>
                </c:pt>
                <c:pt idx="5">
                  <c:v>0.43027887999999997</c:v>
                </c:pt>
                <c:pt idx="6">
                  <c:v>0.54379562000000004</c:v>
                </c:pt>
                <c:pt idx="7">
                  <c:v>0.66118421000000005</c:v>
                </c:pt>
                <c:pt idx="8">
                  <c:v>0.79479769</c:v>
                </c:pt>
                <c:pt idx="9">
                  <c:v>0.96135265999999997</c:v>
                </c:pt>
                <c:pt idx="10">
                  <c:v>1.0668058</c:v>
                </c:pt>
                <c:pt idx="11">
                  <c:v>1.2140411</c:v>
                </c:pt>
                <c:pt idx="12">
                  <c:v>1.3779528000000001</c:v>
                </c:pt>
                <c:pt idx="13">
                  <c:v>1.4735772</c:v>
                </c:pt>
                <c:pt idx="14">
                  <c:v>1.5378788000000001</c:v>
                </c:pt>
                <c:pt idx="15">
                  <c:v>1.5030675</c:v>
                </c:pt>
                <c:pt idx="16">
                  <c:v>1.4484535999999999</c:v>
                </c:pt>
                <c:pt idx="17">
                  <c:v>1.35</c:v>
                </c:pt>
                <c:pt idx="18">
                  <c:v>1.2587208999999999</c:v>
                </c:pt>
                <c:pt idx="19">
                  <c:v>1.22</c:v>
                </c:pt>
                <c:pt idx="20">
                  <c:v>1.1437126</c:v>
                </c:pt>
                <c:pt idx="21">
                  <c:v>1.0731293</c:v>
                </c:pt>
                <c:pt idx="22">
                  <c:v>0.96</c:v>
                </c:pt>
                <c:pt idx="23">
                  <c:v>0.90856481</c:v>
                </c:pt>
                <c:pt idx="24">
                  <c:v>0.80377357999999999</c:v>
                </c:pt>
                <c:pt idx="25">
                  <c:v>0.71304347999999995</c:v>
                </c:pt>
                <c:pt idx="26">
                  <c:v>0.64779874000000004</c:v>
                </c:pt>
                <c:pt idx="27">
                  <c:v>0.57978722999999999</c:v>
                </c:pt>
                <c:pt idx="28">
                  <c:v>0.51111110999999998</c:v>
                </c:pt>
                <c:pt idx="29">
                  <c:v>0.46124030999999999</c:v>
                </c:pt>
                <c:pt idx="30">
                  <c:v>0.41438355999999998</c:v>
                </c:pt>
                <c:pt idx="31">
                  <c:v>0.37195122000000003</c:v>
                </c:pt>
                <c:pt idx="32">
                  <c:v>0.33615819000000002</c:v>
                </c:pt>
                <c:pt idx="33">
                  <c:v>0.30569948000000002</c:v>
                </c:pt>
                <c:pt idx="34">
                  <c:v>0.28229664999999998</c:v>
                </c:pt>
                <c:pt idx="35">
                  <c:v>0.25379610000000002</c:v>
                </c:pt>
                <c:pt idx="36">
                  <c:v>0.22954092000000001</c:v>
                </c:pt>
                <c:pt idx="37">
                  <c:v>0.21320755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787136"/>
        <c:axId val="163784960"/>
      </c:scatterChart>
      <c:valAx>
        <c:axId val="163776384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Frequency (Hz)</a:t>
                </a:r>
              </a:p>
            </c:rich>
          </c:tx>
          <c:layout/>
          <c:overlay val="0"/>
        </c:title>
        <c:numFmt formatCode="0.E+00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63783040"/>
        <c:crossesAt val="0.1"/>
        <c:crossBetween val="midCat"/>
      </c:valAx>
      <c:valAx>
        <c:axId val="16378304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Storage &amp; Loss Modulus (MPa)</a:t>
                </a:r>
              </a:p>
            </c:rich>
          </c:tx>
          <c:layout>
            <c:manualLayout>
              <c:xMode val="edge"/>
              <c:yMode val="edge"/>
              <c:x val="1.5820902469817391E-2"/>
              <c:y val="0.28117069742049688"/>
            </c:manualLayout>
          </c:layout>
          <c:overlay val="0"/>
        </c:title>
        <c:numFmt formatCode="0.E+0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63776384"/>
        <c:crossesAt val="1.0000000000000002E-2"/>
        <c:crossBetween val="midCat"/>
      </c:valAx>
      <c:valAx>
        <c:axId val="163784960"/>
        <c:scaling>
          <c:orientation val="minMax"/>
          <c:max val="2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Tan Delta</a:t>
                </a:r>
              </a:p>
            </c:rich>
          </c:tx>
          <c:layout>
            <c:manualLayout>
              <c:xMode val="edge"/>
              <c:yMode val="edge"/>
              <c:x val="0.94687474285850914"/>
              <c:y val="0.38227043726594467"/>
            </c:manualLayout>
          </c:layout>
          <c:overlay val="0"/>
        </c:title>
        <c:numFmt formatCode="#,##0.0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63787136"/>
        <c:crosses val="max"/>
        <c:crossBetween val="midCat"/>
        <c:majorUnit val="0.5"/>
      </c:valAx>
      <c:valAx>
        <c:axId val="163787136"/>
        <c:scaling>
          <c:logBase val="10"/>
          <c:orientation val="minMax"/>
        </c:scaling>
        <c:delete val="1"/>
        <c:axPos val="b"/>
        <c:numFmt formatCode="0.00000" sourceLinked="1"/>
        <c:majorTickMark val="out"/>
        <c:minorTickMark val="none"/>
        <c:tickLblPos val="nextTo"/>
        <c:crossAx val="16378496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6719163918065486"/>
          <c:y val="3.9885968386158877E-2"/>
          <c:w val="0.2101726647236114"/>
          <c:h val="0.29026981871489738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Frequency domain representation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269898596690822"/>
          <c:y val="0.11342640953046468"/>
          <c:w val="0.79333925765427749"/>
          <c:h val="0.74550407868732782"/>
        </c:manualLayout>
      </c:layout>
      <c:scatterChart>
        <c:scatterStyle val="lineMarker"/>
        <c:varyColors val="0"/>
        <c:ser>
          <c:idx val="2"/>
          <c:order val="0"/>
          <c:tx>
            <c:v>Gs Test Data</c:v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'Calibrate from Abaqus'!$F$6:$F$43</c:f>
              <c:numCache>
                <c:formatCode>0.0000E+00</c:formatCode>
                <c:ptCount val="38"/>
                <c:pt idx="0">
                  <c:v>7.9399999999999998E-2</c:v>
                </c:pt>
                <c:pt idx="1">
                  <c:v>0.159</c:v>
                </c:pt>
                <c:pt idx="2">
                  <c:v>0.23799999999999999</c:v>
                </c:pt>
                <c:pt idx="3">
                  <c:v>0.318</c:v>
                </c:pt>
                <c:pt idx="4">
                  <c:v>0.47699999999999998</c:v>
                </c:pt>
                <c:pt idx="5">
                  <c:v>0.79400000000000004</c:v>
                </c:pt>
                <c:pt idx="6">
                  <c:v>1.27</c:v>
                </c:pt>
                <c:pt idx="7">
                  <c:v>1.99</c:v>
                </c:pt>
                <c:pt idx="8">
                  <c:v>3.18</c:v>
                </c:pt>
                <c:pt idx="9">
                  <c:v>5.62</c:v>
                </c:pt>
                <c:pt idx="10">
                  <c:v>7.94</c:v>
                </c:pt>
                <c:pt idx="11">
                  <c:v>12.7</c:v>
                </c:pt>
                <c:pt idx="12">
                  <c:v>22.5</c:v>
                </c:pt>
                <c:pt idx="13">
                  <c:v>35.4</c:v>
                </c:pt>
                <c:pt idx="14">
                  <c:v>60</c:v>
                </c:pt>
                <c:pt idx="15">
                  <c:v>79.400000000000006</c:v>
                </c:pt>
                <c:pt idx="16">
                  <c:v>100</c:v>
                </c:pt>
                <c:pt idx="17">
                  <c:v>160</c:v>
                </c:pt>
                <c:pt idx="18">
                  <c:v>238</c:v>
                </c:pt>
                <c:pt idx="19">
                  <c:v>285</c:v>
                </c:pt>
                <c:pt idx="20">
                  <c:v>400</c:v>
                </c:pt>
                <c:pt idx="21">
                  <c:v>533</c:v>
                </c:pt>
                <c:pt idx="22">
                  <c:v>794</c:v>
                </c:pt>
                <c:pt idx="23">
                  <c:v>1000</c:v>
                </c:pt>
                <c:pt idx="24">
                  <c:v>1600</c:v>
                </c:pt>
                <c:pt idx="25">
                  <c:v>2380</c:v>
                </c:pt>
                <c:pt idx="26" formatCode="0.0E+00">
                  <c:v>3180</c:v>
                </c:pt>
                <c:pt idx="27" formatCode="0.0E+00">
                  <c:v>4770</c:v>
                </c:pt>
                <c:pt idx="28" formatCode="General">
                  <c:v>7940</c:v>
                </c:pt>
                <c:pt idx="29" formatCode="General">
                  <c:v>12700</c:v>
                </c:pt>
                <c:pt idx="30" formatCode="General">
                  <c:v>19900</c:v>
                </c:pt>
                <c:pt idx="31" formatCode="General">
                  <c:v>31800</c:v>
                </c:pt>
                <c:pt idx="32" formatCode="General">
                  <c:v>50000</c:v>
                </c:pt>
                <c:pt idx="33" formatCode="General">
                  <c:v>79400</c:v>
                </c:pt>
                <c:pt idx="34" formatCode="General">
                  <c:v>127000</c:v>
                </c:pt>
                <c:pt idx="35" formatCode="General">
                  <c:v>238000</c:v>
                </c:pt>
                <c:pt idx="36" formatCode="General">
                  <c:v>500000</c:v>
                </c:pt>
                <c:pt idx="37" formatCode="General">
                  <c:v>794000</c:v>
                </c:pt>
              </c:numCache>
            </c:numRef>
          </c:xVal>
          <c:yVal>
            <c:numRef>
              <c:f>'Calibrate from Abaqus'!$G$6:$G$43</c:f>
              <c:numCache>
                <c:formatCode>0.000</c:formatCode>
                <c:ptCount val="38"/>
                <c:pt idx="0">
                  <c:v>2.08</c:v>
                </c:pt>
                <c:pt idx="1">
                  <c:v>2.12</c:v>
                </c:pt>
                <c:pt idx="2">
                  <c:v>2.17</c:v>
                </c:pt>
                <c:pt idx="3">
                  <c:v>2.2200000000000002</c:v>
                </c:pt>
                <c:pt idx="4">
                  <c:v>2.33</c:v>
                </c:pt>
                <c:pt idx="5">
                  <c:v>2.5099999999999998</c:v>
                </c:pt>
                <c:pt idx="6">
                  <c:v>2.74</c:v>
                </c:pt>
                <c:pt idx="7">
                  <c:v>3.04</c:v>
                </c:pt>
                <c:pt idx="8">
                  <c:v>3.46</c:v>
                </c:pt>
                <c:pt idx="9">
                  <c:v>4.1399999999999997</c:v>
                </c:pt>
                <c:pt idx="10">
                  <c:v>4.79</c:v>
                </c:pt>
                <c:pt idx="11">
                  <c:v>5.84</c:v>
                </c:pt>
                <c:pt idx="12">
                  <c:v>7.62</c:v>
                </c:pt>
                <c:pt idx="13">
                  <c:v>9.84</c:v>
                </c:pt>
                <c:pt idx="14">
                  <c:v>13.2</c:v>
                </c:pt>
                <c:pt idx="15">
                  <c:v>16.3</c:v>
                </c:pt>
                <c:pt idx="16">
                  <c:v>19.399999999999999</c:v>
                </c:pt>
                <c:pt idx="17">
                  <c:v>26.5</c:v>
                </c:pt>
                <c:pt idx="18">
                  <c:v>34.4</c:v>
                </c:pt>
                <c:pt idx="19">
                  <c:v>38.299999999999997</c:v>
                </c:pt>
                <c:pt idx="20">
                  <c:v>50.1</c:v>
                </c:pt>
                <c:pt idx="21">
                  <c:v>58.8</c:v>
                </c:pt>
                <c:pt idx="22">
                  <c:v>73.7</c:v>
                </c:pt>
                <c:pt idx="23">
                  <c:v>86.4</c:v>
                </c:pt>
                <c:pt idx="24">
                  <c:v>106</c:v>
                </c:pt>
                <c:pt idx="25">
                  <c:v>138</c:v>
                </c:pt>
                <c:pt idx="26">
                  <c:v>159</c:v>
                </c:pt>
                <c:pt idx="27">
                  <c:v>188</c:v>
                </c:pt>
                <c:pt idx="28">
                  <c:v>225</c:v>
                </c:pt>
                <c:pt idx="29">
                  <c:v>258</c:v>
                </c:pt>
                <c:pt idx="30">
                  <c:v>292</c:v>
                </c:pt>
                <c:pt idx="31">
                  <c:v>328</c:v>
                </c:pt>
                <c:pt idx="32">
                  <c:v>354</c:v>
                </c:pt>
                <c:pt idx="33">
                  <c:v>386</c:v>
                </c:pt>
                <c:pt idx="34">
                  <c:v>418</c:v>
                </c:pt>
                <c:pt idx="35">
                  <c:v>461</c:v>
                </c:pt>
                <c:pt idx="36">
                  <c:v>501</c:v>
                </c:pt>
                <c:pt idx="37">
                  <c:v>530</c:v>
                </c:pt>
              </c:numCache>
            </c:numRef>
          </c:yVal>
          <c:smooth val="0"/>
        </c:ser>
        <c:ser>
          <c:idx val="0"/>
          <c:order val="1"/>
          <c:tx>
            <c:v>Gs from Prony</c:v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'Calibrate from Abaqus'!$F$4:$F$45</c:f>
              <c:numCache>
                <c:formatCode>0.0E+00</c:formatCode>
                <c:ptCount val="42"/>
                <c:pt idx="0">
                  <c:v>1E-3</c:v>
                </c:pt>
                <c:pt idx="1">
                  <c:v>0.01</c:v>
                </c:pt>
                <c:pt idx="2" formatCode="0.0000E+00">
                  <c:v>7.9399999999999998E-2</c:v>
                </c:pt>
                <c:pt idx="3" formatCode="0.0000E+00">
                  <c:v>0.159</c:v>
                </c:pt>
                <c:pt idx="4" formatCode="0.0000E+00">
                  <c:v>0.23799999999999999</c:v>
                </c:pt>
                <c:pt idx="5" formatCode="0.0000E+00">
                  <c:v>0.318</c:v>
                </c:pt>
                <c:pt idx="6" formatCode="0.0000E+00">
                  <c:v>0.47699999999999998</c:v>
                </c:pt>
                <c:pt idx="7" formatCode="0.0000E+00">
                  <c:v>0.79400000000000004</c:v>
                </c:pt>
                <c:pt idx="8" formatCode="0.0000E+00">
                  <c:v>1.27</c:v>
                </c:pt>
                <c:pt idx="9" formatCode="0.0000E+00">
                  <c:v>1.99</c:v>
                </c:pt>
                <c:pt idx="10" formatCode="0.0000E+00">
                  <c:v>3.18</c:v>
                </c:pt>
                <c:pt idx="11" formatCode="0.0000E+00">
                  <c:v>5.62</c:v>
                </c:pt>
                <c:pt idx="12" formatCode="0.0000E+00">
                  <c:v>7.94</c:v>
                </c:pt>
                <c:pt idx="13" formatCode="0.0000E+00">
                  <c:v>12.7</c:v>
                </c:pt>
                <c:pt idx="14" formatCode="0.0000E+00">
                  <c:v>22.5</c:v>
                </c:pt>
                <c:pt idx="15" formatCode="0.0000E+00">
                  <c:v>35.4</c:v>
                </c:pt>
                <c:pt idx="16" formatCode="0.0000E+00">
                  <c:v>60</c:v>
                </c:pt>
                <c:pt idx="17" formatCode="0.0000E+00">
                  <c:v>79.400000000000006</c:v>
                </c:pt>
                <c:pt idx="18" formatCode="0.0000E+00">
                  <c:v>100</c:v>
                </c:pt>
                <c:pt idx="19" formatCode="0.0000E+00">
                  <c:v>160</c:v>
                </c:pt>
                <c:pt idx="20" formatCode="0.0000E+00">
                  <c:v>238</c:v>
                </c:pt>
                <c:pt idx="21" formatCode="0.0000E+00">
                  <c:v>285</c:v>
                </c:pt>
                <c:pt idx="22" formatCode="0.0000E+00">
                  <c:v>400</c:v>
                </c:pt>
                <c:pt idx="23" formatCode="0.0000E+00">
                  <c:v>533</c:v>
                </c:pt>
                <c:pt idx="24" formatCode="0.0000E+00">
                  <c:v>794</c:v>
                </c:pt>
                <c:pt idx="25" formatCode="0.0000E+00">
                  <c:v>1000</c:v>
                </c:pt>
                <c:pt idx="26" formatCode="0.0000E+00">
                  <c:v>1600</c:v>
                </c:pt>
                <c:pt idx="27" formatCode="0.0000E+00">
                  <c:v>2380</c:v>
                </c:pt>
                <c:pt idx="28">
                  <c:v>3180</c:v>
                </c:pt>
                <c:pt idx="29">
                  <c:v>4770</c:v>
                </c:pt>
                <c:pt idx="30" formatCode="General">
                  <c:v>7940</c:v>
                </c:pt>
                <c:pt idx="31" formatCode="General">
                  <c:v>12700</c:v>
                </c:pt>
                <c:pt idx="32" formatCode="General">
                  <c:v>19900</c:v>
                </c:pt>
                <c:pt idx="33" formatCode="General">
                  <c:v>31800</c:v>
                </c:pt>
                <c:pt idx="34" formatCode="General">
                  <c:v>50000</c:v>
                </c:pt>
                <c:pt idx="35" formatCode="General">
                  <c:v>79400</c:v>
                </c:pt>
                <c:pt idx="36" formatCode="General">
                  <c:v>127000</c:v>
                </c:pt>
                <c:pt idx="37" formatCode="General">
                  <c:v>238000</c:v>
                </c:pt>
                <c:pt idx="38" formatCode="General">
                  <c:v>500000</c:v>
                </c:pt>
                <c:pt idx="39" formatCode="General">
                  <c:v>794000</c:v>
                </c:pt>
                <c:pt idx="40" formatCode="0.00E+00">
                  <c:v>10000000</c:v>
                </c:pt>
                <c:pt idx="41" formatCode="0.00E+00">
                  <c:v>100000000</c:v>
                </c:pt>
              </c:numCache>
            </c:numRef>
          </c:xVal>
          <c:yVal>
            <c:numRef>
              <c:f>'Calibrate from Abaqus'!$J$4:$J$45</c:f>
              <c:numCache>
                <c:formatCode>0.000</c:formatCode>
                <c:ptCount val="42"/>
                <c:pt idx="0">
                  <c:v>2.4274001048211828</c:v>
                </c:pt>
                <c:pt idx="1">
                  <c:v>2.4274104821140217</c:v>
                </c:pt>
                <c:pt idx="2">
                  <c:v>2.4280608193987008</c:v>
                </c:pt>
                <c:pt idx="3">
                  <c:v>2.4300498074142558</c:v>
                </c:pt>
                <c:pt idx="4">
                  <c:v>2.4333366041036273</c:v>
                </c:pt>
                <c:pt idx="5">
                  <c:v>2.4379971119125812</c:v>
                </c:pt>
                <c:pt idx="6">
                  <c:v>2.4512355645164763</c:v>
                </c:pt>
                <c:pt idx="7">
                  <c:v>2.4933734387712763</c:v>
                </c:pt>
                <c:pt idx="8">
                  <c:v>2.595750558328775</c:v>
                </c:pt>
                <c:pt idx="9">
                  <c:v>2.8382155697890137</c:v>
                </c:pt>
                <c:pt idx="10">
                  <c:v>3.4598848557482067</c:v>
                </c:pt>
                <c:pt idx="11">
                  <c:v>5.4838531927982661</c:v>
                </c:pt>
                <c:pt idx="12">
                  <c:v>8.0950647393314785</c:v>
                </c:pt>
                <c:pt idx="13">
                  <c:v>14.300315732731072</c:v>
                </c:pt>
                <c:pt idx="14">
                  <c:v>25.263708726687646</c:v>
                </c:pt>
                <c:pt idx="15">
                  <c:v>33.404403122487018</c:v>
                </c:pt>
                <c:pt idx="16">
                  <c:v>40.133863578542517</c:v>
                </c:pt>
                <c:pt idx="17">
                  <c:v>43.118902895774411</c:v>
                </c:pt>
                <c:pt idx="18">
                  <c:v>45.781539582500265</c:v>
                </c:pt>
                <c:pt idx="19">
                  <c:v>53.122711791128609</c:v>
                </c:pt>
                <c:pt idx="20">
                  <c:v>62.194540846342413</c:v>
                </c:pt>
                <c:pt idx="21">
                  <c:v>67.118671482740993</c:v>
                </c:pt>
                <c:pt idx="22">
                  <c:v>77.421485978900293</c:v>
                </c:pt>
                <c:pt idx="23">
                  <c:v>87.286446410678806</c:v>
                </c:pt>
                <c:pt idx="24">
                  <c:v>103.79141768629563</c:v>
                </c:pt>
                <c:pt idx="25">
                  <c:v>115.29220618142317</c:v>
                </c:pt>
                <c:pt idx="26">
                  <c:v>142.34759569846193</c:v>
                </c:pt>
                <c:pt idx="27">
                  <c:v>166.97412218092731</c:v>
                </c:pt>
                <c:pt idx="28">
                  <c:v>185.75999379335539</c:v>
                </c:pt>
                <c:pt idx="29">
                  <c:v>214.42997748587189</c:v>
                </c:pt>
                <c:pt idx="30">
                  <c:v>254.89209301363772</c:v>
                </c:pt>
                <c:pt idx="31">
                  <c:v>294.29540688772175</c:v>
                </c:pt>
                <c:pt idx="32">
                  <c:v>330.28237727426432</c:v>
                </c:pt>
                <c:pt idx="33">
                  <c:v>361.79850043499238</c:v>
                </c:pt>
                <c:pt idx="34">
                  <c:v>386.79298362110802</c:v>
                </c:pt>
                <c:pt idx="35">
                  <c:v>413.1646826799518</c:v>
                </c:pt>
                <c:pt idx="36">
                  <c:v>445.51253164855018</c:v>
                </c:pt>
                <c:pt idx="37">
                  <c:v>488.66739817551525</c:v>
                </c:pt>
                <c:pt idx="38">
                  <c:v>517.74336923498015</c:v>
                </c:pt>
                <c:pt idx="39">
                  <c:v>524.84945301352423</c:v>
                </c:pt>
                <c:pt idx="40">
                  <c:v>529.96619833161367</c:v>
                </c:pt>
                <c:pt idx="41">
                  <c:v>529.99966189592317</c:v>
                </c:pt>
              </c:numCache>
            </c:numRef>
          </c:yVal>
          <c:smooth val="0"/>
        </c:ser>
        <c:ser>
          <c:idx val="1"/>
          <c:order val="2"/>
          <c:tx>
            <c:v>Gl Test Data</c:v>
          </c:tx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'Calibrate from Abaqus'!$F$6:$F$43</c:f>
              <c:numCache>
                <c:formatCode>0.0000E+00</c:formatCode>
                <c:ptCount val="38"/>
                <c:pt idx="0">
                  <c:v>7.9399999999999998E-2</c:v>
                </c:pt>
                <c:pt idx="1">
                  <c:v>0.159</c:v>
                </c:pt>
                <c:pt idx="2">
                  <c:v>0.23799999999999999</c:v>
                </c:pt>
                <c:pt idx="3">
                  <c:v>0.318</c:v>
                </c:pt>
                <c:pt idx="4">
                  <c:v>0.47699999999999998</c:v>
                </c:pt>
                <c:pt idx="5">
                  <c:v>0.79400000000000004</c:v>
                </c:pt>
                <c:pt idx="6">
                  <c:v>1.27</c:v>
                </c:pt>
                <c:pt idx="7">
                  <c:v>1.99</c:v>
                </c:pt>
                <c:pt idx="8">
                  <c:v>3.18</c:v>
                </c:pt>
                <c:pt idx="9">
                  <c:v>5.62</c:v>
                </c:pt>
                <c:pt idx="10">
                  <c:v>7.94</c:v>
                </c:pt>
                <c:pt idx="11">
                  <c:v>12.7</c:v>
                </c:pt>
                <c:pt idx="12">
                  <c:v>22.5</c:v>
                </c:pt>
                <c:pt idx="13">
                  <c:v>35.4</c:v>
                </c:pt>
                <c:pt idx="14">
                  <c:v>60</c:v>
                </c:pt>
                <c:pt idx="15">
                  <c:v>79.400000000000006</c:v>
                </c:pt>
                <c:pt idx="16">
                  <c:v>100</c:v>
                </c:pt>
                <c:pt idx="17">
                  <c:v>160</c:v>
                </c:pt>
                <c:pt idx="18">
                  <c:v>238</c:v>
                </c:pt>
                <c:pt idx="19">
                  <c:v>285</c:v>
                </c:pt>
                <c:pt idx="20">
                  <c:v>400</c:v>
                </c:pt>
                <c:pt idx="21">
                  <c:v>533</c:v>
                </c:pt>
                <c:pt idx="22">
                  <c:v>794</c:v>
                </c:pt>
                <c:pt idx="23">
                  <c:v>1000</c:v>
                </c:pt>
                <c:pt idx="24">
                  <c:v>1600</c:v>
                </c:pt>
                <c:pt idx="25">
                  <c:v>2380</c:v>
                </c:pt>
                <c:pt idx="26" formatCode="0.0E+00">
                  <c:v>3180</c:v>
                </c:pt>
                <c:pt idx="27" formatCode="0.0E+00">
                  <c:v>4770</c:v>
                </c:pt>
                <c:pt idx="28" formatCode="General">
                  <c:v>7940</c:v>
                </c:pt>
                <c:pt idx="29" formatCode="General">
                  <c:v>12700</c:v>
                </c:pt>
                <c:pt idx="30" formatCode="General">
                  <c:v>19900</c:v>
                </c:pt>
                <c:pt idx="31" formatCode="General">
                  <c:v>31800</c:v>
                </c:pt>
                <c:pt idx="32" formatCode="General">
                  <c:v>50000</c:v>
                </c:pt>
                <c:pt idx="33" formatCode="General">
                  <c:v>79400</c:v>
                </c:pt>
                <c:pt idx="34" formatCode="General">
                  <c:v>127000</c:v>
                </c:pt>
                <c:pt idx="35" formatCode="General">
                  <c:v>238000</c:v>
                </c:pt>
                <c:pt idx="36" formatCode="General">
                  <c:v>500000</c:v>
                </c:pt>
                <c:pt idx="37" formatCode="General">
                  <c:v>794000</c:v>
                </c:pt>
              </c:numCache>
            </c:numRef>
          </c:xVal>
          <c:yVal>
            <c:numRef>
              <c:f>'Calibrate from Abaqus'!$H$6:$H$43</c:f>
              <c:numCache>
                <c:formatCode>0.000</c:formatCode>
                <c:ptCount val="38"/>
                <c:pt idx="0">
                  <c:v>0.182</c:v>
                </c:pt>
                <c:pt idx="1">
                  <c:v>0.31599999200000006</c:v>
                </c:pt>
                <c:pt idx="2">
                  <c:v>0.44100000769999997</c:v>
                </c:pt>
                <c:pt idx="3">
                  <c:v>0.55500000000000005</c:v>
                </c:pt>
                <c:pt idx="4">
                  <c:v>0.751000008</c:v>
                </c:pt>
                <c:pt idx="5">
                  <c:v>1.0799999887999998</c:v>
                </c:pt>
                <c:pt idx="6">
                  <c:v>1.4899999988000001</c:v>
                </c:pt>
                <c:pt idx="7">
                  <c:v>2.0099999984000001</c:v>
                </c:pt>
                <c:pt idx="8">
                  <c:v>2.7500000074000002</c:v>
                </c:pt>
                <c:pt idx="9">
                  <c:v>3.9800000123999997</c:v>
                </c:pt>
                <c:pt idx="10">
                  <c:v>5.109999782</c:v>
                </c:pt>
                <c:pt idx="11">
                  <c:v>7.0900000240000001</c:v>
                </c:pt>
                <c:pt idx="12">
                  <c:v>10.500000336000001</c:v>
                </c:pt>
                <c:pt idx="13">
                  <c:v>14.499999647999999</c:v>
                </c:pt>
                <c:pt idx="14">
                  <c:v>20.30000016</c:v>
                </c:pt>
                <c:pt idx="15">
                  <c:v>24.500000249999999</c:v>
                </c:pt>
                <c:pt idx="16">
                  <c:v>28.099999839999995</c:v>
                </c:pt>
                <c:pt idx="17">
                  <c:v>35.775000000000006</c:v>
                </c:pt>
                <c:pt idx="18">
                  <c:v>43.299998959999996</c:v>
                </c:pt>
                <c:pt idx="19">
                  <c:v>46.725999999999992</c:v>
                </c:pt>
                <c:pt idx="20">
                  <c:v>57.300001260000002</c:v>
                </c:pt>
                <c:pt idx="21">
                  <c:v>63.100002839999995</c:v>
                </c:pt>
                <c:pt idx="22">
                  <c:v>70.751999999999995</c:v>
                </c:pt>
                <c:pt idx="23">
                  <c:v>78.499999584000008</c:v>
                </c:pt>
                <c:pt idx="24">
                  <c:v>85.199999480000002</c:v>
                </c:pt>
                <c:pt idx="25">
                  <c:v>98.400000239999997</c:v>
                </c:pt>
                <c:pt idx="26">
                  <c:v>102.99999966</c:v>
                </c:pt>
                <c:pt idx="27">
                  <c:v>108.99999923999999</c:v>
                </c:pt>
                <c:pt idx="28">
                  <c:v>114.99999975</c:v>
                </c:pt>
                <c:pt idx="29">
                  <c:v>118.99999998</c:v>
                </c:pt>
                <c:pt idx="30">
                  <c:v>120.99999951999999</c:v>
                </c:pt>
                <c:pt idx="31">
                  <c:v>122.00000016000001</c:v>
                </c:pt>
                <c:pt idx="32">
                  <c:v>118.99999926000001</c:v>
                </c:pt>
                <c:pt idx="33">
                  <c:v>117.99999928000001</c:v>
                </c:pt>
                <c:pt idx="34">
                  <c:v>117.99999969999999</c:v>
                </c:pt>
                <c:pt idx="35">
                  <c:v>117.00000210000002</c:v>
                </c:pt>
                <c:pt idx="36">
                  <c:v>115.00000092000001</c:v>
                </c:pt>
                <c:pt idx="37">
                  <c:v>113.0000015</c:v>
                </c:pt>
              </c:numCache>
            </c:numRef>
          </c:yVal>
          <c:smooth val="0"/>
        </c:ser>
        <c:ser>
          <c:idx val="3"/>
          <c:order val="3"/>
          <c:tx>
            <c:v>Gl from Prony</c:v>
          </c:tx>
          <c:spPr>
            <a:ln w="22225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'Calibrate from Abaqus'!$F$5:$F$45</c:f>
              <c:numCache>
                <c:formatCode>0.0000E+00</c:formatCode>
                <c:ptCount val="41"/>
                <c:pt idx="0" formatCode="0.0E+00">
                  <c:v>0.01</c:v>
                </c:pt>
                <c:pt idx="1">
                  <c:v>7.9399999999999998E-2</c:v>
                </c:pt>
                <c:pt idx="2">
                  <c:v>0.159</c:v>
                </c:pt>
                <c:pt idx="3">
                  <c:v>0.23799999999999999</c:v>
                </c:pt>
                <c:pt idx="4">
                  <c:v>0.318</c:v>
                </c:pt>
                <c:pt idx="5">
                  <c:v>0.47699999999999998</c:v>
                </c:pt>
                <c:pt idx="6">
                  <c:v>0.79400000000000004</c:v>
                </c:pt>
                <c:pt idx="7">
                  <c:v>1.27</c:v>
                </c:pt>
                <c:pt idx="8">
                  <c:v>1.99</c:v>
                </c:pt>
                <c:pt idx="9">
                  <c:v>3.18</c:v>
                </c:pt>
                <c:pt idx="10">
                  <c:v>5.62</c:v>
                </c:pt>
                <c:pt idx="11">
                  <c:v>7.94</c:v>
                </c:pt>
                <c:pt idx="12">
                  <c:v>12.7</c:v>
                </c:pt>
                <c:pt idx="13">
                  <c:v>22.5</c:v>
                </c:pt>
                <c:pt idx="14">
                  <c:v>35.4</c:v>
                </c:pt>
                <c:pt idx="15">
                  <c:v>60</c:v>
                </c:pt>
                <c:pt idx="16">
                  <c:v>79.400000000000006</c:v>
                </c:pt>
                <c:pt idx="17">
                  <c:v>100</c:v>
                </c:pt>
                <c:pt idx="18">
                  <c:v>160</c:v>
                </c:pt>
                <c:pt idx="19">
                  <c:v>238</c:v>
                </c:pt>
                <c:pt idx="20">
                  <c:v>285</c:v>
                </c:pt>
                <c:pt idx="21">
                  <c:v>400</c:v>
                </c:pt>
                <c:pt idx="22">
                  <c:v>533</c:v>
                </c:pt>
                <c:pt idx="23">
                  <c:v>794</c:v>
                </c:pt>
                <c:pt idx="24">
                  <c:v>1000</c:v>
                </c:pt>
                <c:pt idx="25">
                  <c:v>1600</c:v>
                </c:pt>
                <c:pt idx="26">
                  <c:v>2380</c:v>
                </c:pt>
                <c:pt idx="27" formatCode="0.0E+00">
                  <c:v>3180</c:v>
                </c:pt>
                <c:pt idx="28" formatCode="0.0E+00">
                  <c:v>4770</c:v>
                </c:pt>
                <c:pt idx="29" formatCode="General">
                  <c:v>7940</c:v>
                </c:pt>
                <c:pt idx="30" formatCode="General">
                  <c:v>12700</c:v>
                </c:pt>
                <c:pt idx="31" formatCode="General">
                  <c:v>19900</c:v>
                </c:pt>
                <c:pt idx="32" formatCode="General">
                  <c:v>31800</c:v>
                </c:pt>
                <c:pt idx="33" formatCode="General">
                  <c:v>50000</c:v>
                </c:pt>
                <c:pt idx="34" formatCode="General">
                  <c:v>79400</c:v>
                </c:pt>
                <c:pt idx="35" formatCode="General">
                  <c:v>127000</c:v>
                </c:pt>
                <c:pt idx="36" formatCode="General">
                  <c:v>238000</c:v>
                </c:pt>
                <c:pt idx="37" formatCode="General">
                  <c:v>500000</c:v>
                </c:pt>
                <c:pt idx="38" formatCode="General">
                  <c:v>794000</c:v>
                </c:pt>
                <c:pt idx="39" formatCode="0.00E+00">
                  <c:v>10000000</c:v>
                </c:pt>
                <c:pt idx="40" formatCode="0.00E+00">
                  <c:v>100000000</c:v>
                </c:pt>
              </c:numCache>
            </c:numRef>
          </c:xVal>
          <c:yVal>
            <c:numRef>
              <c:f>'Calibrate from Abaqus'!$K$5:$K$45</c:f>
              <c:numCache>
                <c:formatCode>0.000</c:formatCode>
                <c:ptCount val="41"/>
                <c:pt idx="0">
                  <c:v>2.2670074917892878E-2</c:v>
                </c:pt>
                <c:pt idx="1">
                  <c:v>0.17999775094702336</c:v>
                </c:pt>
                <c:pt idx="2">
                  <c:v>0.36043270418544415</c:v>
                </c:pt>
                <c:pt idx="3">
                  <c:v>0.53947556707256406</c:v>
                </c:pt>
                <c:pt idx="4">
                  <c:v>0.72073600897168633</c:v>
                </c:pt>
                <c:pt idx="5">
                  <c:v>1.0807806882094304</c:v>
                </c:pt>
                <c:pt idx="6">
                  <c:v>1.7973222945248186</c:v>
                </c:pt>
                <c:pt idx="7">
                  <c:v>2.8681532186144745</c:v>
                </c:pt>
                <c:pt idx="8">
                  <c:v>4.4694896444211434</c:v>
                </c:pt>
                <c:pt idx="9">
                  <c:v>7.0409988268146586</c:v>
                </c:pt>
                <c:pt idx="10">
                  <c:v>11.86147797751574</c:v>
                </c:pt>
                <c:pt idx="11">
                  <c:v>15.697991846539006</c:v>
                </c:pt>
                <c:pt idx="12">
                  <c:v>21.08840596400028</c:v>
                </c:pt>
                <c:pt idx="13">
                  <c:v>24.889254064117097</c:v>
                </c:pt>
                <c:pt idx="14">
                  <c:v>25.087915508023659</c:v>
                </c:pt>
                <c:pt idx="15">
                  <c:v>25.657460081037716</c:v>
                </c:pt>
                <c:pt idx="16">
                  <c:v>27.378957845239359</c:v>
                </c:pt>
                <c:pt idx="17">
                  <c:v>29.770417764036676</c:v>
                </c:pt>
                <c:pt idx="18">
                  <c:v>37.078160842831899</c:v>
                </c:pt>
                <c:pt idx="19">
                  <c:v>44.712408259458101</c:v>
                </c:pt>
                <c:pt idx="20">
                  <c:v>48.314641556546015</c:v>
                </c:pt>
                <c:pt idx="21">
                  <c:v>55.36794446801035</c:v>
                </c:pt>
                <c:pt idx="22">
                  <c:v>61.997830493895421</c:v>
                </c:pt>
                <c:pt idx="23">
                  <c:v>72.358958296602637</c:v>
                </c:pt>
                <c:pt idx="24">
                  <c:v>78.428908011533309</c:v>
                </c:pt>
                <c:pt idx="25">
                  <c:v>88.995304589622819</c:v>
                </c:pt>
                <c:pt idx="26">
                  <c:v>96.093342587251556</c:v>
                </c:pt>
                <c:pt idx="27">
                  <c:v>101.14860449026024</c:v>
                </c:pt>
                <c:pt idx="28">
                  <c:v>108.0954019278262</c:v>
                </c:pt>
                <c:pt idx="29">
                  <c:v>113.93697889728736</c:v>
                </c:pt>
                <c:pt idx="30">
                  <c:v>113.98070254494323</c:v>
                </c:pt>
                <c:pt idx="31">
                  <c:v>108.44030203149747</c:v>
                </c:pt>
                <c:pt idx="32">
                  <c:v>99.627888779966796</c:v>
                </c:pt>
                <c:pt idx="33">
                  <c:v>94.059425667630308</c:v>
                </c:pt>
                <c:pt idx="34">
                  <c:v>93.332196537446961</c:v>
                </c:pt>
                <c:pt idx="35">
                  <c:v>91.510599416276023</c:v>
                </c:pt>
                <c:pt idx="36">
                  <c:v>75.177125842300185</c:v>
                </c:pt>
                <c:pt idx="37">
                  <c:v>44.735502914229784</c:v>
                </c:pt>
                <c:pt idx="38">
                  <c:v>29.578024048936321</c:v>
                </c:pt>
                <c:pt idx="39">
                  <c:v>2.4294384196993106</c:v>
                </c:pt>
                <c:pt idx="40">
                  <c:v>0.2429969113774863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948800"/>
        <c:axId val="163963264"/>
      </c:scatterChart>
      <c:scatterChart>
        <c:scatterStyle val="lineMarker"/>
        <c:varyColors val="0"/>
        <c:ser>
          <c:idx val="4"/>
          <c:order val="4"/>
          <c:tx>
            <c:v>Tan Delta Test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'Calibrate from Abaqus'!$F$6:$F$43</c:f>
              <c:numCache>
                <c:formatCode>0.0000E+00</c:formatCode>
                <c:ptCount val="38"/>
                <c:pt idx="0">
                  <c:v>7.9399999999999998E-2</c:v>
                </c:pt>
                <c:pt idx="1">
                  <c:v>0.159</c:v>
                </c:pt>
                <c:pt idx="2">
                  <c:v>0.23799999999999999</c:v>
                </c:pt>
                <c:pt idx="3">
                  <c:v>0.318</c:v>
                </c:pt>
                <c:pt idx="4">
                  <c:v>0.47699999999999998</c:v>
                </c:pt>
                <c:pt idx="5">
                  <c:v>0.79400000000000004</c:v>
                </c:pt>
                <c:pt idx="6">
                  <c:v>1.27</c:v>
                </c:pt>
                <c:pt idx="7">
                  <c:v>1.99</c:v>
                </c:pt>
                <c:pt idx="8">
                  <c:v>3.18</c:v>
                </c:pt>
                <c:pt idx="9">
                  <c:v>5.62</c:v>
                </c:pt>
                <c:pt idx="10">
                  <c:v>7.94</c:v>
                </c:pt>
                <c:pt idx="11">
                  <c:v>12.7</c:v>
                </c:pt>
                <c:pt idx="12">
                  <c:v>22.5</c:v>
                </c:pt>
                <c:pt idx="13">
                  <c:v>35.4</c:v>
                </c:pt>
                <c:pt idx="14">
                  <c:v>60</c:v>
                </c:pt>
                <c:pt idx="15">
                  <c:v>79.400000000000006</c:v>
                </c:pt>
                <c:pt idx="16">
                  <c:v>100</c:v>
                </c:pt>
                <c:pt idx="17">
                  <c:v>160</c:v>
                </c:pt>
                <c:pt idx="18">
                  <c:v>238</c:v>
                </c:pt>
                <c:pt idx="19">
                  <c:v>285</c:v>
                </c:pt>
                <c:pt idx="20">
                  <c:v>400</c:v>
                </c:pt>
                <c:pt idx="21">
                  <c:v>533</c:v>
                </c:pt>
                <c:pt idx="22">
                  <c:v>794</c:v>
                </c:pt>
                <c:pt idx="23">
                  <c:v>1000</c:v>
                </c:pt>
                <c:pt idx="24">
                  <c:v>1600</c:v>
                </c:pt>
                <c:pt idx="25">
                  <c:v>2380</c:v>
                </c:pt>
                <c:pt idx="26" formatCode="0.0E+00">
                  <c:v>3180</c:v>
                </c:pt>
                <c:pt idx="27" formatCode="0.0E+00">
                  <c:v>4770</c:v>
                </c:pt>
                <c:pt idx="28" formatCode="General">
                  <c:v>7940</c:v>
                </c:pt>
                <c:pt idx="29" formatCode="General">
                  <c:v>12700</c:v>
                </c:pt>
                <c:pt idx="30" formatCode="General">
                  <c:v>19900</c:v>
                </c:pt>
                <c:pt idx="31" formatCode="General">
                  <c:v>31800</c:v>
                </c:pt>
                <c:pt idx="32" formatCode="General">
                  <c:v>50000</c:v>
                </c:pt>
                <c:pt idx="33" formatCode="General">
                  <c:v>79400</c:v>
                </c:pt>
                <c:pt idx="34" formatCode="General">
                  <c:v>127000</c:v>
                </c:pt>
                <c:pt idx="35" formatCode="General">
                  <c:v>238000</c:v>
                </c:pt>
                <c:pt idx="36" formatCode="General">
                  <c:v>500000</c:v>
                </c:pt>
                <c:pt idx="37" formatCode="General">
                  <c:v>794000</c:v>
                </c:pt>
              </c:numCache>
            </c:numRef>
          </c:xVal>
          <c:yVal>
            <c:numRef>
              <c:f>'Calibrate from Abaqus'!$I$6:$I$43</c:f>
              <c:numCache>
                <c:formatCode>0.000</c:formatCode>
                <c:ptCount val="38"/>
                <c:pt idx="0">
                  <c:v>8.7499999999999994E-2</c:v>
                </c:pt>
                <c:pt idx="1">
                  <c:v>0.14905660000000001</c:v>
                </c:pt>
                <c:pt idx="2">
                  <c:v>0.20322581000000001</c:v>
                </c:pt>
                <c:pt idx="3">
                  <c:v>0.25</c:v>
                </c:pt>
                <c:pt idx="4">
                  <c:v>0.32231759999999998</c:v>
                </c:pt>
                <c:pt idx="5">
                  <c:v>0.43027887999999997</c:v>
                </c:pt>
                <c:pt idx="6">
                  <c:v>0.54379562000000004</c:v>
                </c:pt>
                <c:pt idx="7">
                  <c:v>0.66118421000000005</c:v>
                </c:pt>
                <c:pt idx="8">
                  <c:v>0.79479769</c:v>
                </c:pt>
                <c:pt idx="9">
                  <c:v>0.96135265999999997</c:v>
                </c:pt>
                <c:pt idx="10">
                  <c:v>1.0668058</c:v>
                </c:pt>
                <c:pt idx="11">
                  <c:v>1.2140411</c:v>
                </c:pt>
                <c:pt idx="12">
                  <c:v>1.3779528000000001</c:v>
                </c:pt>
                <c:pt idx="13">
                  <c:v>1.4735772</c:v>
                </c:pt>
                <c:pt idx="14">
                  <c:v>1.5378788000000001</c:v>
                </c:pt>
                <c:pt idx="15">
                  <c:v>1.5030675</c:v>
                </c:pt>
                <c:pt idx="16">
                  <c:v>1.4484535999999999</c:v>
                </c:pt>
                <c:pt idx="17">
                  <c:v>1.35</c:v>
                </c:pt>
                <c:pt idx="18">
                  <c:v>1.2587208999999999</c:v>
                </c:pt>
                <c:pt idx="19">
                  <c:v>1.22</c:v>
                </c:pt>
                <c:pt idx="20">
                  <c:v>1.1437126</c:v>
                </c:pt>
                <c:pt idx="21">
                  <c:v>1.0731293</c:v>
                </c:pt>
                <c:pt idx="22">
                  <c:v>0.96</c:v>
                </c:pt>
                <c:pt idx="23">
                  <c:v>0.90856481</c:v>
                </c:pt>
                <c:pt idx="24">
                  <c:v>0.80377357999999999</c:v>
                </c:pt>
                <c:pt idx="25">
                  <c:v>0.71304347999999995</c:v>
                </c:pt>
                <c:pt idx="26">
                  <c:v>0.64779874000000004</c:v>
                </c:pt>
                <c:pt idx="27">
                  <c:v>0.57978722999999999</c:v>
                </c:pt>
                <c:pt idx="28">
                  <c:v>0.51111110999999998</c:v>
                </c:pt>
                <c:pt idx="29">
                  <c:v>0.46124030999999999</c:v>
                </c:pt>
                <c:pt idx="30">
                  <c:v>0.41438355999999998</c:v>
                </c:pt>
                <c:pt idx="31">
                  <c:v>0.37195122000000003</c:v>
                </c:pt>
                <c:pt idx="32">
                  <c:v>0.33615819000000002</c:v>
                </c:pt>
                <c:pt idx="33">
                  <c:v>0.30569948000000002</c:v>
                </c:pt>
                <c:pt idx="34">
                  <c:v>0.28229664999999998</c:v>
                </c:pt>
                <c:pt idx="35">
                  <c:v>0.25379610000000002</c:v>
                </c:pt>
                <c:pt idx="36">
                  <c:v>0.22954092000000001</c:v>
                </c:pt>
                <c:pt idx="37">
                  <c:v>0.21320755</c:v>
                </c:pt>
              </c:numCache>
            </c:numRef>
          </c:yVal>
          <c:smooth val="0"/>
        </c:ser>
        <c:ser>
          <c:idx val="5"/>
          <c:order val="5"/>
          <c:tx>
            <c:v>Tan Delta Prony</c:v>
          </c:tx>
          <c:spPr>
            <a:ln w="2222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'Calibrate from Abaqus'!$F$4:$F$45</c:f>
              <c:numCache>
                <c:formatCode>0.0E+00</c:formatCode>
                <c:ptCount val="42"/>
                <c:pt idx="0">
                  <c:v>1E-3</c:v>
                </c:pt>
                <c:pt idx="1">
                  <c:v>0.01</c:v>
                </c:pt>
                <c:pt idx="2" formatCode="0.0000E+00">
                  <c:v>7.9399999999999998E-2</c:v>
                </c:pt>
                <c:pt idx="3" formatCode="0.0000E+00">
                  <c:v>0.159</c:v>
                </c:pt>
                <c:pt idx="4" formatCode="0.0000E+00">
                  <c:v>0.23799999999999999</c:v>
                </c:pt>
                <c:pt idx="5" formatCode="0.0000E+00">
                  <c:v>0.318</c:v>
                </c:pt>
                <c:pt idx="6" formatCode="0.0000E+00">
                  <c:v>0.47699999999999998</c:v>
                </c:pt>
                <c:pt idx="7" formatCode="0.0000E+00">
                  <c:v>0.79400000000000004</c:v>
                </c:pt>
                <c:pt idx="8" formatCode="0.0000E+00">
                  <c:v>1.27</c:v>
                </c:pt>
                <c:pt idx="9" formatCode="0.0000E+00">
                  <c:v>1.99</c:v>
                </c:pt>
                <c:pt idx="10" formatCode="0.0000E+00">
                  <c:v>3.18</c:v>
                </c:pt>
                <c:pt idx="11" formatCode="0.0000E+00">
                  <c:v>5.62</c:v>
                </c:pt>
                <c:pt idx="12" formatCode="0.0000E+00">
                  <c:v>7.94</c:v>
                </c:pt>
                <c:pt idx="13" formatCode="0.0000E+00">
                  <c:v>12.7</c:v>
                </c:pt>
                <c:pt idx="14" formatCode="0.0000E+00">
                  <c:v>22.5</c:v>
                </c:pt>
                <c:pt idx="15" formatCode="0.0000E+00">
                  <c:v>35.4</c:v>
                </c:pt>
                <c:pt idx="16" formatCode="0.0000E+00">
                  <c:v>60</c:v>
                </c:pt>
                <c:pt idx="17" formatCode="0.0000E+00">
                  <c:v>79.400000000000006</c:v>
                </c:pt>
                <c:pt idx="18" formatCode="0.0000E+00">
                  <c:v>100</c:v>
                </c:pt>
                <c:pt idx="19" formatCode="0.0000E+00">
                  <c:v>160</c:v>
                </c:pt>
                <c:pt idx="20" formatCode="0.0000E+00">
                  <c:v>238</c:v>
                </c:pt>
                <c:pt idx="21" formatCode="0.0000E+00">
                  <c:v>285</c:v>
                </c:pt>
                <c:pt idx="22" formatCode="0.0000E+00">
                  <c:v>400</c:v>
                </c:pt>
                <c:pt idx="23" formatCode="0.0000E+00">
                  <c:v>533</c:v>
                </c:pt>
                <c:pt idx="24" formatCode="0.0000E+00">
                  <c:v>794</c:v>
                </c:pt>
                <c:pt idx="25" formatCode="0.0000E+00">
                  <c:v>1000</c:v>
                </c:pt>
                <c:pt idx="26" formatCode="0.0000E+00">
                  <c:v>1600</c:v>
                </c:pt>
                <c:pt idx="27" formatCode="0.0000E+00">
                  <c:v>2380</c:v>
                </c:pt>
                <c:pt idx="28">
                  <c:v>3180</c:v>
                </c:pt>
                <c:pt idx="29">
                  <c:v>4770</c:v>
                </c:pt>
                <c:pt idx="30" formatCode="General">
                  <c:v>7940</c:v>
                </c:pt>
                <c:pt idx="31" formatCode="General">
                  <c:v>12700</c:v>
                </c:pt>
                <c:pt idx="32" formatCode="General">
                  <c:v>19900</c:v>
                </c:pt>
                <c:pt idx="33" formatCode="General">
                  <c:v>31800</c:v>
                </c:pt>
                <c:pt idx="34" formatCode="General">
                  <c:v>50000</c:v>
                </c:pt>
                <c:pt idx="35" formatCode="General">
                  <c:v>79400</c:v>
                </c:pt>
                <c:pt idx="36" formatCode="General">
                  <c:v>127000</c:v>
                </c:pt>
                <c:pt idx="37" formatCode="General">
                  <c:v>238000</c:v>
                </c:pt>
                <c:pt idx="38" formatCode="General">
                  <c:v>500000</c:v>
                </c:pt>
                <c:pt idx="39" formatCode="General">
                  <c:v>794000</c:v>
                </c:pt>
                <c:pt idx="40" formatCode="0.00E+00">
                  <c:v>10000000</c:v>
                </c:pt>
                <c:pt idx="41" formatCode="0.00E+00">
                  <c:v>100000000</c:v>
                </c:pt>
              </c:numCache>
            </c:numRef>
          </c:xVal>
          <c:yVal>
            <c:numRef>
              <c:f>'Calibrate from Abaqus'!$AA$4:$AA$45</c:f>
              <c:numCache>
                <c:formatCode>General</c:formatCode>
                <c:ptCount val="42"/>
                <c:pt idx="0">
                  <c:v>9.3392433271457056E-4</c:v>
                </c:pt>
                <c:pt idx="1">
                  <c:v>9.3392012125405356E-3</c:v>
                </c:pt>
                <c:pt idx="2">
                  <c:v>7.4132307357770003E-2</c:v>
                </c:pt>
                <c:pt idx="3">
                  <c:v>0.14832317555209698</c:v>
                </c:pt>
                <c:pt idx="4">
                  <c:v>0.22170198983682804</c:v>
                </c:pt>
                <c:pt idx="5">
                  <c:v>0.29562627677039249</c:v>
                </c:pt>
                <c:pt idx="6">
                  <c:v>0.44091261723457498</c:v>
                </c:pt>
                <c:pt idx="7">
                  <c:v>0.72083959288927513</c:v>
                </c:pt>
                <c:pt idx="8">
                  <c:v>1.1049417708537761</c:v>
                </c:pt>
                <c:pt idx="9">
                  <c:v>1.5747534091476338</c:v>
                </c:pt>
                <c:pt idx="10">
                  <c:v>2.0350384826006094</c:v>
                </c:pt>
                <c:pt idx="11">
                  <c:v>2.1629824068034798</c:v>
                </c:pt>
                <c:pt idx="12">
                  <c:v>1.9392052259035308</c:v>
                </c:pt>
                <c:pt idx="13">
                  <c:v>1.4746811439786875</c:v>
                </c:pt>
                <c:pt idx="14">
                  <c:v>0.98517815944517328</c:v>
                </c:pt>
                <c:pt idx="15">
                  <c:v>0.75103618573969055</c:v>
                </c:pt>
                <c:pt idx="16">
                  <c:v>0.63929703729683829</c:v>
                </c:pt>
                <c:pt idx="17">
                  <c:v>0.63496415740026768</c:v>
                </c:pt>
                <c:pt idx="18">
                  <c:v>0.65027122363128764</c:v>
                </c:pt>
                <c:pt idx="19">
                  <c:v>0.69797191432203731</c:v>
                </c:pt>
                <c:pt idx="20">
                  <c:v>0.71891210468012623</c:v>
                </c:pt>
                <c:pt idx="21">
                  <c:v>0.71983906250244722</c:v>
                </c:pt>
                <c:pt idx="22">
                  <c:v>0.7151495966261846</c:v>
                </c:pt>
                <c:pt idx="23">
                  <c:v>0.71028015279942103</c:v>
                </c:pt>
                <c:pt idx="24">
                  <c:v>0.69715743275907427</c:v>
                </c:pt>
                <c:pt idx="25">
                  <c:v>0.68026201084328297</c:v>
                </c:pt>
                <c:pt idx="26">
                  <c:v>0.62519710398301032</c:v>
                </c:pt>
                <c:pt idx="27">
                  <c:v>0.57549841455748563</c:v>
                </c:pt>
                <c:pt idx="28">
                  <c:v>0.54451231626752084</c:v>
                </c:pt>
                <c:pt idx="29">
                  <c:v>0.50410583070153181</c:v>
                </c:pt>
                <c:pt idx="30">
                  <c:v>0.44700083690391795</c:v>
                </c:pt>
                <c:pt idx="31">
                  <c:v>0.38730031076709476</c:v>
                </c:pt>
                <c:pt idx="32">
                  <c:v>0.32832603097515356</c:v>
                </c:pt>
                <c:pt idx="33">
                  <c:v>0.27536844033400809</c:v>
                </c:pt>
                <c:pt idx="34">
                  <c:v>0.2431776936258192</c:v>
                </c:pt>
                <c:pt idx="35">
                  <c:v>0.22589587263862176</c:v>
                </c:pt>
                <c:pt idx="36">
                  <c:v>0.20540521964142111</c:v>
                </c:pt>
                <c:pt idx="37">
                  <c:v>0.15384109134961921</c:v>
                </c:pt>
                <c:pt idx="38">
                  <c:v>8.6404781929570934E-2</c:v>
                </c:pt>
                <c:pt idx="39">
                  <c:v>5.6355253642941604E-2</c:v>
                </c:pt>
                <c:pt idx="40">
                  <c:v>4.5841384362765485E-3</c:v>
                </c:pt>
                <c:pt idx="41">
                  <c:v>4.5848503093046117E-4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967360"/>
        <c:axId val="163965184"/>
      </c:scatterChart>
      <c:valAx>
        <c:axId val="163948800"/>
        <c:scaling>
          <c:logBase val="10"/>
          <c:orientation val="minMax"/>
          <c:max val="1000000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Frequency, Hz.</a:t>
                </a:r>
              </a:p>
            </c:rich>
          </c:tx>
          <c:overlay val="0"/>
        </c:title>
        <c:numFmt formatCode="0.E+00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63963264"/>
        <c:crossesAt val="1.0000000000000002E-2"/>
        <c:crossBetween val="midCat"/>
      </c:valAx>
      <c:valAx>
        <c:axId val="163963264"/>
        <c:scaling>
          <c:logBase val="10"/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Shear &amp; Loss Modulus (MPa)</a:t>
                </a:r>
              </a:p>
            </c:rich>
          </c:tx>
          <c:overlay val="0"/>
        </c:title>
        <c:numFmt formatCode="0.E+0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63948800"/>
        <c:crossesAt val="1.0000000000000004E-6"/>
        <c:crossBetween val="midCat"/>
      </c:valAx>
      <c:valAx>
        <c:axId val="163965184"/>
        <c:scaling>
          <c:orientation val="minMax"/>
          <c:max val="5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Tan Delta</a:t>
                </a:r>
              </a:p>
            </c:rich>
          </c:tx>
          <c:overlay val="0"/>
        </c:title>
        <c:numFmt formatCode="#,##0.0" sourceLinked="0"/>
        <c:majorTickMark val="out"/>
        <c:minorTickMark val="none"/>
        <c:tickLblPos val="nextTo"/>
        <c:crossAx val="163967360"/>
        <c:crosses val="max"/>
        <c:crossBetween val="midCat"/>
      </c:valAx>
      <c:valAx>
        <c:axId val="163967360"/>
        <c:scaling>
          <c:logBase val="10"/>
          <c:orientation val="minMax"/>
        </c:scaling>
        <c:delete val="1"/>
        <c:axPos val="b"/>
        <c:numFmt formatCode="0.0000E+00" sourceLinked="1"/>
        <c:majorTickMark val="out"/>
        <c:minorTickMark val="none"/>
        <c:tickLblPos val="nextTo"/>
        <c:crossAx val="16396518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2426244053204633"/>
          <c:y val="0.11669778391103176"/>
          <c:w val="0.21723143450303606"/>
          <c:h val="0.32031301241983928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</c:spPr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Time domain representation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208905102161428"/>
          <c:y val="0.13231063566360501"/>
          <c:w val="0.85950880908547755"/>
          <c:h val="0.70313335966408685"/>
        </c:manualLayout>
      </c:layout>
      <c:scatterChart>
        <c:scatterStyle val="lineMarker"/>
        <c:varyColors val="0"/>
        <c:ser>
          <c:idx val="0"/>
          <c:order val="0"/>
          <c:tx>
            <c:v>Time Domain Response</c:v>
          </c:tx>
          <c:xVal>
            <c:numRef>
              <c:f>'Calibrate from Abaqus'!$P$5:$P$61</c:f>
              <c:numCache>
                <c:formatCode>0.0E+00</c:formatCode>
                <c:ptCount val="57"/>
                <c:pt idx="0">
                  <c:v>9.9999999999999994E-12</c:v>
                </c:pt>
                <c:pt idx="1">
                  <c:v>1E-10</c:v>
                </c:pt>
                <c:pt idx="2">
                  <c:v>1.0000000000000001E-9</c:v>
                </c:pt>
                <c:pt idx="3">
                  <c:v>1E-8</c:v>
                </c:pt>
                <c:pt idx="4">
                  <c:v>9.9999999999999995E-8</c:v>
                </c:pt>
                <c:pt idx="5">
                  <c:v>9.9999999999999995E-7</c:v>
                </c:pt>
                <c:pt idx="6">
                  <c:v>1.0000000000000001E-5</c:v>
                </c:pt>
                <c:pt idx="7">
                  <c:v>1E-4</c:v>
                </c:pt>
                <c:pt idx="8">
                  <c:v>1E-3</c:v>
                </c:pt>
                <c:pt idx="9">
                  <c:v>0.01</c:v>
                </c:pt>
                <c:pt idx="10">
                  <c:v>0.1</c:v>
                </c:pt>
                <c:pt idx="11">
                  <c:v>1</c:v>
                </c:pt>
                <c:pt idx="12">
                  <c:v>10</c:v>
                </c:pt>
                <c:pt idx="13">
                  <c:v>100</c:v>
                </c:pt>
              </c:numCache>
            </c:numRef>
          </c:xVal>
          <c:yVal>
            <c:numRef>
              <c:f>'Calibrate from Abaqus'!$Q$5:$Q$61</c:f>
              <c:numCache>
                <c:formatCode>General</c:formatCode>
                <c:ptCount val="57"/>
                <c:pt idx="0">
                  <c:v>0.99999711926166335</c:v>
                </c:pt>
                <c:pt idx="1">
                  <c:v>0.99997119374990007</c:v>
                </c:pt>
                <c:pt idx="2">
                  <c:v>0.9997120507883962</c:v>
                </c:pt>
                <c:pt idx="3">
                  <c:v>0.9971317996635537</c:v>
                </c:pt>
                <c:pt idx="4">
                  <c:v>0.97241095548127543</c:v>
                </c:pt>
                <c:pt idx="5">
                  <c:v>0.80490641950703468</c:v>
                </c:pt>
                <c:pt idx="6">
                  <c:v>0.51197477063412933</c:v>
                </c:pt>
                <c:pt idx="7">
                  <c:v>0.22109832864373702</c:v>
                </c:pt>
                <c:pt idx="8">
                  <c:v>8.4320518341280959E-2</c:v>
                </c:pt>
                <c:pt idx="9">
                  <c:v>2.6469830938081307E-2</c:v>
                </c:pt>
                <c:pt idx="10">
                  <c:v>4.5803716252592608E-3</c:v>
                </c:pt>
                <c:pt idx="11">
                  <c:v>4.5800000000000285E-3</c:v>
                </c:pt>
                <c:pt idx="12">
                  <c:v>4.5800000000000285E-3</c:v>
                </c:pt>
                <c:pt idx="13">
                  <c:v>4.5800000000000285E-3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48160"/>
        <c:axId val="163150080"/>
      </c:scatterChart>
      <c:valAx>
        <c:axId val="163148160"/>
        <c:scaling>
          <c:logBase val="10"/>
          <c:orientation val="minMax"/>
          <c:max val="1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Time, sec.</a:t>
                </a:r>
              </a:p>
            </c:rich>
          </c:tx>
          <c:overlay val="0"/>
        </c:title>
        <c:numFmt formatCode="0.E+0" sourceLinked="0"/>
        <c:majorTickMark val="out"/>
        <c:minorTickMark val="none"/>
        <c:tickLblPos val="nextTo"/>
        <c:crossAx val="163150080"/>
        <c:crosses val="autoZero"/>
        <c:crossBetween val="midCat"/>
      </c:valAx>
      <c:valAx>
        <c:axId val="1631500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Norm. shear modulus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3148160"/>
        <c:crossesAt val="1.0000000000000006E-11"/>
        <c:crossBetween val="midCat"/>
      </c:valAx>
    </c:plotArea>
    <c:legend>
      <c:legendPos val="r"/>
      <c:legendEntry>
        <c:idx val="0"/>
        <c:txPr>
          <a:bodyPr/>
          <a:lstStyle/>
          <a:p>
            <a:pPr>
              <a:defRPr sz="1400"/>
            </a:pPr>
            <a:endParaRPr lang="en-US"/>
          </a:p>
        </c:txPr>
      </c:legendEntry>
      <c:layout>
        <c:manualLayout>
          <c:xMode val="edge"/>
          <c:yMode val="edge"/>
          <c:x val="0.54971552122863632"/>
          <c:y val="0.25821938569546821"/>
          <c:w val="0.35843141445690663"/>
          <c:h val="9.990364064684016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88901</xdr:colOff>
      <xdr:row>7</xdr:row>
      <xdr:rowOff>1058</xdr:rowOff>
    </xdr:from>
    <xdr:to>
      <xdr:col>25</xdr:col>
      <xdr:colOff>549275</xdr:colOff>
      <xdr:row>31</xdr:row>
      <xdr:rowOff>48683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84455</xdr:colOff>
      <xdr:row>31</xdr:row>
      <xdr:rowOff>154728</xdr:rowOff>
    </xdr:from>
    <xdr:to>
      <xdr:col>23</xdr:col>
      <xdr:colOff>341207</xdr:colOff>
      <xdr:row>50</xdr:row>
      <xdr:rowOff>105198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28575</xdr:colOff>
      <xdr:row>1</xdr:row>
      <xdr:rowOff>9525</xdr:rowOff>
    </xdr:from>
    <xdr:to>
      <xdr:col>24</xdr:col>
      <xdr:colOff>542479</xdr:colOff>
      <xdr:row>5</xdr:row>
      <xdr:rowOff>161761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92075" y="209550"/>
          <a:ext cx="3561905" cy="1314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41276</xdr:colOff>
      <xdr:row>7</xdr:row>
      <xdr:rowOff>29633</xdr:rowOff>
    </xdr:from>
    <xdr:to>
      <xdr:col>25</xdr:col>
      <xdr:colOff>501650</xdr:colOff>
      <xdr:row>31</xdr:row>
      <xdr:rowOff>77258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36830</xdr:colOff>
      <xdr:row>31</xdr:row>
      <xdr:rowOff>99695</xdr:rowOff>
    </xdr:from>
    <xdr:to>
      <xdr:col>23</xdr:col>
      <xdr:colOff>293582</xdr:colOff>
      <xdr:row>50</xdr:row>
      <xdr:rowOff>50165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28575</xdr:colOff>
      <xdr:row>1</xdr:row>
      <xdr:rowOff>9525</xdr:rowOff>
    </xdr:from>
    <xdr:to>
      <xdr:col>24</xdr:col>
      <xdr:colOff>542479</xdr:colOff>
      <xdr:row>5</xdr:row>
      <xdr:rowOff>161761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82650" y="209550"/>
          <a:ext cx="3561904" cy="13142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252413</xdr:colOff>
      <xdr:row>1</xdr:row>
      <xdr:rowOff>52385</xdr:rowOff>
    </xdr:from>
    <xdr:to>
      <xdr:col>19</xdr:col>
      <xdr:colOff>695326</xdr:colOff>
      <xdr:row>32</xdr:row>
      <xdr:rowOff>123824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171200</xdr:colOff>
      <xdr:row>5</xdr:row>
      <xdr:rowOff>114191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2000000" cy="87619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88901</xdr:colOff>
      <xdr:row>6</xdr:row>
      <xdr:rowOff>143933</xdr:rowOff>
    </xdr:from>
    <xdr:to>
      <xdr:col>25</xdr:col>
      <xdr:colOff>549275</xdr:colOff>
      <xdr:row>31</xdr:row>
      <xdr:rowOff>1058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74930</xdr:colOff>
      <xdr:row>31</xdr:row>
      <xdr:rowOff>90170</xdr:rowOff>
    </xdr:from>
    <xdr:to>
      <xdr:col>23</xdr:col>
      <xdr:colOff>331682</xdr:colOff>
      <xdr:row>50</xdr:row>
      <xdr:rowOff>40640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28575</xdr:colOff>
      <xdr:row>1</xdr:row>
      <xdr:rowOff>9525</xdr:rowOff>
    </xdr:from>
    <xdr:to>
      <xdr:col>24</xdr:col>
      <xdr:colOff>542479</xdr:colOff>
      <xdr:row>5</xdr:row>
      <xdr:rowOff>161761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82650" y="209550"/>
          <a:ext cx="3561904" cy="13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6"/>
  <sheetViews>
    <sheetView zoomScale="90" zoomScaleNormal="90" workbookViewId="0">
      <selection activeCell="B14" sqref="B14"/>
    </sheetView>
  </sheetViews>
  <sheetFormatPr defaultRowHeight="15" x14ac:dyDescent="0.25"/>
  <cols>
    <col min="1" max="1" width="4.85546875" customWidth="1"/>
    <col min="2" max="2" width="8.7109375" customWidth="1"/>
    <col min="3" max="3" width="11" customWidth="1"/>
    <col min="4" max="4" width="10.5703125" customWidth="1"/>
    <col min="5" max="5" width="10.140625" customWidth="1"/>
    <col min="6" max="8" width="12.7109375" customWidth="1"/>
    <col min="9" max="9" width="11.7109375" customWidth="1"/>
    <col min="10" max="12" width="11.7109375" style="1" customWidth="1"/>
    <col min="13" max="13" width="11.7109375" customWidth="1"/>
    <col min="14" max="14" width="9.7109375" customWidth="1"/>
    <col min="15" max="15" width="10.42578125" customWidth="1"/>
    <col min="16" max="16" width="8.5703125" customWidth="1"/>
    <col min="17" max="17" width="8.85546875" customWidth="1"/>
    <col min="27" max="27" width="10.42578125" customWidth="1"/>
  </cols>
  <sheetData>
    <row r="1" spans="1:27" ht="15.75" thickBot="1" x14ac:dyDescent="0.3"/>
    <row r="2" spans="1:27" ht="24.95" customHeight="1" x14ac:dyDescent="0.35">
      <c r="C2" s="66" t="s">
        <v>6</v>
      </c>
      <c r="D2" s="66"/>
      <c r="F2" s="67" t="s">
        <v>5</v>
      </c>
      <c r="G2" s="68"/>
      <c r="H2" s="68"/>
      <c r="I2" s="39"/>
      <c r="J2" s="23" t="s">
        <v>7</v>
      </c>
      <c r="K2" s="23"/>
      <c r="L2" s="14"/>
      <c r="N2" s="9"/>
      <c r="O2" s="6"/>
      <c r="P2" s="24" t="s">
        <v>4</v>
      </c>
      <c r="R2" s="2"/>
    </row>
    <row r="3" spans="1:27" ht="36.75" customHeight="1" x14ac:dyDescent="0.25">
      <c r="A3" s="63" t="s">
        <v>21</v>
      </c>
      <c r="B3" s="15" t="s">
        <v>19</v>
      </c>
      <c r="C3" s="15" t="s">
        <v>11</v>
      </c>
      <c r="D3" s="15" t="s">
        <v>10</v>
      </c>
      <c r="E3" s="4" t="s">
        <v>17</v>
      </c>
      <c r="F3" s="20" t="s">
        <v>13</v>
      </c>
      <c r="G3" s="8" t="s">
        <v>14</v>
      </c>
      <c r="H3" s="8" t="s">
        <v>16</v>
      </c>
      <c r="I3" s="40" t="s">
        <v>15</v>
      </c>
      <c r="J3" s="12" t="s">
        <v>0</v>
      </c>
      <c r="K3" s="10" t="s">
        <v>1</v>
      </c>
      <c r="L3" s="10" t="s">
        <v>8</v>
      </c>
      <c r="M3" s="10" t="s">
        <v>23</v>
      </c>
      <c r="N3" s="7"/>
      <c r="O3" s="7"/>
      <c r="P3" s="12" t="s">
        <v>2</v>
      </c>
      <c r="Q3" s="3" t="s">
        <v>3</v>
      </c>
      <c r="AA3" t="s">
        <v>15</v>
      </c>
    </row>
    <row r="4" spans="1:27" x14ac:dyDescent="0.25">
      <c r="A4">
        <v>1</v>
      </c>
      <c r="B4" s="36">
        <v>0</v>
      </c>
      <c r="C4" s="22">
        <f>x_1</f>
        <v>0</v>
      </c>
      <c r="D4" s="37">
        <v>1.0000000000000001E-9</v>
      </c>
      <c r="E4" s="17">
        <f t="shared" ref="E4:E22" si="0">F4*2*PI()</f>
        <v>6.2831853071795866E-3</v>
      </c>
      <c r="F4" s="38">
        <v>1E-3</v>
      </c>
      <c r="G4" s="27"/>
      <c r="H4" s="27"/>
      <c r="I4" s="41"/>
      <c r="J4" s="28">
        <f t="array" ref="J4">G_0*(1-Sum_of_Gs+SUM(Gamma*Tau^2*E4^2/(1+Tau^2*E4^2)))</f>
        <v>2.0703958974477512</v>
      </c>
      <c r="K4" s="31">
        <f t="array" ref="K4">G_0*SUM(Gamma*Tau*E4/(1+Tau^2*E4^2))</f>
        <v>1.6259640175159833E-2</v>
      </c>
      <c r="L4" s="29"/>
      <c r="M4" s="29"/>
      <c r="N4" s="6"/>
      <c r="O4" s="6"/>
      <c r="P4" s="5">
        <v>0</v>
      </c>
      <c r="Q4">
        <f t="array" ref="Q4">1-SUM(Gamma*(1-EXP(-P4/Tau)))</f>
        <v>1</v>
      </c>
      <c r="AA4">
        <f>K4/J4</f>
        <v>7.8533966354954899E-3</v>
      </c>
    </row>
    <row r="5" spans="1:27" x14ac:dyDescent="0.25">
      <c r="A5">
        <v>2</v>
      </c>
      <c r="B5" s="36">
        <v>0</v>
      </c>
      <c r="C5" s="22">
        <f>(1-g_1)*B5</f>
        <v>0</v>
      </c>
      <c r="D5" s="18">
        <v>1E-8</v>
      </c>
      <c r="E5" s="17">
        <f t="shared" si="0"/>
        <v>6.2831853071795868E-2</v>
      </c>
      <c r="F5" s="38">
        <v>0.01</v>
      </c>
      <c r="G5" s="27"/>
      <c r="H5" s="27"/>
      <c r="I5" s="41"/>
      <c r="J5" s="28">
        <f t="array" ref="J5">G_0*(1-Sum_of_Gs+SUM(Gamma*Tau^2*E5^2/(1+Tau^2*E5^2)))</f>
        <v>2.078620421161903</v>
      </c>
      <c r="K5" s="31">
        <f t="array" ref="K5">G_0*SUM(Gamma*Tau*E5/(1+Tau^2*E5^2))</f>
        <v>0.16208899610479136</v>
      </c>
      <c r="L5" s="29"/>
      <c r="M5" s="29"/>
      <c r="N5" s="6"/>
      <c r="O5" s="6"/>
      <c r="P5" s="60">
        <v>9.9999999999999994E-12</v>
      </c>
      <c r="Q5">
        <f t="array" ref="Q5">1-SUM(Gamma*(1-EXP(-P5/Tau)))</f>
        <v>0.99994737093353414</v>
      </c>
      <c r="AA5">
        <f t="shared" ref="AA5:AA44" si="1">K5/J5</f>
        <v>7.7979122332584014E-2</v>
      </c>
    </row>
    <row r="6" spans="1:27" x14ac:dyDescent="0.25">
      <c r="A6">
        <v>3</v>
      </c>
      <c r="B6" s="36">
        <v>0.5</v>
      </c>
      <c r="C6" s="22">
        <f>(1-(g_1+g_2))*B6</f>
        <v>0.5</v>
      </c>
      <c r="D6" s="18">
        <v>9.9999999999999995E-8</v>
      </c>
      <c r="E6" s="34">
        <f t="shared" si="0"/>
        <v>0.49888491339005914</v>
      </c>
      <c r="F6" s="35">
        <v>7.9399999999999998E-2</v>
      </c>
      <c r="G6" s="47">
        <v>2.08</v>
      </c>
      <c r="H6" s="48">
        <v>0.182</v>
      </c>
      <c r="I6" s="50">
        <v>8.7499999999999994E-2</v>
      </c>
      <c r="J6" s="16">
        <f t="array" ref="J6">G_0*(1-Sum_of_Gs+SUM(Gamma*Tau^2*E6^2/(1+Tau^2*E6^2)))</f>
        <v>2.493388008822107</v>
      </c>
      <c r="K6" s="16">
        <f t="array" ref="K6">G_0*SUM(Gamma*Tau*E6/(1+Tau^2*E6^2))</f>
        <v>1.0847098059847495</v>
      </c>
      <c r="L6" s="13">
        <f>(1-J6/G6)^2</f>
        <v>3.9499270949959864E-2</v>
      </c>
      <c r="M6" s="13">
        <f>(1-K6/H6)^2</f>
        <v>24.601044373295018</v>
      </c>
      <c r="N6" s="6"/>
      <c r="O6" s="6"/>
      <c r="P6" s="60">
        <v>1E-10</v>
      </c>
      <c r="Q6">
        <f t="array" ref="Q6">1-SUM(Gamma*(1-EXP(-P6/Tau)))</f>
        <v>0.99947393538347407</v>
      </c>
      <c r="AA6">
        <f t="shared" si="1"/>
        <v>0.43503450010460815</v>
      </c>
    </row>
    <row r="7" spans="1:27" x14ac:dyDescent="0.25">
      <c r="A7">
        <v>4</v>
      </c>
      <c r="B7" s="36">
        <v>0.5</v>
      </c>
      <c r="C7" s="22">
        <f>(1-(g_1+g_2+g_3))*B7</f>
        <v>0.25</v>
      </c>
      <c r="D7" s="18">
        <v>9.9999999999999995E-7</v>
      </c>
      <c r="E7" s="34">
        <f t="shared" si="0"/>
        <v>0.99902646384155425</v>
      </c>
      <c r="F7" s="35">
        <v>0.159</v>
      </c>
      <c r="G7" s="47">
        <v>2.12</v>
      </c>
      <c r="H7" s="48">
        <v>0.31599999200000006</v>
      </c>
      <c r="I7" s="50">
        <v>0.14905660000000001</v>
      </c>
      <c r="J7" s="16">
        <f t="array" ref="J7">G_0*(1-Sum_of_Gs+SUM(Gamma*Tau^2*E7^2/(1+Tau^2*E7^2)))</f>
        <v>3.1462210875667251</v>
      </c>
      <c r="K7" s="16">
        <f t="array" ref="K7">G_0*SUM(Gamma*Tau*E7/(1+Tau^2*E7^2))</f>
        <v>1.5481273658752523</v>
      </c>
      <c r="L7" s="13">
        <f t="shared" ref="L7:L31" si="2">(1-J7/G7)^2</f>
        <v>0.23432042554437335</v>
      </c>
      <c r="M7" s="13">
        <f t="shared" ref="M7:M31" si="3">(1-K7/H7)^2</f>
        <v>15.203272135079196</v>
      </c>
      <c r="N7" s="6"/>
      <c r="O7" s="6"/>
      <c r="P7" s="61">
        <v>1.0000000000000001E-9</v>
      </c>
      <c r="Q7">
        <f t="array" ref="Q7">1-SUM(Gamma*(1-EXP(-P7/Tau)))</f>
        <v>0.99476188456651637</v>
      </c>
      <c r="AA7">
        <f t="shared" si="1"/>
        <v>0.49205930631930506</v>
      </c>
    </row>
    <row r="8" spans="1:27" x14ac:dyDescent="0.25">
      <c r="A8">
        <v>5</v>
      </c>
      <c r="B8" s="36">
        <v>0.5</v>
      </c>
      <c r="C8" s="22">
        <f>(1-(g_1+g_2+g_3+g_4))*B8</f>
        <v>0.125</v>
      </c>
      <c r="D8" s="18">
        <v>1.0000000000000001E-5</v>
      </c>
      <c r="E8" s="34">
        <f t="shared" si="0"/>
        <v>1.4953981031087415</v>
      </c>
      <c r="F8" s="35">
        <v>0.23799999999999999</v>
      </c>
      <c r="G8" s="47">
        <v>2.17</v>
      </c>
      <c r="H8" s="48">
        <v>0.44100000769999997</v>
      </c>
      <c r="I8" s="50">
        <v>0.20322581000000001</v>
      </c>
      <c r="J8" s="16">
        <f t="array" ref="J8">G_0*(1-Sum_of_Gs+SUM(Gamma*Tau^2*E8^2/(1+Tau^2*E8^2)))</f>
        <v>3.5933496615254268</v>
      </c>
      <c r="K8" s="16">
        <f t="array" ref="K8">G_0*SUM(Gamma*Tau*E8/(1+Tau^2*E8^2))</f>
        <v>1.7170590700170583</v>
      </c>
      <c r="L8" s="13">
        <f t="shared" si="2"/>
        <v>0.43023301810710524</v>
      </c>
      <c r="M8" s="13">
        <f t="shared" si="3"/>
        <v>8.3726774011820613</v>
      </c>
      <c r="N8" s="6"/>
      <c r="O8" s="6"/>
      <c r="P8" s="60">
        <v>1E-8</v>
      </c>
      <c r="Q8">
        <f t="array" ref="Q8">1-SUM(Gamma*(1-EXP(-P8/Tau)))</f>
        <v>0.94979965130319111</v>
      </c>
      <c r="AA8">
        <f t="shared" si="1"/>
        <v>0.4778435809912645</v>
      </c>
    </row>
    <row r="9" spans="1:27" x14ac:dyDescent="0.25">
      <c r="A9">
        <v>6</v>
      </c>
      <c r="B9" s="36">
        <v>0.5</v>
      </c>
      <c r="C9" s="22">
        <f>(1-(g_1+g_2+g_3+g_4+g_5))*B9</f>
        <v>6.25E-2</v>
      </c>
      <c r="D9" s="18">
        <v>1E-4</v>
      </c>
      <c r="E9" s="34">
        <f t="shared" si="0"/>
        <v>1.9980529276831085</v>
      </c>
      <c r="F9" s="35">
        <v>0.318</v>
      </c>
      <c r="G9" s="47">
        <v>2.2200000000000002</v>
      </c>
      <c r="H9" s="48">
        <v>0.55500000000000005</v>
      </c>
      <c r="I9" s="50">
        <v>0.25</v>
      </c>
      <c r="J9" s="16">
        <f t="array" ref="J9">G_0*(1-Sum_of_Gs+SUM(Gamma*Tau^2*E9^2/(1+Tau^2*E9^2)))</f>
        <v>3.8882458214414508</v>
      </c>
      <c r="K9" s="16">
        <f t="array" ref="K9">G_0*SUM(Gamma*Tau*E9/(1+Tau^2*E9^2))</f>
        <v>1.8309175341529553</v>
      </c>
      <c r="L9" s="13">
        <f t="shared" si="2"/>
        <v>0.5646952602785611</v>
      </c>
      <c r="M9" s="13">
        <f t="shared" si="3"/>
        <v>5.2851734565667003</v>
      </c>
      <c r="N9" s="6"/>
      <c r="O9" s="6"/>
      <c r="P9" s="61">
        <v>9.9999999999999995E-8</v>
      </c>
      <c r="Q9">
        <f t="array" ref="Q9">1-SUM(Gamma*(1-EXP(-P9/Tau)))</f>
        <v>0.65883954625684793</v>
      </c>
      <c r="AA9">
        <f t="shared" si="1"/>
        <v>0.47088523160148282</v>
      </c>
    </row>
    <row r="10" spans="1:27" x14ac:dyDescent="0.25">
      <c r="A10">
        <v>7</v>
      </c>
      <c r="B10" s="36">
        <v>0.5</v>
      </c>
      <c r="C10" s="22">
        <f>(1-(g_1+g_2+g_3+g_4+g_5+g_6))*B10</f>
        <v>3.125E-2</v>
      </c>
      <c r="D10" s="18">
        <v>1E-3</v>
      </c>
      <c r="E10" s="34">
        <f t="shared" si="0"/>
        <v>2.9970793915246623</v>
      </c>
      <c r="F10" s="35">
        <v>0.47699999999999998</v>
      </c>
      <c r="G10" s="47">
        <v>2.33</v>
      </c>
      <c r="H10" s="48">
        <v>0.751000008</v>
      </c>
      <c r="I10" s="50">
        <v>0.32231759999999998</v>
      </c>
      <c r="J10" s="16">
        <f t="array" ref="J10">G_0*(1-Sum_of_Gs+SUM(Gamma*Tau^2*E10^2/(1+Tau^2*E10^2)))</f>
        <v>4.2820902014141442</v>
      </c>
      <c r="K10" s="16">
        <f t="array" ref="K10">G_0*SUM(Gamma*Tau*E10/(1+Tau^2*E10^2))</f>
        <v>2.0702743693017385</v>
      </c>
      <c r="L10" s="13">
        <f t="shared" si="2"/>
        <v>0.7019204911597402</v>
      </c>
      <c r="M10" s="13">
        <f t="shared" si="3"/>
        <v>3.0859604917494985</v>
      </c>
      <c r="N10" s="6"/>
      <c r="O10" s="6"/>
      <c r="P10" s="60">
        <v>9.9999999999999995E-7</v>
      </c>
      <c r="Q10">
        <f t="array" ref="Q10">1-SUM(Gamma*(1-EXP(-P10/Tau)))</f>
        <v>0.32944247328861775</v>
      </c>
      <c r="AA10">
        <f t="shared" si="1"/>
        <v>0.48347285365871978</v>
      </c>
    </row>
    <row r="11" spans="1:27" x14ac:dyDescent="0.25">
      <c r="A11">
        <v>8</v>
      </c>
      <c r="B11" s="36">
        <v>0.5</v>
      </c>
      <c r="C11" s="22">
        <f>(1-(g_1+g_2+g_3+g_4+g_5+g_6+g_7))*B11</f>
        <v>1.5625E-2</v>
      </c>
      <c r="D11" s="18">
        <v>0.01</v>
      </c>
      <c r="E11" s="34">
        <f t="shared" si="0"/>
        <v>4.988849133900592</v>
      </c>
      <c r="F11" s="35">
        <v>0.79400000000000004</v>
      </c>
      <c r="G11" s="47">
        <v>2.5099999999999998</v>
      </c>
      <c r="H11" s="48">
        <v>1.0799999887999998</v>
      </c>
      <c r="I11" s="50">
        <v>0.43027887999999997</v>
      </c>
      <c r="J11" s="16">
        <f t="array" ref="J11">G_0*(1-Sum_of_Gs+SUM(Gamma*Tau^2*E11^2/(1+Tau^2*E11^2)))</f>
        <v>4.9068060213509046</v>
      </c>
      <c r="K11" s="16">
        <f t="array" ref="K11">G_0*SUM(Gamma*Tau*E11/(1+Tau^2*E11^2))</f>
        <v>2.5683514178084206</v>
      </c>
      <c r="L11" s="13">
        <f t="shared" si="2"/>
        <v>0.91183935238868485</v>
      </c>
      <c r="M11" s="13">
        <f t="shared" si="3"/>
        <v>1.8991684003567313</v>
      </c>
      <c r="N11" s="6"/>
      <c r="O11" s="6"/>
      <c r="P11" s="61">
        <v>1.0000000000000001E-5</v>
      </c>
      <c r="Q11">
        <f t="array" ref="Q11">1-SUM(Gamma*(1-EXP(-P11/Tau)))</f>
        <v>0.16472123859743282</v>
      </c>
      <c r="AA11">
        <f t="shared" si="1"/>
        <v>0.52342631981635201</v>
      </c>
    </row>
    <row r="12" spans="1:27" x14ac:dyDescent="0.25">
      <c r="A12">
        <v>9</v>
      </c>
      <c r="B12" s="36">
        <v>0.5</v>
      </c>
      <c r="C12" s="22">
        <f>(1-(g_1+g_2+g_3+g_4+g_5+g_6+g_7+g_8))*B12</f>
        <v>7.8125E-3</v>
      </c>
      <c r="D12" s="18">
        <v>0.1</v>
      </c>
      <c r="E12" s="34">
        <f t="shared" si="0"/>
        <v>7.9796453401180747</v>
      </c>
      <c r="F12" s="35">
        <v>1.27</v>
      </c>
      <c r="G12" s="47">
        <v>2.74</v>
      </c>
      <c r="H12" s="48">
        <v>1.4899999988000001</v>
      </c>
      <c r="I12" s="50">
        <v>0.54379562000000004</v>
      </c>
      <c r="J12" s="16">
        <f t="array" ref="J12">G_0*(1-Sum_of_Gs+SUM(Gamma*Tau^2*E12^2/(1+Tau^2*E12^2)))</f>
        <v>5.7729232736824283</v>
      </c>
      <c r="K12" s="16">
        <f t="array" ref="K12">G_0*SUM(Gamma*Tau*E12/(1+Tau^2*E12^2))</f>
        <v>3.0958947963713581</v>
      </c>
      <c r="L12" s="13">
        <f t="shared" si="2"/>
        <v>1.2252415664186342</v>
      </c>
      <c r="M12" s="13">
        <f t="shared" si="3"/>
        <v>1.1616134881404812</v>
      </c>
      <c r="N12" s="6"/>
      <c r="O12" s="6"/>
      <c r="P12" s="60">
        <v>1E-4</v>
      </c>
      <c r="Q12">
        <f t="array" ref="Q12">1-SUM(Gamma*(1-EXP(-P12/Tau)))</f>
        <v>8.2360638829868771E-2</v>
      </c>
      <c r="AA12">
        <f t="shared" si="1"/>
        <v>0.53627852815659383</v>
      </c>
    </row>
    <row r="13" spans="1:27" x14ac:dyDescent="0.25">
      <c r="A13">
        <v>10</v>
      </c>
      <c r="B13" s="36">
        <v>0.5</v>
      </c>
      <c r="C13" s="22">
        <f>(1-(g_1+g_2+g_3+g_4+g_5+g_6+g_7+g_8+g_9))*B13</f>
        <v>3.90625E-3</v>
      </c>
      <c r="D13" s="18">
        <v>1</v>
      </c>
      <c r="E13" s="34">
        <f t="shared" si="0"/>
        <v>12.503538761287377</v>
      </c>
      <c r="F13" s="35">
        <v>1.99</v>
      </c>
      <c r="G13" s="47">
        <v>3.04</v>
      </c>
      <c r="H13" s="48">
        <v>2.0099999984000001</v>
      </c>
      <c r="I13" s="50">
        <v>0.66118421000000005</v>
      </c>
      <c r="J13" s="16">
        <f t="array" ref="J13">G_0*(1-Sum_of_Gs+SUM(Gamma*Tau^2*E13^2/(1+Tau^2*E13^2)))</f>
        <v>6.7829124352655814</v>
      </c>
      <c r="K13" s="16">
        <f t="array" ref="K13">G_0*SUM(Gamma*Tau*E13/(1+Tau^2*E13^2))</f>
        <v>3.4624747403057392</v>
      </c>
      <c r="L13" s="13">
        <f t="shared" si="2"/>
        <v>1.5159056330143836</v>
      </c>
      <c r="M13" s="13">
        <f t="shared" si="3"/>
        <v>0.52218580709211204</v>
      </c>
      <c r="N13" s="6"/>
      <c r="O13" s="6"/>
      <c r="P13" s="61">
        <v>1E-3</v>
      </c>
      <c r="Q13">
        <f t="array" ref="Q13">1-SUM(Gamma*(1-EXP(-P13/Tau)))</f>
        <v>4.1180514717669148E-2</v>
      </c>
      <c r="AA13">
        <f t="shared" si="1"/>
        <v>0.5104702107465976</v>
      </c>
    </row>
    <row r="14" spans="1:27" x14ac:dyDescent="0.25">
      <c r="A14">
        <v>11</v>
      </c>
      <c r="B14" s="36">
        <v>0</v>
      </c>
      <c r="C14" s="22">
        <f>(1-(g_1+g_2+g_3+g_4+g_5+g_6+g_7+g_8+g_9+g_10))*B14</f>
        <v>0</v>
      </c>
      <c r="D14" s="18">
        <v>10</v>
      </c>
      <c r="E14" s="34">
        <f t="shared" si="0"/>
        <v>19.980529276831085</v>
      </c>
      <c r="F14" s="35">
        <v>3.18</v>
      </c>
      <c r="G14" s="47">
        <v>3.46</v>
      </c>
      <c r="H14" s="48">
        <v>2.7500000074000002</v>
      </c>
      <c r="I14" s="50">
        <v>0.79479769</v>
      </c>
      <c r="J14" s="16">
        <f t="array" ref="J14">G_0*(1-Sum_of_Gs+SUM(Gamma*Tau^2*E14^2/(1+Tau^2*E14^2)))</f>
        <v>7.7713187267630062</v>
      </c>
      <c r="K14" s="16">
        <f t="array" ref="K14">G_0*SUM(Gamma*Tau*E14/(1+Tau^2*E14^2))</f>
        <v>3.7650867730581732</v>
      </c>
      <c r="L14" s="13">
        <f t="shared" si="2"/>
        <v>1.5526303220736908</v>
      </c>
      <c r="M14" s="13">
        <f t="shared" si="3"/>
        <v>0.13625138991985974</v>
      </c>
      <c r="N14" s="6"/>
      <c r="O14" s="5"/>
      <c r="P14" s="60">
        <v>0.01</v>
      </c>
      <c r="Q14">
        <f t="array" ref="Q14">1-SUM(Gamma*(1-EXP(-P14/Tau)))</f>
        <v>2.0592209507597437E-2</v>
      </c>
      <c r="AA14">
        <f t="shared" si="1"/>
        <v>0.48448492533087084</v>
      </c>
    </row>
    <row r="15" spans="1:27" x14ac:dyDescent="0.25">
      <c r="A15">
        <v>12</v>
      </c>
      <c r="B15" s="36">
        <v>0</v>
      </c>
      <c r="C15" s="22">
        <f>(1-(g_1+g_2+g_3+g_4+g_5+g_6+g_7+g_8+g_9+g_10+g_11))*B15</f>
        <v>0</v>
      </c>
      <c r="D15" s="18">
        <v>100</v>
      </c>
      <c r="E15" s="34">
        <f t="shared" si="0"/>
        <v>35.311501426349274</v>
      </c>
      <c r="F15" s="35">
        <v>5.62</v>
      </c>
      <c r="G15" s="47">
        <v>4.1399999999999997</v>
      </c>
      <c r="H15" s="48">
        <v>3.9800000123999997</v>
      </c>
      <c r="I15" s="50">
        <v>0.96135265999999997</v>
      </c>
      <c r="J15" s="16">
        <f t="array" ref="J15">G_0*(1-Sum_of_Gs+SUM(Gamma*Tau^2*E15^2/(1+Tau^2*E15^2)))</f>
        <v>8.9113314541122968</v>
      </c>
      <c r="K15" s="16">
        <f t="array" ref="K15">G_0*SUM(Gamma*Tau*E15/(1+Tau^2*E15^2))</f>
        <v>4.4742530296348528</v>
      </c>
      <c r="L15" s="13">
        <f t="shared" si="2"/>
        <v>1.328245924350707</v>
      </c>
      <c r="M15" s="13">
        <f t="shared" si="3"/>
        <v>1.5421709270193415E-2</v>
      </c>
      <c r="N15" s="6"/>
      <c r="O15" s="5"/>
      <c r="P15" s="61">
        <v>0.1</v>
      </c>
      <c r="Q15">
        <f t="array" ref="Q15">1-SUM(Gamma*(1-EXP(-P15/Tau)))</f>
        <v>1.0315538672257318E-2</v>
      </c>
      <c r="AA15">
        <f t="shared" si="1"/>
        <v>0.5020858053226297</v>
      </c>
    </row>
    <row r="16" spans="1:27" x14ac:dyDescent="0.25">
      <c r="A16">
        <v>13</v>
      </c>
      <c r="B16" s="36">
        <v>0</v>
      </c>
      <c r="C16" s="22">
        <f>(1-(g_1+g_2+g_3+g_4+g_5+g_6+g_7+g_8+g_9+g_10+g_11+g_12))*B16</f>
        <v>0</v>
      </c>
      <c r="D16" s="18">
        <v>1000</v>
      </c>
      <c r="E16" s="34">
        <f t="shared" si="0"/>
        <v>49.888491339005917</v>
      </c>
      <c r="F16" s="35">
        <v>7.94</v>
      </c>
      <c r="G16" s="47">
        <v>4.79</v>
      </c>
      <c r="H16" s="48">
        <v>5.109999782</v>
      </c>
      <c r="I16" s="50">
        <v>1.0668058</v>
      </c>
      <c r="J16" s="16">
        <f t="array" ref="J16">G_0*(1-Sum_of_Gs+SUM(Gamma*Tau^2*E16^2/(1+Tau^2*E16^2)))</f>
        <v>9.8127805455394856</v>
      </c>
      <c r="K16" s="16">
        <f t="array" ref="K16">G_0*SUM(Gamma*Tau*E16/(1+Tau^2*E16^2))</f>
        <v>5.1779205590129198</v>
      </c>
      <c r="L16" s="13">
        <f t="shared" si="2"/>
        <v>1.0995560692574529</v>
      </c>
      <c r="M16" s="13">
        <f t="shared" si="3"/>
        <v>1.7667029245648747E-4</v>
      </c>
      <c r="N16" s="6"/>
      <c r="O16" s="5"/>
      <c r="P16" s="60">
        <v>1</v>
      </c>
      <c r="Q16">
        <f t="array" ref="Q16">1-SUM(Gamma*(1-EXP(-P16/Tau)))</f>
        <v>5.3436337540272438E-3</v>
      </c>
      <c r="AA16">
        <f t="shared" si="1"/>
        <v>0.52767108517132832</v>
      </c>
    </row>
    <row r="17" spans="1:27" x14ac:dyDescent="0.25">
      <c r="A17">
        <v>14</v>
      </c>
      <c r="B17" s="36">
        <v>0</v>
      </c>
      <c r="C17" s="22">
        <f>(1-(g_1+g_2+g_3+g_4+g_5+g_6+g_7+g_8+g_9+g_10+g_11+g_12+g_13))*B17</f>
        <v>0</v>
      </c>
      <c r="D17" s="18">
        <v>10000</v>
      </c>
      <c r="E17" s="34">
        <f t="shared" si="0"/>
        <v>79.796453401180742</v>
      </c>
      <c r="F17" s="35">
        <v>12.7</v>
      </c>
      <c r="G17" s="47">
        <v>5.84</v>
      </c>
      <c r="H17" s="48">
        <v>7.0900000240000001</v>
      </c>
      <c r="I17" s="50">
        <v>1.2140411</v>
      </c>
      <c r="J17" s="16">
        <f t="array" ref="J17">G_0*(1-Sum_of_Gs+SUM(Gamma*Tau^2*E17^2/(1+Tau^2*E17^2)))</f>
        <v>11.54552145933636</v>
      </c>
      <c r="K17" s="16">
        <f t="array" ref="K17">G_0*SUM(Gamma*Tau*E17/(1+Tau^2*E17^2))</f>
        <v>6.217307516327641</v>
      </c>
      <c r="L17" s="13">
        <f t="shared" si="2"/>
        <v>0.95447595476835789</v>
      </c>
      <c r="M17" s="13">
        <f t="shared" si="3"/>
        <v>1.5150606603221853E-2</v>
      </c>
      <c r="N17" s="6"/>
      <c r="O17" s="5"/>
      <c r="P17" s="61">
        <v>10</v>
      </c>
      <c r="Q17">
        <f t="array" ref="Q17">1-SUM(Gamma*(1-EXP(-P17/Tau)))</f>
        <v>3.9064273434756824E-3</v>
      </c>
      <c r="AA17">
        <f t="shared" si="1"/>
        <v>0.53850382923154805</v>
      </c>
    </row>
    <row r="18" spans="1:27" x14ac:dyDescent="0.25">
      <c r="A18">
        <v>15</v>
      </c>
      <c r="B18" s="36">
        <v>0</v>
      </c>
      <c r="C18" s="22">
        <f>(1-(g_1+g_2+g_3+g_4+g_5+g_6+g_7+g_8+g_9+g_10+g_11+g_12+g_13+g_14))*B18</f>
        <v>0</v>
      </c>
      <c r="D18" s="18">
        <v>100000</v>
      </c>
      <c r="E18" s="34">
        <f t="shared" si="0"/>
        <v>141.37166941154069</v>
      </c>
      <c r="F18" s="35">
        <v>22.5</v>
      </c>
      <c r="G18" s="47">
        <v>7.62</v>
      </c>
      <c r="H18" s="48">
        <v>10.500000336000001</v>
      </c>
      <c r="I18" s="50">
        <v>1.3779528000000001</v>
      </c>
      <c r="J18" s="16">
        <f t="array" ref="J18">G_0*(1-Sum_of_Gs+SUM(Gamma*Tau^2*E18^2/(1+Tau^2*E18^2)))</f>
        <v>14.111357058924511</v>
      </c>
      <c r="K18" s="16">
        <f t="array" ref="K18">G_0*SUM(Gamma*Tau*E18/(1+Tau^2*E18^2))</f>
        <v>7.0902761005073023</v>
      </c>
      <c r="L18" s="13">
        <f t="shared" si="2"/>
        <v>0.72570656833531522</v>
      </c>
      <c r="M18" s="13">
        <f t="shared" si="3"/>
        <v>0.10545323009549444</v>
      </c>
      <c r="N18" s="6"/>
      <c r="O18" s="5"/>
      <c r="P18" s="60">
        <v>100</v>
      </c>
      <c r="Q18">
        <f t="array" ref="Q18">1-SUM(Gamma*(1-EXP(-P18/Tau)))</f>
        <v>3.90625E-3</v>
      </c>
      <c r="AA18">
        <f t="shared" si="1"/>
        <v>0.50245175364074324</v>
      </c>
    </row>
    <row r="19" spans="1:27" x14ac:dyDescent="0.25">
      <c r="E19" s="34">
        <f t="shared" si="0"/>
        <v>222.42475987415733</v>
      </c>
      <c r="F19" s="35">
        <v>35.4</v>
      </c>
      <c r="G19" s="47">
        <v>9.84</v>
      </c>
      <c r="H19" s="48">
        <v>14.499999647999999</v>
      </c>
      <c r="I19" s="50">
        <v>1.4735772</v>
      </c>
      <c r="J19" s="16">
        <f t="array" ref="J19">G_0*(1-Sum_of_Gs+SUM(Gamma*Tau^2*E19^2/(1+Tau^2*E19^2)))</f>
        <v>15.959141996306155</v>
      </c>
      <c r="K19" s="16">
        <f t="array" ref="K19">G_0*SUM(Gamma*Tau*E19/(1+Tau^2*E19^2))</f>
        <v>7.7216178882204805</v>
      </c>
      <c r="L19" s="13">
        <f t="shared" si="2"/>
        <v>0.38671486436394592</v>
      </c>
      <c r="M19" s="13">
        <f t="shared" si="3"/>
        <v>0.21853251610982916</v>
      </c>
      <c r="N19" s="6"/>
      <c r="O19" s="5"/>
      <c r="P19" s="6"/>
      <c r="AA19">
        <f t="shared" si="1"/>
        <v>0.48383665550489485</v>
      </c>
    </row>
    <row r="20" spans="1:27" x14ac:dyDescent="0.25">
      <c r="B20" s="19" t="s">
        <v>22</v>
      </c>
      <c r="C20" s="21">
        <f>SUM(C4:C17)</f>
        <v>0.99609375</v>
      </c>
      <c r="E20" s="34">
        <f t="shared" si="0"/>
        <v>376.99111843077515</v>
      </c>
      <c r="F20" s="35">
        <v>60</v>
      </c>
      <c r="G20" s="47">
        <v>13.2</v>
      </c>
      <c r="H20" s="48">
        <v>20.30000016</v>
      </c>
      <c r="I20" s="50">
        <v>1.5378788000000001</v>
      </c>
      <c r="J20" s="16">
        <f t="array" ref="J20">G_0*(1-Sum_of_Gs+SUM(Gamma*Tau^2*E20^2/(1+Tau^2*E20^2)))</f>
        <v>18.124153209043136</v>
      </c>
      <c r="K20" s="16">
        <f t="array" ref="K20">G_0*SUM(Gamma*Tau*E20/(1+Tau^2*E20^2))</f>
        <v>9.1911627055836114</v>
      </c>
      <c r="L20" s="13">
        <f t="shared" si="2"/>
        <v>0.13916026644932172</v>
      </c>
      <c r="M20" s="13">
        <f t="shared" si="3"/>
        <v>0.29946435886171446</v>
      </c>
      <c r="N20" s="6"/>
      <c r="O20" s="5"/>
      <c r="P20" s="5"/>
      <c r="AA20">
        <f t="shared" si="1"/>
        <v>0.50712232453418216</v>
      </c>
    </row>
    <row r="21" spans="1:27" x14ac:dyDescent="0.25">
      <c r="E21" s="34">
        <f t="shared" si="0"/>
        <v>498.88491339005918</v>
      </c>
      <c r="F21" s="35">
        <v>79.400000000000006</v>
      </c>
      <c r="G21" s="47">
        <v>16.3</v>
      </c>
      <c r="H21" s="48">
        <v>24.500000249999999</v>
      </c>
      <c r="I21" s="50">
        <v>1.5030675</v>
      </c>
      <c r="J21" s="16">
        <f t="array" ref="J21">G_0*(1-Sum_of_Gs+SUM(Gamma*Tau^2*E21^2/(1+Tau^2*E21^2)))</f>
        <v>19.625552759610251</v>
      </c>
      <c r="K21" s="16">
        <f t="array" ref="K21">G_0*SUM(Gamma*Tau*E21/(1+Tau^2*E21^2))</f>
        <v>10.357346891262329</v>
      </c>
      <c r="L21" s="13">
        <f t="shared" si="2"/>
        <v>4.1624830279466153E-2</v>
      </c>
      <c r="M21" s="13">
        <f t="shared" si="3"/>
        <v>0.3332188920341233</v>
      </c>
      <c r="N21" s="6"/>
      <c r="O21" s="5"/>
      <c r="P21" s="6"/>
      <c r="AA21">
        <f t="shared" si="1"/>
        <v>0.52774803431666595</v>
      </c>
    </row>
    <row r="22" spans="1:27" x14ac:dyDescent="0.25">
      <c r="E22" s="34">
        <f t="shared" si="0"/>
        <v>628.31853071795865</v>
      </c>
      <c r="F22" s="35">
        <v>100</v>
      </c>
      <c r="G22" s="47">
        <v>19.399999999999999</v>
      </c>
      <c r="H22" s="48">
        <v>28.099999839999995</v>
      </c>
      <c r="I22" s="50">
        <v>1.4484535999999999</v>
      </c>
      <c r="J22" s="16">
        <f t="array" ref="J22">G_0*(1-Sum_of_Gs+SUM(Gamma*Tau^2*E22^2/(1+Tau^2*E22^2)))</f>
        <v>21.177691569391712</v>
      </c>
      <c r="K22" s="16">
        <f t="array" ref="K22">G_0*SUM(Gamma*Tau*E22/(1+Tau^2*E22^2))</f>
        <v>11.404916997238582</v>
      </c>
      <c r="L22" s="13">
        <f t="shared" si="2"/>
        <v>8.3967140925878796E-3</v>
      </c>
      <c r="M22" s="13">
        <f t="shared" si="3"/>
        <v>0.35299172287682296</v>
      </c>
      <c r="N22" s="6"/>
      <c r="O22" s="5"/>
      <c r="P22" s="5"/>
      <c r="AA22">
        <f t="shared" si="1"/>
        <v>0.53853447434857349</v>
      </c>
    </row>
    <row r="23" spans="1:27" x14ac:dyDescent="0.25">
      <c r="C23" s="19" t="s">
        <v>12</v>
      </c>
      <c r="D23" s="58">
        <v>530</v>
      </c>
      <c r="E23" s="34">
        <f>F23*2*PI()</f>
        <v>1005.3096491487338</v>
      </c>
      <c r="F23" s="35">
        <v>160</v>
      </c>
      <c r="G23" s="47">
        <v>26.5</v>
      </c>
      <c r="H23" s="48">
        <v>35.775000000000006</v>
      </c>
      <c r="I23" s="50">
        <v>1.35</v>
      </c>
      <c r="J23" s="16">
        <f t="array" ref="J23">G_0*(1-Sum_of_Gs+SUM(Gamma*Tau^2*E23^2/(1+Tau^2*E23^2)))</f>
        <v>25.144313741690155</v>
      </c>
      <c r="K23" s="16">
        <f t="array" ref="K23">G_0*SUM(Gamma*Tau*E23/(1+Tau^2*E23^2))</f>
        <v>13.262620977759925</v>
      </c>
      <c r="L23" s="13">
        <f t="shared" si="2"/>
        <v>2.6171381003490882E-3</v>
      </c>
      <c r="M23" s="13">
        <f t="shared" si="3"/>
        <v>0.3959893438665899</v>
      </c>
      <c r="N23" s="11"/>
      <c r="O23" s="5"/>
      <c r="P23" s="6"/>
      <c r="AA23">
        <f t="shared" si="1"/>
        <v>0.52746004977539052</v>
      </c>
    </row>
    <row r="24" spans="1:27" x14ac:dyDescent="0.25">
      <c r="C24" s="19" t="s">
        <v>18</v>
      </c>
      <c r="D24" s="16">
        <v>2.08</v>
      </c>
      <c r="E24" s="34">
        <f t="shared" ref="E24:E45" si="4">F24*2*PI()</f>
        <v>1495.3981031087415</v>
      </c>
      <c r="F24" s="33">
        <v>238</v>
      </c>
      <c r="G24" s="48">
        <v>34.4</v>
      </c>
      <c r="H24" s="48">
        <v>43.299998959999996</v>
      </c>
      <c r="I24" s="50">
        <v>1.2587208999999999</v>
      </c>
      <c r="J24" s="16">
        <f t="array" ref="J24">G_0*(1-Sum_of_Gs+SUM(Gamma*Tau^2*E24^2/(1+Tau^2*E24^2)))</f>
        <v>28.709743524551119</v>
      </c>
      <c r="K24" s="16">
        <f t="array" ref="K24">G_0*SUM(Gamma*Tau*E24/(1+Tau^2*E24^2))</f>
        <v>14.307034033621791</v>
      </c>
      <c r="L24" s="13">
        <f t="shared" si="2"/>
        <v>2.7361934454762631E-2</v>
      </c>
      <c r="M24" s="13">
        <f t="shared" si="3"/>
        <v>0.44834206572208302</v>
      </c>
      <c r="N24" s="11"/>
      <c r="O24" s="5"/>
      <c r="P24" s="5"/>
      <c r="AA24">
        <f t="shared" si="1"/>
        <v>0.49833374587227297</v>
      </c>
    </row>
    <row r="25" spans="1:27" x14ac:dyDescent="0.25">
      <c r="C25" s="15" t="s">
        <v>20</v>
      </c>
      <c r="D25">
        <f>(G_0-G_inf)/G_0</f>
        <v>0.99607547169811317</v>
      </c>
      <c r="E25" s="34">
        <f t="shared" si="4"/>
        <v>1790.7078125461821</v>
      </c>
      <c r="F25" s="33">
        <v>285</v>
      </c>
      <c r="G25" s="48">
        <v>38.299999999999997</v>
      </c>
      <c r="H25" s="48">
        <v>46.725999999999992</v>
      </c>
      <c r="I25" s="50">
        <v>1.22</v>
      </c>
      <c r="J25" s="16">
        <f t="array" ref="J25">G_0*(1-Sum_of_Gs+SUM(Gamma*Tau^2*E25^2/(1+Tau^2*E25^2)))</f>
        <v>30.212757828688417</v>
      </c>
      <c r="K25" s="16">
        <f t="array" ref="K25">G_0*SUM(Gamma*Tau*E25/(1+Tau^2*E25^2))</f>
        <v>14.753837485242485</v>
      </c>
      <c r="L25" s="13">
        <f t="shared" si="2"/>
        <v>4.4586496559006115E-2</v>
      </c>
      <c r="M25" s="13">
        <f t="shared" si="3"/>
        <v>0.46819504629751391</v>
      </c>
      <c r="N25" s="11"/>
      <c r="O25" s="5"/>
      <c r="P25" s="6"/>
      <c r="AA25">
        <f t="shared" si="1"/>
        <v>0.48833137209450739</v>
      </c>
    </row>
    <row r="26" spans="1:27" x14ac:dyDescent="0.25">
      <c r="E26" s="34">
        <f t="shared" si="4"/>
        <v>2513.2741228718346</v>
      </c>
      <c r="F26" s="33">
        <v>400</v>
      </c>
      <c r="G26" s="48">
        <v>50.1</v>
      </c>
      <c r="H26" s="48">
        <v>57.300001260000002</v>
      </c>
      <c r="I26" s="50">
        <v>1.1437126</v>
      </c>
      <c r="J26" s="16">
        <f t="array" ref="J26">G_0*(1-Sum_of_Gs+SUM(Gamma*Tau^2*E26^2/(1+Tau^2*E26^2)))</f>
        <v>32.85885804257623</v>
      </c>
      <c r="K26" s="16">
        <f t="array" ref="K26">G_0*SUM(Gamma*Tau*E26/(1+Tau^2*E26^2))</f>
        <v>15.929786826940678</v>
      </c>
      <c r="L26" s="13">
        <f t="shared" si="2"/>
        <v>0.11842860227490662</v>
      </c>
      <c r="M26" s="13">
        <f t="shared" si="3"/>
        <v>0.52127426056406567</v>
      </c>
      <c r="O26" s="5"/>
      <c r="P26" s="5"/>
      <c r="AA26">
        <f t="shared" si="1"/>
        <v>0.48479429219055525</v>
      </c>
    </row>
    <row r="27" spans="1:27" x14ac:dyDescent="0.25">
      <c r="E27" s="34">
        <f t="shared" si="4"/>
        <v>3348.9377687267192</v>
      </c>
      <c r="F27" s="33">
        <v>533</v>
      </c>
      <c r="G27" s="48">
        <v>58.8</v>
      </c>
      <c r="H27" s="48">
        <v>63.100002839999995</v>
      </c>
      <c r="I27" s="50">
        <v>1.0731293</v>
      </c>
      <c r="J27" s="16">
        <f t="array" ref="J27">G_0*(1-Sum_of_Gs+SUM(Gamma*Tau^2*E27^2/(1+Tau^2*E27^2)))</f>
        <v>35.177899388521872</v>
      </c>
      <c r="K27" s="16">
        <f t="array" ref="K27">G_0*SUM(Gamma*Tau*E27/(1+Tau^2*E27^2))</f>
        <v>17.524095149100663</v>
      </c>
      <c r="L27" s="13">
        <f t="shared" si="2"/>
        <v>0.16139213906786382</v>
      </c>
      <c r="M27" s="13">
        <f t="shared" si="3"/>
        <v>0.52168926009121153</v>
      </c>
      <c r="O27" s="5"/>
      <c r="P27" s="6"/>
      <c r="AA27">
        <f t="shared" si="1"/>
        <v>0.49815638380097721</v>
      </c>
    </row>
    <row r="28" spans="1:27" x14ac:dyDescent="0.25">
      <c r="E28" s="34">
        <f t="shared" si="4"/>
        <v>4988.8491339005914</v>
      </c>
      <c r="F28" s="33">
        <v>794</v>
      </c>
      <c r="G28" s="48">
        <v>73.7</v>
      </c>
      <c r="H28" s="48">
        <v>70.751999999999995</v>
      </c>
      <c r="I28" s="50">
        <v>0.96</v>
      </c>
      <c r="J28" s="16">
        <f t="array" ref="J28">G_0*(1-Sum_of_Gs+SUM(Gamma*Tau^2*E28^2/(1+Tau^2*E28^2)))</f>
        <v>39.251104116940766</v>
      </c>
      <c r="K28" s="16">
        <f t="array" ref="K28">G_0*SUM(Gamma*Tau*E28/(1+Tau^2*E28^2))</f>
        <v>20.688667870159232</v>
      </c>
      <c r="L28" s="13">
        <f t="shared" si="2"/>
        <v>0.21848198766164037</v>
      </c>
      <c r="M28" s="13">
        <f t="shared" si="3"/>
        <v>0.50068209694846122</v>
      </c>
      <c r="AA28">
        <f t="shared" si="1"/>
        <v>0.52708499125327812</v>
      </c>
    </row>
    <row r="29" spans="1:27" x14ac:dyDescent="0.25">
      <c r="E29" s="34">
        <f t="shared" si="4"/>
        <v>6283.1853071795858</v>
      </c>
      <c r="F29" s="33">
        <v>1000</v>
      </c>
      <c r="G29" s="48">
        <v>86.4</v>
      </c>
      <c r="H29" s="48">
        <v>78.499999584000008</v>
      </c>
      <c r="I29" s="50">
        <v>0.90856481</v>
      </c>
      <c r="J29" s="16">
        <f t="array" ref="J29">G_0*(1-Sum_of_Gs+SUM(Gamma*Tau^2*E29^2/(1+Tau^2*E29^2)))</f>
        <v>42.355380993985669</v>
      </c>
      <c r="K29" s="16">
        <f t="array" ref="K29">G_0*SUM(Gamma*Tau*E29/(1+Tau^2*E29^2))</f>
        <v>22.776862612940349</v>
      </c>
      <c r="L29" s="13">
        <f t="shared" si="2"/>
        <v>0.2598712469169237</v>
      </c>
      <c r="M29" s="13">
        <f t="shared" si="3"/>
        <v>0.50388543580757683</v>
      </c>
      <c r="P29" s="6"/>
      <c r="AA29">
        <f t="shared" si="1"/>
        <v>0.53775605550979677</v>
      </c>
    </row>
    <row r="30" spans="1:27" x14ac:dyDescent="0.25">
      <c r="E30" s="34">
        <f t="shared" si="4"/>
        <v>10053.096491487338</v>
      </c>
      <c r="F30" s="33">
        <v>1600</v>
      </c>
      <c r="G30" s="48">
        <v>106</v>
      </c>
      <c r="H30" s="48">
        <v>85.199999480000002</v>
      </c>
      <c r="I30" s="50">
        <v>0.80377357999999999</v>
      </c>
      <c r="J30" s="16">
        <f t="array" ref="J30">G_0*(1-Sum_of_Gs+SUM(Gamma*Tau^2*E30^2/(1+Tau^2*E30^2)))</f>
        <v>50.288622106463663</v>
      </c>
      <c r="K30" s="16">
        <f t="array" ref="K30">G_0*SUM(Gamma*Tau*E30/(1+Tau^2*E30^2))</f>
        <v>26.472166482443992</v>
      </c>
      <c r="L30" s="13">
        <f t="shared" si="2"/>
        <v>0.276233323851585</v>
      </c>
      <c r="M30" s="13">
        <f t="shared" si="3"/>
        <v>0.47512596854250561</v>
      </c>
      <c r="AA30">
        <f t="shared" si="1"/>
        <v>0.52640468904479065</v>
      </c>
    </row>
    <row r="31" spans="1:27" x14ac:dyDescent="0.25">
      <c r="E31" s="34">
        <f t="shared" si="4"/>
        <v>14953.981031087415</v>
      </c>
      <c r="F31" s="33">
        <v>2380</v>
      </c>
      <c r="G31" s="48">
        <v>138</v>
      </c>
      <c r="H31" s="48">
        <v>98.400000239999997</v>
      </c>
      <c r="I31" s="50">
        <v>0.71304347999999995</v>
      </c>
      <c r="J31" s="16">
        <f t="array" ref="J31">G_0*(1-Sum_of_Gs+SUM(Gamma*Tau^2*E31^2/(1+Tau^2*E31^2)))</f>
        <v>57.419475187902322</v>
      </c>
      <c r="K31" s="16">
        <f t="array" ref="K31">G_0*SUM(Gamma*Tau*E31/(1+Tau^2*E31^2))</f>
        <v>28.534950415125376</v>
      </c>
      <c r="L31" s="13">
        <f t="shared" si="2"/>
        <v>0.34095888358501836</v>
      </c>
      <c r="M31" s="13">
        <f t="shared" si="3"/>
        <v>0.50411514756653686</v>
      </c>
      <c r="P31" s="6"/>
      <c r="AA31">
        <f t="shared" si="1"/>
        <v>0.49695596000740511</v>
      </c>
    </row>
    <row r="32" spans="1:27" x14ac:dyDescent="0.25">
      <c r="E32">
        <f t="shared" si="4"/>
        <v>19980.529276831083</v>
      </c>
      <c r="F32" s="53">
        <v>3180</v>
      </c>
      <c r="G32" s="46">
        <v>159</v>
      </c>
      <c r="H32" s="46">
        <v>102.99999966</v>
      </c>
      <c r="I32" s="54">
        <v>0.64779874000000004</v>
      </c>
      <c r="J32" s="52">
        <f t="array" ref="J32">G_0*(1-Sum_of_Gs+SUM(Gamma*Tau^2*E32^2/(1+Tau^2*E32^2)))</f>
        <v>62.170319751615665</v>
      </c>
      <c r="K32" s="52">
        <f t="array" ref="K32">G_0*SUM(Gamma*Tau*E32/(1+Tau^2*E32^2))</f>
        <v>30.033003657866477</v>
      </c>
      <c r="L32" s="13">
        <f t="shared" ref="L32:L43" si="5">(1-J32/G32)^2</f>
        <v>0.37087089027350001</v>
      </c>
      <c r="M32" s="13">
        <f t="shared" ref="M32:M43" si="6">(1-K32/H32)^2</f>
        <v>0.50185526823690374</v>
      </c>
      <c r="AA32">
        <f t="shared" si="1"/>
        <v>0.48307622958760782</v>
      </c>
    </row>
    <row r="33" spans="3:27" x14ac:dyDescent="0.25">
      <c r="E33">
        <f t="shared" si="4"/>
        <v>29970.793915246628</v>
      </c>
      <c r="F33" s="53">
        <v>4770</v>
      </c>
      <c r="G33" s="46">
        <v>188</v>
      </c>
      <c r="H33" s="46">
        <v>108.99999923999999</v>
      </c>
      <c r="I33" s="54">
        <v>0.57978722999999999</v>
      </c>
      <c r="J33" s="52">
        <f t="array" ref="J33">G_0*(1-Sum_of_Gs+SUM(Gamma*Tau^2*E33^2/(1+Tau^2*E33^2)))</f>
        <v>68.494883831153643</v>
      </c>
      <c r="K33" s="52">
        <f t="array" ref="K33">G_0*SUM(Gamma*Tau*E33/(1+Tau^2*E33^2))</f>
        <v>33.5072392869249</v>
      </c>
      <c r="L33" s="13">
        <f t="shared" si="5"/>
        <v>0.40407064255685449</v>
      </c>
      <c r="M33" s="13">
        <f t="shared" si="6"/>
        <v>0.47968663284295093</v>
      </c>
      <c r="P33" s="6"/>
      <c r="AA33">
        <f t="shared" si="1"/>
        <v>0.48919331507333319</v>
      </c>
    </row>
    <row r="34" spans="3:27" x14ac:dyDescent="0.25">
      <c r="E34">
        <f t="shared" si="4"/>
        <v>49888.491339005916</v>
      </c>
      <c r="F34" s="55">
        <v>7940</v>
      </c>
      <c r="G34" s="48">
        <v>225</v>
      </c>
      <c r="H34" s="48">
        <v>114.99999975</v>
      </c>
      <c r="I34" s="50">
        <v>0.51111110999999998</v>
      </c>
      <c r="J34" s="52">
        <f t="array" ref="J34">G_0*(1-Sum_of_Gs+SUM(Gamma*Tau^2*E34^2/(1+Tau^2*E34^2)))</f>
        <v>78.502076323419431</v>
      </c>
      <c r="K34" s="52">
        <f t="array" ref="K34">G_0*SUM(Gamma*Tau*E34/(1+Tau^2*E34^2))</f>
        <v>41.112968300828953</v>
      </c>
      <c r="L34" s="13">
        <f t="shared" si="5"/>
        <v>0.42393366205529337</v>
      </c>
      <c r="M34" s="13">
        <f t="shared" si="6"/>
        <v>0.41280101626516819</v>
      </c>
      <c r="AA34">
        <f t="shared" si="1"/>
        <v>0.52371822792875311</v>
      </c>
    </row>
    <row r="35" spans="3:27" x14ac:dyDescent="0.25">
      <c r="E35">
        <f t="shared" si="4"/>
        <v>79796.453401180741</v>
      </c>
      <c r="F35" s="55">
        <v>12700</v>
      </c>
      <c r="G35" s="48">
        <v>258</v>
      </c>
      <c r="H35" s="48">
        <v>118.99999998</v>
      </c>
      <c r="I35" s="50">
        <v>0.46124030999999999</v>
      </c>
      <c r="J35" s="52">
        <f t="array" ref="J35">G_0*(1-Sum_of_Gs+SUM(Gamma*Tau^2*E35^2/(1+Tau^2*E35^2)))</f>
        <v>92.363814243389953</v>
      </c>
      <c r="K35" s="52">
        <f t="array" ref="K35">G_0*SUM(Gamma*Tau*E35/(1+Tau^2*E35^2))</f>
        <v>49.224960903189093</v>
      </c>
      <c r="L35" s="13">
        <f t="shared" si="5"/>
        <v>0.4121649244636475</v>
      </c>
      <c r="M35" s="13">
        <f t="shared" si="6"/>
        <v>0.34380030222491198</v>
      </c>
      <c r="AA35">
        <f t="shared" si="1"/>
        <v>0.53294638497144886</v>
      </c>
    </row>
    <row r="36" spans="3:27" x14ac:dyDescent="0.25">
      <c r="E36">
        <f t="shared" si="4"/>
        <v>125035.38761287376</v>
      </c>
      <c r="F36" s="55">
        <v>19900</v>
      </c>
      <c r="G36" s="48">
        <v>292</v>
      </c>
      <c r="H36" s="48">
        <v>120.99999951999999</v>
      </c>
      <c r="I36" s="50">
        <v>0.41438355999999998</v>
      </c>
      <c r="J36" s="52">
        <f t="array" ref="J36">G_0*(1-Sum_of_Gs+SUM(Gamma*Tau^2*E36^2/(1+Tau^2*E36^2)))</f>
        <v>108.52468880571097</v>
      </c>
      <c r="K36" s="52">
        <f t="array" ref="K36">G_0*SUM(Gamma*Tau*E36/(1+Tau^2*E36^2))</f>
        <v>54.711987677472784</v>
      </c>
      <c r="L36" s="13">
        <f t="shared" si="5"/>
        <v>0.39481128985083036</v>
      </c>
      <c r="M36" s="13">
        <f t="shared" si="6"/>
        <v>0.30012297991239079</v>
      </c>
      <c r="AA36">
        <f t="shared" si="1"/>
        <v>0.50414323486725021</v>
      </c>
    </row>
    <row r="37" spans="3:27" x14ac:dyDescent="0.25">
      <c r="E37">
        <f t="shared" si="4"/>
        <v>199805.29276831084</v>
      </c>
      <c r="F37" s="55">
        <v>31800</v>
      </c>
      <c r="G37" s="48">
        <v>328</v>
      </c>
      <c r="H37" s="48">
        <v>122.00000016000001</v>
      </c>
      <c r="I37" s="50">
        <v>0.37195122000000003</v>
      </c>
      <c r="J37" s="52">
        <f t="array" ref="J37">G_0*(1-Sum_of_Gs+SUM(Gamma*Tau^2*E37^2/(1+Tau^2*E37^2)))</f>
        <v>124.3385236374105</v>
      </c>
      <c r="K37" s="52">
        <f t="array" ref="K37">G_0*SUM(Gamma*Tau*E37/(1+Tau^2*E37^2))</f>
        <v>59.007053853322631</v>
      </c>
      <c r="L37" s="13">
        <f t="shared" si="5"/>
        <v>0.38554057252183976</v>
      </c>
      <c r="M37" s="13">
        <f t="shared" si="6"/>
        <v>0.26660247742460208</v>
      </c>
      <c r="AA37">
        <f t="shared" si="1"/>
        <v>0.47456775363841308</v>
      </c>
    </row>
    <row r="38" spans="3:27" x14ac:dyDescent="0.25">
      <c r="C38" s="4"/>
      <c r="E38">
        <f t="shared" si="4"/>
        <v>314159.26535897929</v>
      </c>
      <c r="F38" s="55">
        <v>50000</v>
      </c>
      <c r="G38" s="48">
        <v>354</v>
      </c>
      <c r="H38" s="48">
        <v>118.99999926000001</v>
      </c>
      <c r="I38" s="50">
        <v>0.33615819000000002</v>
      </c>
      <c r="J38" s="52">
        <f t="array" ref="J38">G_0*(1-Sum_of_Gs+SUM(Gamma*Tau^2*E38^2/(1+Tau^2*E38^2)))</f>
        <v>138.53510779548253</v>
      </c>
      <c r="K38" s="52">
        <f t="array" ref="K38">G_0*SUM(Gamma*Tau*E38/(1+Tau^2*E38^2))</f>
        <v>66.4606014490696</v>
      </c>
      <c r="L38" s="13">
        <f t="shared" si="5"/>
        <v>0.37046442411746572</v>
      </c>
      <c r="M38" s="13">
        <f t="shared" si="6"/>
        <v>0.19492891438924362</v>
      </c>
      <c r="AA38">
        <f t="shared" si="1"/>
        <v>0.47973833136351596</v>
      </c>
    </row>
    <row r="39" spans="3:27" x14ac:dyDescent="0.25">
      <c r="C39" s="6"/>
      <c r="E39">
        <f t="shared" si="4"/>
        <v>498884.91339005914</v>
      </c>
      <c r="F39" s="55">
        <v>79400</v>
      </c>
      <c r="G39" s="48">
        <v>386</v>
      </c>
      <c r="H39" s="48">
        <v>117.99999928000001</v>
      </c>
      <c r="I39" s="50">
        <v>0.30569948000000002</v>
      </c>
      <c r="J39" s="52">
        <f t="array" ref="J39">G_0*(1-Sum_of_Gs+SUM(Gamma*Tau^2*E39^2/(1+Tau^2*E39^2)))</f>
        <v>156.99096200881641</v>
      </c>
      <c r="K39" s="52">
        <f t="array" ref="K39">G_0*SUM(Gamma*Tau*E39/(1+Tau^2*E39^2))</f>
        <v>79.581916516673573</v>
      </c>
      <c r="L39" s="13">
        <f t="shared" si="5"/>
        <v>0.35199025129297007</v>
      </c>
      <c r="M39" s="13">
        <f t="shared" si="6"/>
        <v>0.10600036636177695</v>
      </c>
      <c r="AA39">
        <f t="shared" si="1"/>
        <v>0.50692036979940513</v>
      </c>
    </row>
    <row r="40" spans="3:27" x14ac:dyDescent="0.25">
      <c r="C40" s="6"/>
      <c r="E40">
        <f t="shared" si="4"/>
        <v>797964.53401180741</v>
      </c>
      <c r="F40" s="55">
        <v>127000</v>
      </c>
      <c r="G40" s="48">
        <v>418</v>
      </c>
      <c r="H40" s="48">
        <v>117.99999969999999</v>
      </c>
      <c r="I40" s="50">
        <v>0.28229664999999998</v>
      </c>
      <c r="J40" s="52">
        <f t="array" ref="J40">G_0*(1-Sum_of_Gs+SUM(Gamma*Tau^2*E40^2/(1+Tau^2*E40^2)))</f>
        <v>184.69388302344058</v>
      </c>
      <c r="K40" s="52">
        <f t="array" ref="K40">G_0*SUM(Gamma*Tau*E40/(1+Tau^2*E40^2))</f>
        <v>94.22098164743673</v>
      </c>
      <c r="L40" s="13">
        <f t="shared" si="5"/>
        <v>0.31152986549460882</v>
      </c>
      <c r="M40" s="13">
        <f t="shared" si="6"/>
        <v>4.0609142661538138E-2</v>
      </c>
      <c r="AA40">
        <f t="shared" si="1"/>
        <v>0.51014673634577601</v>
      </c>
    </row>
    <row r="41" spans="3:27" x14ac:dyDescent="0.25">
      <c r="C41" s="6"/>
      <c r="E41">
        <f t="shared" si="4"/>
        <v>1495398.1031087416</v>
      </c>
      <c r="F41" s="55">
        <v>238000</v>
      </c>
      <c r="G41" s="48">
        <v>461</v>
      </c>
      <c r="H41" s="48">
        <v>117.00000210000002</v>
      </c>
      <c r="I41" s="50">
        <v>0.25379610000000002</v>
      </c>
      <c r="J41" s="52">
        <f t="array" ref="J41">G_0*(1-Sum_of_Gs+SUM(Gamma*Tau^2*E41^2/(1+Tau^2*E41^2)))</f>
        <v>229.55703744507946</v>
      </c>
      <c r="K41" s="52">
        <f t="array" ref="K41">G_0*SUM(Gamma*Tau*E41/(1+Tau^2*E41^2))</f>
        <v>104.63087428389332</v>
      </c>
      <c r="L41" s="13">
        <f t="shared" si="5"/>
        <v>0.25204965587494099</v>
      </c>
      <c r="M41" s="13">
        <f t="shared" si="6"/>
        <v>1.1176515263280349E-2</v>
      </c>
      <c r="AA41">
        <f t="shared" si="1"/>
        <v>0.45579467067711138</v>
      </c>
    </row>
    <row r="42" spans="3:27" x14ac:dyDescent="0.25">
      <c r="C42" s="6"/>
      <c r="E42">
        <f t="shared" si="4"/>
        <v>3141592.653589793</v>
      </c>
      <c r="F42" s="55">
        <v>500000</v>
      </c>
      <c r="G42" s="48">
        <v>501</v>
      </c>
      <c r="H42" s="48">
        <v>115.00000092000001</v>
      </c>
      <c r="I42" s="50">
        <v>0.22954092000000001</v>
      </c>
      <c r="J42" s="52">
        <f t="array" ref="J42">G_0*(1-Sum_of_Gs+SUM(Gamma*Tau^2*E42^2/(1+Tau^2*E42^2)))</f>
        <v>276.54764231685573</v>
      </c>
      <c r="K42" s="52">
        <f t="array" ref="K42">G_0*SUM(Gamma*Tau*E42/(1+Tau^2*E42^2))</f>
        <v>116.28717961670328</v>
      </c>
      <c r="L42" s="13">
        <f t="shared" si="5"/>
        <v>0.20071179345708634</v>
      </c>
      <c r="M42" s="13">
        <f t="shared" si="6"/>
        <v>1.2528007340169834E-4</v>
      </c>
      <c r="AA42">
        <f t="shared" si="1"/>
        <v>0.42049600800236336</v>
      </c>
    </row>
    <row r="43" spans="3:27" ht="15.75" thickBot="1" x14ac:dyDescent="0.3">
      <c r="C43" s="6"/>
      <c r="E43">
        <f t="shared" si="4"/>
        <v>4988849.1339005912</v>
      </c>
      <c r="F43" s="56">
        <v>794000</v>
      </c>
      <c r="G43" s="49">
        <v>530</v>
      </c>
      <c r="H43" s="49">
        <v>113.0000015</v>
      </c>
      <c r="I43" s="51">
        <v>0.21320755</v>
      </c>
      <c r="J43" s="52">
        <f t="array" ref="J43">G_0*(1-Sum_of_Gs+SUM(Gamma*Tau^2*E43^2/(1+Tau^2*E43^2)))</f>
        <v>312.66610228469079</v>
      </c>
      <c r="K43" s="52">
        <f t="array" ref="K43">G_0*SUM(Gamma*Tau*E43/(1+Tau^2*E43^2))</f>
        <v>132.78857739978955</v>
      </c>
      <c r="L43" s="13">
        <f t="shared" si="5"/>
        <v>0.1681524496124189</v>
      </c>
      <c r="M43" s="13">
        <f t="shared" si="6"/>
        <v>3.0667062866755235E-2</v>
      </c>
      <c r="AA43">
        <f t="shared" si="1"/>
        <v>0.42469770924793765</v>
      </c>
    </row>
    <row r="44" spans="3:27" x14ac:dyDescent="0.25">
      <c r="C44" s="6"/>
      <c r="E44" s="57">
        <f t="shared" si="4"/>
        <v>62831853.071795866</v>
      </c>
      <c r="F44" s="30">
        <v>10000000</v>
      </c>
      <c r="G44" s="32"/>
      <c r="H44" s="32"/>
      <c r="I44" s="32"/>
      <c r="J44" s="28">
        <f t="array" ref="J44">G_0*(1-Sum_of_Gs+SUM(Gamma*Tau^2*E44^2/(1+Tau^2*E44^2)))</f>
        <v>523.41957859777199</v>
      </c>
      <c r="K44" s="28">
        <f t="array" ref="K44">G_0*SUM(Gamma*Tau*E44/(1+Tau^2*E44^2))</f>
        <v>43.353378803298313</v>
      </c>
      <c r="L44" s="32"/>
      <c r="M44" s="32"/>
      <c r="AA44">
        <f t="shared" si="1"/>
        <v>8.2827201304622455E-2</v>
      </c>
    </row>
    <row r="45" spans="3:27" x14ac:dyDescent="0.25">
      <c r="C45" s="6"/>
      <c r="E45" s="57">
        <f t="shared" si="4"/>
        <v>628318530.71795857</v>
      </c>
      <c r="F45" s="30">
        <v>100000000</v>
      </c>
      <c r="G45" s="32"/>
      <c r="H45" s="32"/>
      <c r="I45" s="32"/>
      <c r="J45" s="28">
        <f t="array" ref="J45">G_0*(1-Sum_of_Gs+SUM(Gamma*Tau^2*E45^2/(1+Tau^2*E45^2)))</f>
        <v>529.93255440242865</v>
      </c>
      <c r="K45" s="28">
        <f t="array" ref="K45">G_0*SUM(Gamma*Tau*E45/(1+Tau^2*E45^2))</f>
        <v>4.4385166585283837</v>
      </c>
      <c r="L45" s="32"/>
      <c r="M45" s="32"/>
      <c r="AA45">
        <f>K45/J45</f>
        <v>8.3756255803786525E-3</v>
      </c>
    </row>
    <row r="46" spans="3:27" x14ac:dyDescent="0.25">
      <c r="C46" s="6"/>
      <c r="K46"/>
      <c r="L46"/>
    </row>
    <row r="47" spans="3:27" x14ac:dyDescent="0.25">
      <c r="C47" s="6"/>
      <c r="K47" s="11" t="s">
        <v>9</v>
      </c>
      <c r="L47" s="26">
        <f>SUM(L6:L43)</f>
        <v>17.356388705875801</v>
      </c>
      <c r="M47" s="26">
        <f>SUM(M6:M43)</f>
        <v>68.63543123345498</v>
      </c>
    </row>
    <row r="48" spans="3:27" x14ac:dyDescent="0.25">
      <c r="C48" s="6"/>
      <c r="K48" s="19" t="s">
        <v>24</v>
      </c>
      <c r="L48">
        <v>1</v>
      </c>
      <c r="M48">
        <v>1</v>
      </c>
    </row>
    <row r="49" spans="3:13" x14ac:dyDescent="0.25">
      <c r="C49" s="6"/>
      <c r="K49" s="19" t="s">
        <v>25</v>
      </c>
      <c r="L49" s="69">
        <f>Gs_Error*L48+Gl_Error*M48</f>
        <v>85.991819939330782</v>
      </c>
      <c r="M49" s="69"/>
    </row>
    <row r="50" spans="3:13" x14ac:dyDescent="0.25">
      <c r="C50" s="6"/>
      <c r="K50"/>
      <c r="L50"/>
    </row>
    <row r="51" spans="3:13" x14ac:dyDescent="0.25">
      <c r="C51" s="6"/>
      <c r="E51" s="32"/>
      <c r="F51" s="32" t="s">
        <v>180</v>
      </c>
      <c r="G51" s="32"/>
      <c r="H51" s="32"/>
      <c r="I51" s="32"/>
      <c r="J51" s="32"/>
      <c r="K51" s="32"/>
      <c r="L51"/>
    </row>
    <row r="52" spans="3:13" x14ac:dyDescent="0.25">
      <c r="C52" s="6"/>
      <c r="K52"/>
      <c r="L52"/>
    </row>
    <row r="53" spans="3:13" x14ac:dyDescent="0.25">
      <c r="C53" s="6"/>
      <c r="K53"/>
      <c r="L53"/>
    </row>
    <row r="54" spans="3:13" x14ac:dyDescent="0.25">
      <c r="C54" s="6"/>
      <c r="K54"/>
      <c r="L54"/>
    </row>
    <row r="55" spans="3:13" x14ac:dyDescent="0.25">
      <c r="C55" s="6"/>
      <c r="L55"/>
    </row>
    <row r="56" spans="3:13" x14ac:dyDescent="0.25">
      <c r="C56" s="6"/>
    </row>
  </sheetData>
  <mergeCells count="3">
    <mergeCell ref="C2:D2"/>
    <mergeCell ref="F2:H2"/>
    <mergeCell ref="L49:M4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1"/>
  <sheetViews>
    <sheetView zoomScale="90" zoomScaleNormal="90" workbookViewId="0">
      <selection activeCell="F51" sqref="F51"/>
    </sheetView>
  </sheetViews>
  <sheetFormatPr defaultRowHeight="15" x14ac:dyDescent="0.25"/>
  <cols>
    <col min="1" max="1" width="4.85546875" customWidth="1"/>
    <col min="2" max="2" width="8.7109375" customWidth="1"/>
    <col min="3" max="3" width="11" customWidth="1"/>
    <col min="4" max="4" width="10.5703125" customWidth="1"/>
    <col min="5" max="5" width="10.140625" customWidth="1"/>
    <col min="6" max="8" width="12.7109375" customWidth="1"/>
    <col min="9" max="9" width="11.7109375" customWidth="1"/>
    <col min="10" max="12" width="11.7109375" style="1" customWidth="1"/>
    <col min="13" max="13" width="11.7109375" customWidth="1"/>
    <col min="14" max="14" width="9.7109375" customWidth="1"/>
    <col min="15" max="15" width="10.42578125" customWidth="1"/>
    <col min="16" max="16" width="8.5703125" customWidth="1"/>
    <col min="17" max="17" width="8.85546875" customWidth="1"/>
    <col min="27" max="27" width="10.42578125" customWidth="1"/>
  </cols>
  <sheetData>
    <row r="1" spans="1:27" ht="15.75" thickBot="1" x14ac:dyDescent="0.3"/>
    <row r="2" spans="1:27" ht="24.95" customHeight="1" x14ac:dyDescent="0.35">
      <c r="C2" s="66" t="s">
        <v>6</v>
      </c>
      <c r="D2" s="66"/>
      <c r="F2" s="67" t="s">
        <v>5</v>
      </c>
      <c r="G2" s="68"/>
      <c r="H2" s="68"/>
      <c r="I2" s="39"/>
      <c r="J2" s="24" t="s">
        <v>7</v>
      </c>
      <c r="K2" s="24"/>
      <c r="L2" s="14"/>
      <c r="N2" s="9"/>
      <c r="O2" s="6"/>
      <c r="P2" s="24" t="s">
        <v>4</v>
      </c>
      <c r="R2" s="2"/>
    </row>
    <row r="3" spans="1:27" ht="36.75" customHeight="1" x14ac:dyDescent="0.25">
      <c r="A3" s="63" t="s">
        <v>21</v>
      </c>
      <c r="B3" s="62" t="s">
        <v>19</v>
      </c>
      <c r="C3" s="62" t="s">
        <v>11</v>
      </c>
      <c r="D3" s="62" t="s">
        <v>10</v>
      </c>
      <c r="E3" s="4" t="s">
        <v>17</v>
      </c>
      <c r="F3" s="20" t="s">
        <v>13</v>
      </c>
      <c r="G3" s="8" t="s">
        <v>14</v>
      </c>
      <c r="H3" s="8" t="s">
        <v>16</v>
      </c>
      <c r="I3" s="40" t="s">
        <v>15</v>
      </c>
      <c r="J3" s="12" t="s">
        <v>0</v>
      </c>
      <c r="K3" s="10" t="s">
        <v>1</v>
      </c>
      <c r="L3" s="10" t="s">
        <v>8</v>
      </c>
      <c r="M3" s="10" t="s">
        <v>23</v>
      </c>
      <c r="N3" s="7"/>
      <c r="O3" s="7"/>
      <c r="P3" s="12" t="s">
        <v>2</v>
      </c>
      <c r="Q3" s="3" t="s">
        <v>3</v>
      </c>
      <c r="AA3" t="s">
        <v>15</v>
      </c>
    </row>
    <row r="4" spans="1:27" x14ac:dyDescent="0.25">
      <c r="A4">
        <v>1</v>
      </c>
      <c r="B4" s="36"/>
      <c r="C4" s="65">
        <v>0.18706</v>
      </c>
      <c r="D4" s="64">
        <v>1.26E-6</v>
      </c>
      <c r="E4" s="17">
        <f t="shared" ref="E4:E22" si="0">F4*2*PI()</f>
        <v>6.2831853071795866E-3</v>
      </c>
      <c r="F4" s="38">
        <v>1E-3</v>
      </c>
      <c r="G4" s="27"/>
      <c r="H4" s="27"/>
      <c r="I4" s="41"/>
      <c r="J4" s="28">
        <f t="array" ref="J4">G_0*(1-Sum_of_Gs+SUM(Gamma*Tau^2*E4^2/(1+Tau^2*E4^2)))</f>
        <v>4.8323345271910636</v>
      </c>
      <c r="K4" s="31">
        <f t="array" ref="K4">G_0*SUM(Gamma*Tau*E4/(1+Tau^2*E4^2))</f>
        <v>4.4723356314845851E-3</v>
      </c>
      <c r="L4" s="29"/>
      <c r="M4" s="29"/>
      <c r="N4" s="6"/>
      <c r="O4" s="6"/>
      <c r="P4" s="5">
        <v>0</v>
      </c>
      <c r="Q4">
        <f t="array" ref="Q4">1-SUM(Gamma*(1-EXP(-P4/Tau)))</f>
        <v>1</v>
      </c>
      <c r="AA4">
        <f>K4/J4</f>
        <v>9.2550207489138002E-4</v>
      </c>
    </row>
    <row r="5" spans="1:27" x14ac:dyDescent="0.25">
      <c r="A5">
        <v>2</v>
      </c>
      <c r="B5" s="36"/>
      <c r="C5" s="65">
        <v>0.15840000000000001</v>
      </c>
      <c r="D5" s="34">
        <v>2.9399999999999998E-6</v>
      </c>
      <c r="E5" s="17">
        <f t="shared" si="0"/>
        <v>6.2831853071795868E-2</v>
      </c>
      <c r="F5" s="38">
        <v>0.01</v>
      </c>
      <c r="G5" s="27"/>
      <c r="H5" s="27"/>
      <c r="I5" s="41"/>
      <c r="J5" s="28">
        <f t="array" ref="J5">G_0*(1-Sum_of_Gs+SUM(Gamma*Tau^2*E5^2/(1+Tau^2*E5^2)))</f>
        <v>4.8398678884877624</v>
      </c>
      <c r="K5" s="31">
        <f t="array" ref="K5">G_0*SUM(Gamma*Tau*E5/(1+Tau^2*E5^2))</f>
        <v>4.0571573773767418E-2</v>
      </c>
      <c r="L5" s="29"/>
      <c r="M5" s="29"/>
      <c r="N5" s="6"/>
      <c r="O5" s="6"/>
      <c r="P5" s="60">
        <v>9.9999999999999994E-12</v>
      </c>
      <c r="Q5">
        <f t="array" ref="Q5">1-SUM(Gamma*(1-EXP(-P5/Tau)))</f>
        <v>0.9999976526074168</v>
      </c>
      <c r="AA5">
        <f t="shared" ref="AA5:AA45" si="1">K5/J5</f>
        <v>8.3827853793844321E-3</v>
      </c>
    </row>
    <row r="6" spans="1:27" x14ac:dyDescent="0.25">
      <c r="A6">
        <v>3</v>
      </c>
      <c r="B6" s="36"/>
      <c r="C6" s="65">
        <v>0.13761000000000001</v>
      </c>
      <c r="D6" s="34">
        <v>6.8700000000000003E-6</v>
      </c>
      <c r="E6" s="34">
        <f t="shared" si="0"/>
        <v>0.49888491339005914</v>
      </c>
      <c r="F6" s="35">
        <v>7.9399999999999998E-2</v>
      </c>
      <c r="G6" s="47">
        <v>2.08</v>
      </c>
      <c r="H6" s="48">
        <v>0.182</v>
      </c>
      <c r="I6" s="50">
        <v>8.7499999999999994E-2</v>
      </c>
      <c r="J6" s="16">
        <f t="array" ref="J6">G_0*(1-Sum_of_Gs+SUM(Gamma*Tau^2*E6^2/(1+Tau^2*E6^2)))</f>
        <v>4.9086062764631757</v>
      </c>
      <c r="K6" s="16">
        <f t="array" ref="K6">G_0*SUM(Gamma*Tau*E6/(1+Tau^2*E6^2))</f>
        <v>0.20440901990991464</v>
      </c>
      <c r="L6" s="13">
        <f>(1-J6/G6)^2</f>
        <v>1.8493466778954486</v>
      </c>
      <c r="M6" s="13">
        <f>(1-K6/H6)^2</f>
        <v>1.5160130821245964E-2</v>
      </c>
      <c r="N6" s="6"/>
      <c r="O6" s="6"/>
      <c r="P6" s="60">
        <v>1E-10</v>
      </c>
      <c r="Q6">
        <f t="array" ref="Q6">1-SUM(Gamma*(1-EXP(-P6/Tau)))</f>
        <v>0.99997652670255666</v>
      </c>
      <c r="AA6">
        <f t="shared" si="1"/>
        <v>4.1642985482469488E-2</v>
      </c>
    </row>
    <row r="7" spans="1:27" x14ac:dyDescent="0.25">
      <c r="A7">
        <v>4</v>
      </c>
      <c r="B7" s="36"/>
      <c r="C7" s="65">
        <v>0.12378</v>
      </c>
      <c r="D7" s="34">
        <v>1.5999999999999999E-5</v>
      </c>
      <c r="E7" s="34">
        <f t="shared" si="0"/>
        <v>0.99902646384155425</v>
      </c>
      <c r="F7" s="35">
        <v>0.159</v>
      </c>
      <c r="G7" s="47">
        <v>2.12</v>
      </c>
      <c r="H7" s="48">
        <v>0.31599999200000006</v>
      </c>
      <c r="I7" s="50">
        <v>0.14905660000000001</v>
      </c>
      <c r="J7" s="16">
        <f t="array" ref="J7">G_0*(1-Sum_of_Gs+SUM(Gamma*Tau^2*E7^2/(1+Tau^2*E7^2)))</f>
        <v>4.9712562025926603</v>
      </c>
      <c r="K7" s="16">
        <f t="array" ref="K7">G_0*SUM(Gamma*Tau*E7/(1+Tau^2*E7^2))</f>
        <v>0.34141777535783446</v>
      </c>
      <c r="L7" s="13">
        <f t="shared" ref="L7:M31" si="2">(1-J7/G7)^2</f>
        <v>1.8088425446829641</v>
      </c>
      <c r="M7" s="13">
        <f t="shared" si="2"/>
        <v>6.469954169382815E-3</v>
      </c>
      <c r="N7" s="6"/>
      <c r="O7" s="6"/>
      <c r="P7" s="61">
        <v>1.0000000000000001E-9</v>
      </c>
      <c r="Q7">
        <f t="array" ref="Q7">1-SUM(Gamma*(1-EXP(-P7/Tau)))</f>
        <v>0.99976532984959865</v>
      </c>
      <c r="AA7">
        <f t="shared" si="1"/>
        <v>6.8678370505180317E-2</v>
      </c>
    </row>
    <row r="8" spans="1:27" x14ac:dyDescent="0.25">
      <c r="A8">
        <v>5</v>
      </c>
      <c r="B8" s="36"/>
      <c r="C8" s="65">
        <v>0.11283</v>
      </c>
      <c r="D8" s="34">
        <v>3.7499999999999997E-5</v>
      </c>
      <c r="E8" s="34">
        <f t="shared" si="0"/>
        <v>1.4953981031087415</v>
      </c>
      <c r="F8" s="35">
        <v>0.23799999999999999</v>
      </c>
      <c r="G8" s="47">
        <v>2.17</v>
      </c>
      <c r="H8" s="48">
        <v>0.44100000769999997</v>
      </c>
      <c r="I8" s="50">
        <v>0.20322581000000001</v>
      </c>
      <c r="J8" s="16">
        <f t="array" ref="J8">G_0*(1-Sum_of_Gs+SUM(Gamma*Tau^2*E8^2/(1+Tau^2*E8^2)))</f>
        <v>5.0268301178219756</v>
      </c>
      <c r="K8" s="16">
        <f t="array" ref="K8">G_0*SUM(Gamma*Tau*E8/(1+Tau^2*E8^2))</f>
        <v>0.45829430363538581</v>
      </c>
      <c r="L8" s="13">
        <f t="shared" si="2"/>
        <v>1.7332027271963137</v>
      </c>
      <c r="M8" s="13">
        <f t="shared" si="2"/>
        <v>1.5379017048256518E-3</v>
      </c>
      <c r="N8" s="6"/>
      <c r="O8" s="6"/>
      <c r="P8" s="60">
        <v>1E-8</v>
      </c>
      <c r="Q8">
        <f t="array" ref="Q8">1-SUM(Gamma*(1-EXP(-P8/Tau)))</f>
        <v>0.99765956605058381</v>
      </c>
      <c r="AA8">
        <f t="shared" si="1"/>
        <v>9.1169642278254581E-2</v>
      </c>
    </row>
    <row r="9" spans="1:27" x14ac:dyDescent="0.25">
      <c r="A9">
        <v>6</v>
      </c>
      <c r="B9" s="36"/>
      <c r="C9" s="65">
        <v>9.8683999999999994E-2</v>
      </c>
      <c r="D9" s="34">
        <v>8.7499999999999999E-5</v>
      </c>
      <c r="E9" s="34">
        <f t="shared" si="0"/>
        <v>1.9980529276831085</v>
      </c>
      <c r="F9" s="35">
        <v>0.318</v>
      </c>
      <c r="G9" s="47">
        <v>2.2200000000000002</v>
      </c>
      <c r="H9" s="48">
        <v>0.55500000000000005</v>
      </c>
      <c r="I9" s="50">
        <v>0.25</v>
      </c>
      <c r="J9" s="16">
        <f t="array" ref="J9">G_0*(1-Sum_of_Gs+SUM(Gamma*Tau^2*E9^2/(1+Tau^2*E9^2)))</f>
        <v>5.0791061224260581</v>
      </c>
      <c r="K9" s="16">
        <f t="array" ref="K9">G_0*SUM(Gamma*Tau*E9/(1+Tau^2*E9^2))</f>
        <v>0.56517612549021212</v>
      </c>
      <c r="L9" s="13">
        <f t="shared" si="2"/>
        <v>1.6586494236048548</v>
      </c>
      <c r="M9" s="13">
        <f t="shared" si="2"/>
        <v>3.3618547193424214E-4</v>
      </c>
      <c r="N9" s="6"/>
      <c r="O9" s="6"/>
      <c r="P9" s="61">
        <v>9.9999999999999995E-8</v>
      </c>
      <c r="Q9">
        <f t="array" ref="Q9">1-SUM(Gamma*(1-EXP(-P9/Tau)))</f>
        <v>0.9772078458197121</v>
      </c>
      <c r="AA9">
        <f t="shared" si="1"/>
        <v>0.11127472273019828</v>
      </c>
    </row>
    <row r="10" spans="1:27" x14ac:dyDescent="0.25">
      <c r="A10">
        <v>7</v>
      </c>
      <c r="B10" s="36"/>
      <c r="C10" s="65">
        <v>7.5818999999999998E-2</v>
      </c>
      <c r="D10" s="34">
        <v>2.04E-4</v>
      </c>
      <c r="E10" s="34">
        <f t="shared" si="0"/>
        <v>2.9970793915246623</v>
      </c>
      <c r="F10" s="35">
        <v>0.47699999999999998</v>
      </c>
      <c r="G10" s="47">
        <v>2.33</v>
      </c>
      <c r="H10" s="48">
        <v>0.751000008</v>
      </c>
      <c r="I10" s="50">
        <v>0.32231759999999998</v>
      </c>
      <c r="J10" s="16">
        <f t="array" ref="J10">G_0*(1-Sum_of_Gs+SUM(Gamma*Tau^2*E10^2/(1+Tau^2*E10^2)))</f>
        <v>5.1749885723801237</v>
      </c>
      <c r="K10" s="16">
        <f t="array" ref="K10">G_0*SUM(Gamma*Tau*E10/(1+Tau^2*E10^2))</f>
        <v>0.75550078576306456</v>
      </c>
      <c r="L10" s="13">
        <f t="shared" si="2"/>
        <v>1.490902388508444</v>
      </c>
      <c r="M10" s="13">
        <f t="shared" si="2"/>
        <v>3.5916603057304451E-5</v>
      </c>
      <c r="N10" s="6"/>
      <c r="O10" s="6"/>
      <c r="P10" s="60">
        <v>9.9999999999999995E-7</v>
      </c>
      <c r="Q10">
        <f t="array" ref="Q10">1-SUM(Gamma*(1-EXP(-P10/Tau)))</f>
        <v>0.821127428544423</v>
      </c>
      <c r="AA10">
        <f t="shared" si="1"/>
        <v>0.14599081238465197</v>
      </c>
    </row>
    <row r="11" spans="1:27" x14ac:dyDescent="0.25">
      <c r="A11">
        <v>8</v>
      </c>
      <c r="B11" s="36"/>
      <c r="C11" s="65">
        <v>4.7521000000000001E-2</v>
      </c>
      <c r="D11" s="34">
        <v>4.7800000000000002E-4</v>
      </c>
      <c r="E11" s="34">
        <f t="shared" si="0"/>
        <v>4.988849133900592</v>
      </c>
      <c r="F11" s="35">
        <v>0.79400000000000004</v>
      </c>
      <c r="G11" s="47">
        <v>2.5099999999999998</v>
      </c>
      <c r="H11" s="48">
        <v>1.0799999887999998</v>
      </c>
      <c r="I11" s="50">
        <v>0.43027887999999997</v>
      </c>
      <c r="J11" s="16">
        <f t="array" ref="J11">G_0*(1-Sum_of_Gs+SUM(Gamma*Tau^2*E11^2/(1+Tau^2*E11^2)))</f>
        <v>5.3457558982289273</v>
      </c>
      <c r="K11" s="16">
        <f t="array" ref="K11">G_0*SUM(Gamma*Tau*E11/(1+Tau^2*E11^2))</f>
        <v>1.0823890490213095</v>
      </c>
      <c r="L11" s="13">
        <f t="shared" si="2"/>
        <v>1.2764101386232207</v>
      </c>
      <c r="M11" s="13">
        <f t="shared" si="2"/>
        <v>4.8933546462829289E-6</v>
      </c>
      <c r="N11" s="6"/>
      <c r="O11" s="6"/>
      <c r="P11" s="61">
        <v>1.0000000000000001E-5</v>
      </c>
      <c r="Q11">
        <f t="array" ref="Q11">1-SUM(Gamma*(1-EXP(-P11/Tau)))</f>
        <v>0.45489610062643127</v>
      </c>
      <c r="AA11">
        <f t="shared" si="1"/>
        <v>0.20247633255755465</v>
      </c>
    </row>
    <row r="12" spans="1:27" x14ac:dyDescent="0.25">
      <c r="A12">
        <v>9</v>
      </c>
      <c r="B12" s="36"/>
      <c r="C12" s="65">
        <v>2.4476999999999999E-2</v>
      </c>
      <c r="D12" s="34">
        <v>1.1199999999999999E-3</v>
      </c>
      <c r="E12" s="34">
        <f t="shared" si="0"/>
        <v>7.9796453401180747</v>
      </c>
      <c r="F12" s="35">
        <v>1.27</v>
      </c>
      <c r="G12" s="47">
        <v>2.74</v>
      </c>
      <c r="H12" s="48">
        <v>1.4899999988000001</v>
      </c>
      <c r="I12" s="50">
        <v>0.54379562000000004</v>
      </c>
      <c r="J12" s="16">
        <f t="array" ref="J12">G_0*(1-Sum_of_Gs+SUM(Gamma*Tau^2*E12^2/(1+Tau^2*E12^2)))</f>
        <v>5.5709601660585628</v>
      </c>
      <c r="K12" s="16">
        <f t="array" ref="K12">G_0*SUM(Gamma*Tau*E12/(1+Tau^2*E12^2))</f>
        <v>1.5000175563358338</v>
      </c>
      <c r="L12" s="13">
        <f t="shared" si="2"/>
        <v>1.0674963319583257</v>
      </c>
      <c r="M12" s="13">
        <f t="shared" si="2"/>
        <v>4.5201323879725458E-5</v>
      </c>
      <c r="N12" s="6"/>
      <c r="O12" s="6"/>
      <c r="P12" s="60">
        <v>1E-4</v>
      </c>
      <c r="Q12">
        <f t="array" ref="Q12">1-SUM(Gamma*(1-EXP(-P12/Tau)))</f>
        <v>0.18018235656768589</v>
      </c>
      <c r="AA12">
        <f t="shared" si="1"/>
        <v>0.26925655750956329</v>
      </c>
    </row>
    <row r="13" spans="1:27" x14ac:dyDescent="0.25">
      <c r="A13">
        <v>10</v>
      </c>
      <c r="B13" s="36"/>
      <c r="C13" s="65">
        <v>1.1651E-2</v>
      </c>
      <c r="D13" s="34">
        <v>2.6099999999999999E-3</v>
      </c>
      <c r="E13" s="34">
        <f t="shared" si="0"/>
        <v>12.503538761287377</v>
      </c>
      <c r="F13" s="35">
        <v>1.99</v>
      </c>
      <c r="G13" s="47">
        <v>3.04</v>
      </c>
      <c r="H13" s="48">
        <v>2.0099999984000001</v>
      </c>
      <c r="I13" s="50">
        <v>0.66118421000000005</v>
      </c>
      <c r="J13" s="16">
        <f t="array" ref="J13">G_0*(1-Sum_of_Gs+SUM(Gamma*Tau^2*E13^2/(1+Tau^2*E13^2)))</f>
        <v>5.8692418681666121</v>
      </c>
      <c r="K13" s="16">
        <f t="array" ref="K13">G_0*SUM(Gamma*Tau*E13/(1+Tau^2*E13^2))</f>
        <v>2.0417659037787876</v>
      </c>
      <c r="L13" s="13">
        <f t="shared" si="2"/>
        <v>0.86614975205450351</v>
      </c>
      <c r="M13" s="13">
        <f t="shared" si="2"/>
        <v>2.4976429943332354E-4</v>
      </c>
      <c r="N13" s="6"/>
      <c r="O13" s="6"/>
      <c r="P13" s="61">
        <v>1E-3</v>
      </c>
      <c r="Q13">
        <f t="array" ref="Q13">1-SUM(Gamma*(1-EXP(-P13/Tau)))</f>
        <v>4.5390507442138128E-2</v>
      </c>
      <c r="AA13">
        <f t="shared" si="1"/>
        <v>0.3478755773983086</v>
      </c>
    </row>
    <row r="14" spans="1:27" x14ac:dyDescent="0.25">
      <c r="A14">
        <v>11</v>
      </c>
      <c r="B14" s="36"/>
      <c r="C14" s="65">
        <v>5.8276999999999999E-3</v>
      </c>
      <c r="D14" s="34">
        <v>6.0800000000000003E-3</v>
      </c>
      <c r="E14" s="34">
        <f t="shared" si="0"/>
        <v>19.980529276831085</v>
      </c>
      <c r="F14" s="35">
        <v>3.18</v>
      </c>
      <c r="G14" s="47">
        <v>3.46</v>
      </c>
      <c r="H14" s="48">
        <v>2.7500000074000002</v>
      </c>
      <c r="I14" s="50">
        <v>0.79479769</v>
      </c>
      <c r="J14" s="16">
        <f t="array" ref="J14">G_0*(1-Sum_of_Gs+SUM(Gamma*Tau^2*E14^2/(1+Tau^2*E14^2)))</f>
        <v>6.2967675679677244</v>
      </c>
      <c r="K14" s="16">
        <f t="array" ref="K14">G_0*SUM(Gamma*Tau*E14/(1+Tau^2*E14^2))</f>
        <v>2.809433203050276</v>
      </c>
      <c r="L14" s="13">
        <f t="shared" si="2"/>
        <v>0.67219504783600492</v>
      </c>
      <c r="M14" s="13">
        <f t="shared" si="2"/>
        <v>4.6708161668678003E-4</v>
      </c>
      <c r="N14" s="6"/>
      <c r="O14" s="5"/>
      <c r="P14" s="60">
        <v>0.01</v>
      </c>
      <c r="Q14">
        <f t="array" ref="Q14">1-SUM(Gamma*(1-EXP(-P14/Tau)))</f>
        <v>1.5459374476663568E-2</v>
      </c>
      <c r="AA14">
        <f t="shared" si="1"/>
        <v>0.44617070151074639</v>
      </c>
    </row>
    <row r="15" spans="1:27" x14ac:dyDescent="0.25">
      <c r="A15">
        <v>12</v>
      </c>
      <c r="B15" s="36"/>
      <c r="C15" s="65">
        <v>3.1949000000000001E-3</v>
      </c>
      <c r="D15" s="34">
        <v>1.4200000000000001E-2</v>
      </c>
      <c r="E15" s="34">
        <f t="shared" si="0"/>
        <v>35.311501426349274</v>
      </c>
      <c r="F15" s="35">
        <v>5.62</v>
      </c>
      <c r="G15" s="47">
        <v>4.1399999999999997</v>
      </c>
      <c r="H15" s="48">
        <v>3.9800000123999997</v>
      </c>
      <c r="I15" s="50">
        <v>0.96135265999999997</v>
      </c>
      <c r="J15" s="16">
        <f t="array" ref="J15">G_0*(1-Sum_of_Gs+SUM(Gamma*Tau^2*E15^2/(1+Tau^2*E15^2)))</f>
        <v>7.0394724584114101</v>
      </c>
      <c r="K15" s="16">
        <f t="array" ref="K15">G_0*SUM(Gamma*Tau*E15/(1+Tau^2*E15^2))</f>
        <v>4.1339783654904272</v>
      </c>
      <c r="L15" s="13">
        <f t="shared" si="2"/>
        <v>0.49049805929463419</v>
      </c>
      <c r="M15" s="13">
        <f t="shared" si="2"/>
        <v>1.4967635332885361E-3</v>
      </c>
      <c r="N15" s="6"/>
      <c r="O15" s="5"/>
      <c r="P15" s="61">
        <v>0.1</v>
      </c>
      <c r="Q15">
        <f t="array" ref="Q15">1-SUM(Gamma*(1-EXP(-P15/Tau)))</f>
        <v>1.0310961359480619E-2</v>
      </c>
      <c r="AA15">
        <f t="shared" si="1"/>
        <v>0.58725684203093498</v>
      </c>
    </row>
    <row r="16" spans="1:27" x14ac:dyDescent="0.25">
      <c r="A16">
        <v>13</v>
      </c>
      <c r="B16" s="36"/>
      <c r="C16" s="65">
        <v>1.8477000000000001E-3</v>
      </c>
      <c r="D16" s="34">
        <v>3.32E-2</v>
      </c>
      <c r="E16" s="34">
        <f t="shared" si="0"/>
        <v>49.888491339005917</v>
      </c>
      <c r="F16" s="35">
        <v>7.94</v>
      </c>
      <c r="G16" s="47">
        <v>4.79</v>
      </c>
      <c r="H16" s="48">
        <v>5.109999782</v>
      </c>
      <c r="I16" s="50">
        <v>1.0668058</v>
      </c>
      <c r="J16" s="16">
        <f t="array" ref="J16">G_0*(1-Sum_of_Gs+SUM(Gamma*Tau^2*E16^2/(1+Tau^2*E16^2)))</f>
        <v>7.6555906777228797</v>
      </c>
      <c r="K16" s="16">
        <f t="array" ref="K16">G_0*SUM(Gamma*Tau*E16/(1+Tau^2*E16^2))</f>
        <v>5.2255637375153849</v>
      </c>
      <c r="L16" s="13">
        <f t="shared" si="2"/>
        <v>0.35789636256171609</v>
      </c>
      <c r="M16" s="13">
        <f t="shared" si="2"/>
        <v>5.1144982417544206E-4</v>
      </c>
      <c r="N16" s="6"/>
      <c r="O16" s="5"/>
      <c r="P16" s="60">
        <v>1</v>
      </c>
      <c r="Q16">
        <f t="array" ref="Q16">1-SUM(Gamma*(1-EXP(-P16/Tau)))</f>
        <v>9.2985929787220423E-3</v>
      </c>
      <c r="AA16">
        <f t="shared" si="1"/>
        <v>0.68258139149488917</v>
      </c>
    </row>
    <row r="17" spans="1:27" x14ac:dyDescent="0.25">
      <c r="A17">
        <v>14</v>
      </c>
      <c r="B17" s="36"/>
      <c r="C17" s="65">
        <v>1.0526999999999999E-3</v>
      </c>
      <c r="D17" s="34">
        <v>7.7499999999999999E-2</v>
      </c>
      <c r="E17" s="34">
        <f t="shared" si="0"/>
        <v>79.796453401180742</v>
      </c>
      <c r="F17" s="35">
        <v>12.7</v>
      </c>
      <c r="G17" s="47">
        <v>5.84</v>
      </c>
      <c r="H17" s="48">
        <v>7.0900000240000001</v>
      </c>
      <c r="I17" s="50">
        <v>1.2140411</v>
      </c>
      <c r="J17" s="16">
        <f t="array" ref="J17">G_0*(1-Sum_of_Gs+SUM(Gamma*Tau^2*E17^2/(1+Tau^2*E17^2)))</f>
        <v>8.7795115420496312</v>
      </c>
      <c r="K17" s="16">
        <f t="array" ref="K17">G_0*SUM(Gamma*Tau*E17/(1+Tau^2*E17^2))</f>
        <v>7.1844244914504616</v>
      </c>
      <c r="L17" s="13">
        <f t="shared" si="2"/>
        <v>0.25335217987201514</v>
      </c>
      <c r="M17" s="13">
        <f t="shared" si="2"/>
        <v>1.7736854969536002E-4</v>
      </c>
      <c r="N17" s="6"/>
      <c r="O17" s="5"/>
      <c r="P17" s="61">
        <v>10</v>
      </c>
      <c r="Q17">
        <f t="array" ref="Q17">1-SUM(Gamma*(1-EXP(-P17/Tau)))</f>
        <v>9.1338967477678779E-3</v>
      </c>
      <c r="AA17">
        <f t="shared" si="1"/>
        <v>0.81831710762501186</v>
      </c>
    </row>
    <row r="18" spans="1:27" x14ac:dyDescent="0.25">
      <c r="A18">
        <v>15</v>
      </c>
      <c r="B18" s="36"/>
      <c r="C18" s="65">
        <v>5.6386999999999995E-4</v>
      </c>
      <c r="D18" s="34">
        <v>0.18099999999999999</v>
      </c>
      <c r="E18" s="34">
        <f t="shared" si="0"/>
        <v>141.37166941154069</v>
      </c>
      <c r="F18" s="35">
        <v>22.5</v>
      </c>
      <c r="G18" s="47">
        <v>7.62</v>
      </c>
      <c r="H18" s="48">
        <v>10.500000336000001</v>
      </c>
      <c r="I18" s="50">
        <v>1.3779528000000001</v>
      </c>
      <c r="J18" s="16">
        <f t="array" ref="J18">G_0*(1-Sum_of_Gs+SUM(Gamma*Tau^2*E18^2/(1+Tau^2*E18^2)))</f>
        <v>10.803674064475112</v>
      </c>
      <c r="K18" s="16">
        <f t="array" ref="K18">G_0*SUM(Gamma*Tau*E18/(1+Tau^2*E18^2))</f>
        <v>10.564710008426427</v>
      </c>
      <c r="L18" s="13">
        <f t="shared" si="2"/>
        <v>0.17456101412933711</v>
      </c>
      <c r="M18" s="13">
        <f t="shared" si="2"/>
        <v>3.7980421202225807E-5</v>
      </c>
      <c r="N18" s="6"/>
      <c r="O18" s="5"/>
      <c r="P18" s="60">
        <v>100</v>
      </c>
      <c r="Q18">
        <f t="array" ref="Q18">1-SUM(Gamma*(1-EXP(-P18/Tau)))</f>
        <v>9.1174214160533174E-3</v>
      </c>
      <c r="AA18">
        <f t="shared" si="1"/>
        <v>0.9778812231262648</v>
      </c>
    </row>
    <row r="19" spans="1:27" x14ac:dyDescent="0.25">
      <c r="A19">
        <v>16</v>
      </c>
      <c r="B19" s="36"/>
      <c r="C19" s="65">
        <v>2.8585999999999998E-4</v>
      </c>
      <c r="D19" s="34">
        <v>0.42299999999999999</v>
      </c>
      <c r="E19" s="34">
        <f t="shared" si="0"/>
        <v>222.42475987415733</v>
      </c>
      <c r="F19" s="35">
        <v>35.4</v>
      </c>
      <c r="G19" s="47">
        <v>9.84</v>
      </c>
      <c r="H19" s="48">
        <v>14.499999647999999</v>
      </c>
      <c r="I19" s="50">
        <v>1.4735772</v>
      </c>
      <c r="J19" s="16">
        <f t="array" ref="J19">G_0*(1-Sum_of_Gs+SUM(Gamma*Tau^2*E19^2/(1+Tau^2*E19^2)))</f>
        <v>13.186820224002767</v>
      </c>
      <c r="K19" s="16">
        <f t="array" ref="K19">G_0*SUM(Gamma*Tau*E19/(1+Tau^2*E19^2))</f>
        <v>14.271183961794485</v>
      </c>
      <c r="L19" s="13">
        <f t="shared" si="2"/>
        <v>0.11568433980056858</v>
      </c>
      <c r="M19" s="13">
        <f t="shared" si="2"/>
        <v>2.4902078856458681E-4</v>
      </c>
      <c r="N19" s="6"/>
      <c r="O19" s="5"/>
      <c r="P19" s="6"/>
      <c r="AA19">
        <f t="shared" si="1"/>
        <v>1.0822308728997418</v>
      </c>
    </row>
    <row r="20" spans="1:27" x14ac:dyDescent="0.25">
      <c r="A20">
        <v>17</v>
      </c>
      <c r="B20" s="36"/>
      <c r="C20" s="65">
        <v>1.4378000000000001E-4</v>
      </c>
      <c r="D20" s="34">
        <v>0.98799999999999999</v>
      </c>
      <c r="E20" s="34">
        <f t="shared" si="0"/>
        <v>376.99111843077515</v>
      </c>
      <c r="F20" s="35">
        <v>60</v>
      </c>
      <c r="G20" s="47">
        <v>13.2</v>
      </c>
      <c r="H20" s="48">
        <v>20.30000016</v>
      </c>
      <c r="I20" s="50">
        <v>1.5378788000000001</v>
      </c>
      <c r="J20" s="16">
        <f t="array" ref="J20">G_0*(1-Sum_of_Gs+SUM(Gamma*Tau^2*E20^2/(1+Tau^2*E20^2)))</f>
        <v>17.291720375169007</v>
      </c>
      <c r="K20" s="16">
        <f t="array" ref="K20">G_0*SUM(Gamma*Tau*E20/(1+Tau^2*E20^2))</f>
        <v>20.037408432207314</v>
      </c>
      <c r="L20" s="13">
        <f t="shared" si="2"/>
        <v>9.6086866555172248E-2</v>
      </c>
      <c r="M20" s="13">
        <f t="shared" si="2"/>
        <v>1.6732853119022783E-4</v>
      </c>
      <c r="N20" s="6"/>
      <c r="O20" s="5"/>
      <c r="P20" s="5"/>
      <c r="AA20">
        <f t="shared" si="1"/>
        <v>1.1587862860066329</v>
      </c>
    </row>
    <row r="21" spans="1:27" x14ac:dyDescent="0.25">
      <c r="A21">
        <v>18</v>
      </c>
      <c r="B21" s="36"/>
      <c r="C21" s="65">
        <v>7.4216999999999998E-5</v>
      </c>
      <c r="D21" s="34">
        <v>2.31</v>
      </c>
      <c r="E21" s="34">
        <f t="shared" si="0"/>
        <v>498.88491339005918</v>
      </c>
      <c r="F21" s="35">
        <v>79.400000000000006</v>
      </c>
      <c r="G21" s="47">
        <v>16.3</v>
      </c>
      <c r="H21" s="48">
        <v>24.500000249999999</v>
      </c>
      <c r="I21" s="50">
        <v>1.5030675</v>
      </c>
      <c r="J21" s="16">
        <f t="array" ref="J21">G_0*(1-Sum_of_Gs+SUM(Gamma*Tau^2*E21^2/(1+Tau^2*E21^2)))</f>
        <v>20.272606699861871</v>
      </c>
      <c r="K21" s="16">
        <f t="array" ref="K21">G_0*SUM(Gamma*Tau*E21/(1+Tau^2*E21^2))</f>
        <v>23.82411453803396</v>
      </c>
      <c r="L21" s="13">
        <f t="shared" si="2"/>
        <v>5.9398562203272331E-2</v>
      </c>
      <c r="M21" s="13">
        <f t="shared" si="2"/>
        <v>7.610520388453999E-4</v>
      </c>
      <c r="N21" s="6"/>
      <c r="O21" s="5"/>
      <c r="P21" s="6"/>
      <c r="AA21">
        <f t="shared" si="1"/>
        <v>1.1751875272259036</v>
      </c>
    </row>
    <row r="22" spans="1:27" x14ac:dyDescent="0.25">
      <c r="A22">
        <v>19</v>
      </c>
      <c r="B22" s="36"/>
      <c r="C22" s="65">
        <v>3.9113000000000003E-5</v>
      </c>
      <c r="D22" s="34">
        <v>5.39</v>
      </c>
      <c r="E22" s="34">
        <f t="shared" si="0"/>
        <v>628.31853071795865</v>
      </c>
      <c r="F22" s="35">
        <v>100</v>
      </c>
      <c r="G22" s="47">
        <v>19.399999999999999</v>
      </c>
      <c r="H22" s="48">
        <v>28.099999839999995</v>
      </c>
      <c r="I22" s="50">
        <v>1.4484535999999999</v>
      </c>
      <c r="J22" s="16">
        <f t="array" ref="J22">G_0*(1-Sum_of_Gs+SUM(Gamma*Tau^2*E22^2/(1+Tau^2*E22^2)))</f>
        <v>23.257850176687661</v>
      </c>
      <c r="K22" s="16">
        <f t="array" ref="K22">G_0*SUM(Gamma*Tau*E22/(1+Tau^2*E22^2))</f>
        <v>27.344895130791585</v>
      </c>
      <c r="L22" s="13">
        <f t="shared" si="2"/>
        <v>3.9544606190267374E-2</v>
      </c>
      <c r="M22" s="13">
        <f t="shared" si="2"/>
        <v>7.2210727873495378E-4</v>
      </c>
      <c r="N22" s="6"/>
      <c r="O22" s="5"/>
      <c r="P22" s="5"/>
      <c r="AA22">
        <f t="shared" si="1"/>
        <v>1.1757275467446491</v>
      </c>
    </row>
    <row r="23" spans="1:27" x14ac:dyDescent="0.25">
      <c r="A23">
        <v>20</v>
      </c>
      <c r="B23" s="36"/>
      <c r="C23" s="65">
        <v>2.0746000000000001E-5</v>
      </c>
      <c r="D23" s="34">
        <v>12.6</v>
      </c>
      <c r="E23" s="34">
        <f>F23*2*PI()</f>
        <v>1005.3096491487338</v>
      </c>
      <c r="F23" s="35">
        <v>160</v>
      </c>
      <c r="G23" s="47">
        <v>26.5</v>
      </c>
      <c r="H23" s="48">
        <v>35.775000000000006</v>
      </c>
      <c r="I23" s="50">
        <v>1.35</v>
      </c>
      <c r="J23" s="16">
        <f t="array" ref="J23">G_0*(1-Sum_of_Gs+SUM(Gamma*Tau^2*E23^2/(1+Tau^2*E23^2)))</f>
        <v>31.157940303390273</v>
      </c>
      <c r="K23" s="16">
        <f t="array" ref="K23">G_0*SUM(Gamma*Tau*E23/(1+Tau^2*E23^2))</f>
        <v>35.634601865252492</v>
      </c>
      <c r="L23" s="13">
        <f t="shared" si="2"/>
        <v>3.0895561224560272E-2</v>
      </c>
      <c r="M23" s="13">
        <f t="shared" si="2"/>
        <v>1.5401513157506726E-5</v>
      </c>
      <c r="N23" s="11"/>
      <c r="O23" s="5"/>
      <c r="P23" s="6"/>
      <c r="AA23">
        <f t="shared" si="1"/>
        <v>1.1436764278470331</v>
      </c>
    </row>
    <row r="24" spans="1:27" x14ac:dyDescent="0.25">
      <c r="E24" s="34">
        <f t="shared" ref="E24:E45" si="3">F24*2*PI()</f>
        <v>1495.3981031087415</v>
      </c>
      <c r="F24" s="33">
        <v>238</v>
      </c>
      <c r="G24" s="48">
        <v>34.4</v>
      </c>
      <c r="H24" s="48">
        <v>43.299998959999996</v>
      </c>
      <c r="I24" s="50">
        <v>1.2587208999999999</v>
      </c>
      <c r="J24" s="16">
        <f t="array" ref="J24">G_0*(1-Sum_of_Gs+SUM(Gamma*Tau^2*E24^2/(1+Tau^2*E24^2)))</f>
        <v>40.11931382704509</v>
      </c>
      <c r="K24" s="16">
        <f t="array" ref="K24">G_0*SUM(Gamma*Tau*E24/(1+Tau^2*E24^2))</f>
        <v>43.71114792786819</v>
      </c>
      <c r="L24" s="13">
        <f t="shared" si="2"/>
        <v>2.7642095940566859E-2</v>
      </c>
      <c r="M24" s="13">
        <f t="shared" si="2"/>
        <v>9.0161813172726603E-5</v>
      </c>
      <c r="N24" s="11"/>
      <c r="O24" s="5"/>
      <c r="P24" s="5"/>
      <c r="AA24">
        <f t="shared" si="1"/>
        <v>1.0895288019208789</v>
      </c>
    </row>
    <row r="25" spans="1:27" x14ac:dyDescent="0.25">
      <c r="B25" s="19" t="s">
        <v>22</v>
      </c>
      <c r="C25" s="21">
        <f>SUM(C4:C23)</f>
        <v>0.99088258600000001</v>
      </c>
      <c r="E25" s="34">
        <f t="shared" si="3"/>
        <v>1790.7078125461821</v>
      </c>
      <c r="F25" s="33">
        <v>285</v>
      </c>
      <c r="G25" s="48">
        <v>38.299999999999997</v>
      </c>
      <c r="H25" s="48">
        <v>46.725999999999992</v>
      </c>
      <c r="I25" s="50">
        <v>1.22</v>
      </c>
      <c r="J25" s="16">
        <f t="array" ref="J25">G_0*(1-Sum_of_Gs+SUM(Gamma*Tau^2*E25^2/(1+Tau^2*E25^2)))</f>
        <v>44.985403453642753</v>
      </c>
      <c r="K25" s="16">
        <f t="array" ref="K25">G_0*SUM(Gamma*Tau*E25/(1+Tau^2*E25^2))</f>
        <v>47.643885612739197</v>
      </c>
      <c r="L25" s="13">
        <f t="shared" si="2"/>
        <v>3.0468964501754393E-2</v>
      </c>
      <c r="M25" s="13">
        <f t="shared" si="2"/>
        <v>3.858867937970724E-4</v>
      </c>
      <c r="N25" s="11"/>
      <c r="O25" s="5"/>
      <c r="P25" s="6"/>
      <c r="AA25">
        <f t="shared" si="1"/>
        <v>1.0590965503251737</v>
      </c>
    </row>
    <row r="26" spans="1:27" x14ac:dyDescent="0.25">
      <c r="E26" s="34">
        <f t="shared" si="3"/>
        <v>2513.2741228718346</v>
      </c>
      <c r="F26" s="33">
        <v>400</v>
      </c>
      <c r="G26" s="48">
        <v>50.1</v>
      </c>
      <c r="H26" s="48">
        <v>57.300001260000002</v>
      </c>
      <c r="I26" s="50">
        <v>1.1437126</v>
      </c>
      <c r="J26" s="16">
        <f t="array" ref="J26">G_0*(1-Sum_of_Gs+SUM(Gamma*Tau^2*E26^2/(1+Tau^2*E26^2)))</f>
        <v>55.602648910185763</v>
      </c>
      <c r="K26" s="16">
        <f t="array" ref="K26">G_0*SUM(Gamma*Tau*E26/(1+Tau^2*E26^2))</f>
        <v>55.359293292917592</v>
      </c>
      <c r="L26" s="13">
        <f t="shared" si="2"/>
        <v>1.2063356332751077E-2</v>
      </c>
      <c r="M26" s="13">
        <f t="shared" si="2"/>
        <v>1.1471259766443849E-3</v>
      </c>
      <c r="O26" s="5"/>
      <c r="P26" s="5"/>
      <c r="AA26">
        <f t="shared" si="1"/>
        <v>0.9956233089243417</v>
      </c>
    </row>
    <row r="27" spans="1:27" x14ac:dyDescent="0.25">
      <c r="E27" s="34">
        <f t="shared" si="3"/>
        <v>3348.9377687267192</v>
      </c>
      <c r="F27" s="33">
        <v>533</v>
      </c>
      <c r="G27" s="48">
        <v>58.8</v>
      </c>
      <c r="H27" s="48">
        <v>63.100002839999995</v>
      </c>
      <c r="I27" s="50">
        <v>1.0731293</v>
      </c>
      <c r="J27" s="16">
        <f t="array" ref="J27">G_0*(1-Sum_of_Gs+SUM(Gamma*Tau^2*E27^2/(1+Tau^2*E27^2)))</f>
        <v>66.152282492225353</v>
      </c>
      <c r="K27" s="16">
        <f t="array" ref="K27">G_0*SUM(Gamma*Tau*E27/(1+Tau^2*E27^2))</f>
        <v>62.094047798393078</v>
      </c>
      <c r="L27" s="13">
        <f t="shared" si="2"/>
        <v>1.5634705980576234E-2</v>
      </c>
      <c r="M27" s="13">
        <f t="shared" si="2"/>
        <v>2.5415484054019472E-4</v>
      </c>
      <c r="O27" s="5"/>
      <c r="P27" s="6"/>
      <c r="AA27">
        <f t="shared" si="1"/>
        <v>0.93865314179734882</v>
      </c>
    </row>
    <row r="28" spans="1:27" x14ac:dyDescent="0.25">
      <c r="C28" s="19" t="s">
        <v>12</v>
      </c>
      <c r="D28" s="58">
        <v>530</v>
      </c>
      <c r="E28" s="34">
        <f t="shared" si="3"/>
        <v>4988.8491339005914</v>
      </c>
      <c r="F28" s="33">
        <v>794</v>
      </c>
      <c r="G28" s="48">
        <v>73.7</v>
      </c>
      <c r="H28" s="48">
        <v>70.751999999999995</v>
      </c>
      <c r="I28" s="50">
        <v>0.96</v>
      </c>
      <c r="J28" s="16">
        <f t="array" ref="J28">G_0*(1-Sum_of_Gs+SUM(Gamma*Tau^2*E28^2/(1+Tau^2*E28^2)))</f>
        <v>83.235171332109729</v>
      </c>
      <c r="K28" s="16">
        <f t="array" ref="K28">G_0*SUM(Gamma*Tau*E28/(1+Tau^2*E28^2))</f>
        <v>71.466275326613939</v>
      </c>
      <c r="L28" s="13">
        <f t="shared" si="2"/>
        <v>1.6738711585655167E-2</v>
      </c>
      <c r="M28" s="13">
        <f t="shared" si="2"/>
        <v>1.0191869521378156E-4</v>
      </c>
      <c r="AA28">
        <f t="shared" si="1"/>
        <v>0.85860669453616312</v>
      </c>
    </row>
    <row r="29" spans="1:27" x14ac:dyDescent="0.25">
      <c r="C29" s="19" t="s">
        <v>18</v>
      </c>
      <c r="D29" s="16">
        <v>2.08</v>
      </c>
      <c r="E29" s="34">
        <f t="shared" si="3"/>
        <v>6283.1853071795858</v>
      </c>
      <c r="F29" s="33">
        <v>1000</v>
      </c>
      <c r="G29" s="48">
        <v>86.4</v>
      </c>
      <c r="H29" s="48">
        <v>78.499999584000008</v>
      </c>
      <c r="I29" s="50">
        <v>0.90856481</v>
      </c>
      <c r="J29" s="16">
        <f t="array" ref="J29">G_0*(1-Sum_of_Gs+SUM(Gamma*Tau^2*E29^2/(1+Tau^2*E29^2)))</f>
        <v>94.378868706546655</v>
      </c>
      <c r="K29" s="16">
        <f t="array" ref="K29">G_0*SUM(Gamma*Tau*E29/(1+Tau^2*E29^2))</f>
        <v>76.761957028236424</v>
      </c>
      <c r="L29" s="13">
        <f t="shared" si="2"/>
        <v>8.528156324522751E-3</v>
      </c>
      <c r="M29" s="13">
        <f t="shared" si="2"/>
        <v>4.9020925111148655E-4</v>
      </c>
      <c r="P29" s="6"/>
      <c r="AA29">
        <f t="shared" si="1"/>
        <v>0.81333838898740451</v>
      </c>
    </row>
    <row r="30" spans="1:27" x14ac:dyDescent="0.25">
      <c r="C30" s="62" t="s">
        <v>20</v>
      </c>
      <c r="D30">
        <f>(G_0-G_inf)/G_0</f>
        <v>0.99607547169811317</v>
      </c>
      <c r="E30" s="34">
        <f t="shared" si="3"/>
        <v>10053.096491487338</v>
      </c>
      <c r="F30" s="33">
        <v>1600</v>
      </c>
      <c r="G30" s="48">
        <v>106</v>
      </c>
      <c r="H30" s="48">
        <v>85.199999480000002</v>
      </c>
      <c r="I30" s="50">
        <v>0.80377357999999999</v>
      </c>
      <c r="J30" s="16">
        <f t="array" ref="J30">G_0*(1-Sum_of_Gs+SUM(Gamma*Tau^2*E30^2/(1+Tau^2*E30^2)))</f>
        <v>119.73856851185654</v>
      </c>
      <c r="K30" s="16">
        <f t="array" ref="K30">G_0*SUM(Gamma*Tau*E30/(1+Tau^2*E30^2))</f>
        <v>87.008828750967027</v>
      </c>
      <c r="L30" s="13">
        <f t="shared" si="2"/>
        <v>1.6798528369079416E-2</v>
      </c>
      <c r="M30" s="13">
        <f t="shared" si="2"/>
        <v>4.5072948646726185E-4</v>
      </c>
      <c r="AA30">
        <f t="shared" si="1"/>
        <v>0.72665666403345541</v>
      </c>
    </row>
    <row r="31" spans="1:27" x14ac:dyDescent="0.25">
      <c r="E31" s="34">
        <f t="shared" si="3"/>
        <v>14953.981031087415</v>
      </c>
      <c r="F31" s="33">
        <v>2380</v>
      </c>
      <c r="G31" s="48">
        <v>138</v>
      </c>
      <c r="H31" s="48">
        <v>98.400000239999997</v>
      </c>
      <c r="I31" s="50">
        <v>0.71304347999999995</v>
      </c>
      <c r="J31" s="16">
        <f t="array" ref="J31">G_0*(1-Sum_of_Gs+SUM(Gamma*Tau^2*E31^2/(1+Tau^2*E31^2)))</f>
        <v>143.66909552427134</v>
      </c>
      <c r="K31" s="16">
        <f t="array" ref="K31">G_0*SUM(Gamma*Tau*E31/(1+Tau^2*E31^2))</f>
        <v>94.882303103284571</v>
      </c>
      <c r="L31" s="13">
        <f t="shared" si="2"/>
        <v>1.6875994572208271E-3</v>
      </c>
      <c r="M31" s="13">
        <f t="shared" si="2"/>
        <v>1.2779877517199965E-3</v>
      </c>
      <c r="P31" s="6"/>
      <c r="AA31">
        <f t="shared" si="1"/>
        <v>0.66042249905620953</v>
      </c>
    </row>
    <row r="32" spans="1:27" x14ac:dyDescent="0.25">
      <c r="E32">
        <f t="shared" si="3"/>
        <v>19980.529276831083</v>
      </c>
      <c r="F32" s="53">
        <v>3180</v>
      </c>
      <c r="G32" s="46">
        <v>159</v>
      </c>
      <c r="H32" s="46">
        <v>102.99999966</v>
      </c>
      <c r="I32" s="54">
        <v>0.64779874000000004</v>
      </c>
      <c r="J32" s="52">
        <f t="array" ref="J32">G_0*(1-Sum_of_Gs+SUM(Gamma*Tau^2*E32^2/(1+Tau^2*E32^2)))</f>
        <v>162.37781748393476</v>
      </c>
      <c r="K32" s="52">
        <f t="array" ref="K32">G_0*SUM(Gamma*Tau*E32/(1+Tau^2*E32^2))</f>
        <v>100.13833663741192</v>
      </c>
      <c r="L32" s="13">
        <f t="shared" ref="L32:M43" si="4">(1-J32/G32)^2</f>
        <v>4.5131327695800976E-4</v>
      </c>
      <c r="M32" s="13">
        <f t="shared" si="4"/>
        <v>7.7190265896050583E-4</v>
      </c>
      <c r="AA32">
        <f t="shared" si="1"/>
        <v>0.61669960952221414</v>
      </c>
    </row>
    <row r="33" spans="3:27" x14ac:dyDescent="0.25">
      <c r="E33">
        <f t="shared" si="3"/>
        <v>29970.793915246628</v>
      </c>
      <c r="F33" s="53">
        <v>4770</v>
      </c>
      <c r="G33" s="46">
        <v>188</v>
      </c>
      <c r="H33" s="46">
        <v>108.99999923999999</v>
      </c>
      <c r="I33" s="54">
        <v>0.57978722999999999</v>
      </c>
      <c r="J33" s="52">
        <f t="array" ref="J33">G_0*(1-Sum_of_Gs+SUM(Gamma*Tau^2*E33^2/(1+Tau^2*E33^2)))</f>
        <v>190.1443074432961</v>
      </c>
      <c r="K33" s="52">
        <f t="array" ref="K33">G_0*SUM(Gamma*Tau*E33/(1+Tau^2*E33^2))</f>
        <v>106.80996097286639</v>
      </c>
      <c r="L33" s="13">
        <f t="shared" si="4"/>
        <v>1.3009434165275714E-4</v>
      </c>
      <c r="M33" s="13">
        <f t="shared" si="4"/>
        <v>4.0369225472546927E-4</v>
      </c>
      <c r="P33" s="6"/>
      <c r="AA33">
        <f t="shared" si="1"/>
        <v>0.56173104737683899</v>
      </c>
    </row>
    <row r="34" spans="3:27" x14ac:dyDescent="0.25">
      <c r="E34">
        <f t="shared" si="3"/>
        <v>49888.491339005916</v>
      </c>
      <c r="F34" s="55">
        <v>7940</v>
      </c>
      <c r="G34" s="48">
        <v>225</v>
      </c>
      <c r="H34" s="48">
        <v>114.99999975</v>
      </c>
      <c r="I34" s="50">
        <v>0.51111110999999998</v>
      </c>
      <c r="J34" s="52">
        <f t="array" ref="J34">G_0*(1-Sum_of_Gs+SUM(Gamma*Tau^2*E34^2/(1+Tau^2*E34^2)))</f>
        <v>227.39609150270564</v>
      </c>
      <c r="K34" s="52">
        <f t="array" ref="K34">G_0*SUM(Gamma*Tau*E34/(1+Tau^2*E34^2))</f>
        <v>114.11985701652988</v>
      </c>
      <c r="L34" s="13">
        <f t="shared" si="4"/>
        <v>1.1340749608569056E-4</v>
      </c>
      <c r="M34" s="13">
        <f t="shared" si="4"/>
        <v>5.8574762544294749E-5</v>
      </c>
      <c r="AA34">
        <f t="shared" si="1"/>
        <v>0.50185496268818686</v>
      </c>
    </row>
    <row r="35" spans="3:27" x14ac:dyDescent="0.25">
      <c r="E35">
        <f t="shared" si="3"/>
        <v>79796.453401180741</v>
      </c>
      <c r="F35" s="55">
        <v>12700</v>
      </c>
      <c r="G35" s="48">
        <v>258</v>
      </c>
      <c r="H35" s="48">
        <v>118.99999998</v>
      </c>
      <c r="I35" s="50">
        <v>0.46124030999999999</v>
      </c>
      <c r="J35" s="52">
        <f t="array" ref="J35">G_0*(1-Sum_of_Gs+SUM(Gamma*Tau^2*E35^2/(1+Tau^2*E35^2)))</f>
        <v>264.0255357441668</v>
      </c>
      <c r="K35" s="52">
        <f t="array" ref="K35">G_0*SUM(Gamma*Tau*E35/(1+Tau^2*E35^2))</f>
        <v>119.74483518510095</v>
      </c>
      <c r="L35" s="13">
        <f t="shared" si="4"/>
        <v>5.4544620221488654E-4</v>
      </c>
      <c r="M35" s="13">
        <f t="shared" si="4"/>
        <v>3.9176575308540959E-5</v>
      </c>
      <c r="AA35">
        <f t="shared" si="1"/>
        <v>0.45353505238648689</v>
      </c>
    </row>
    <row r="36" spans="3:27" x14ac:dyDescent="0.25">
      <c r="E36">
        <f t="shared" si="3"/>
        <v>125035.38761287376</v>
      </c>
      <c r="F36" s="55">
        <v>19900</v>
      </c>
      <c r="G36" s="48">
        <v>292</v>
      </c>
      <c r="H36" s="48">
        <v>120.99999951999999</v>
      </c>
      <c r="I36" s="50">
        <v>0.41438355999999998</v>
      </c>
      <c r="J36" s="52">
        <f t="array" ref="J36">G_0*(1-Sum_of_Gs+SUM(Gamma*Tau^2*E36^2/(1+Tau^2*E36^2)))</f>
        <v>301.11517704653323</v>
      </c>
      <c r="K36" s="52">
        <f t="array" ref="K36">G_0*SUM(Gamma*Tau*E36/(1+Tau^2*E36^2))</f>
        <v>123.76548624737744</v>
      </c>
      <c r="L36" s="13">
        <f t="shared" si="4"/>
        <v>9.7446111594161658E-4</v>
      </c>
      <c r="M36" s="13">
        <f t="shared" si="4"/>
        <v>5.2236301481992933E-4</v>
      </c>
      <c r="AA36">
        <f t="shared" si="1"/>
        <v>0.41102374002307818</v>
      </c>
    </row>
    <row r="37" spans="3:27" x14ac:dyDescent="0.25">
      <c r="E37">
        <f t="shared" si="3"/>
        <v>199805.29276831084</v>
      </c>
      <c r="F37" s="55">
        <v>31800</v>
      </c>
      <c r="G37" s="48">
        <v>328</v>
      </c>
      <c r="H37" s="48">
        <v>122.00000016000001</v>
      </c>
      <c r="I37" s="50">
        <v>0.37195122000000003</v>
      </c>
      <c r="J37" s="52">
        <f t="array" ref="J37">G_0*(1-Sum_of_Gs+SUM(Gamma*Tau^2*E37^2/(1+Tau^2*E37^2)))</f>
        <v>341.97432974741241</v>
      </c>
      <c r="K37" s="52">
        <f t="array" ref="K37">G_0*SUM(Gamma*Tau*E37/(1+Tau^2*E37^2))</f>
        <v>125.68399303406017</v>
      </c>
      <c r="L37" s="13">
        <f t="shared" si="4"/>
        <v>1.8151573829697321E-3</v>
      </c>
      <c r="M37" s="13">
        <f t="shared" si="4"/>
        <v>9.1183844803331725E-4</v>
      </c>
      <c r="AA37">
        <f t="shared" si="1"/>
        <v>0.36752464176738742</v>
      </c>
    </row>
    <row r="38" spans="3:27" x14ac:dyDescent="0.25">
      <c r="E38">
        <f t="shared" si="3"/>
        <v>314159.26535897929</v>
      </c>
      <c r="F38" s="55">
        <v>50000</v>
      </c>
      <c r="G38" s="48">
        <v>354</v>
      </c>
      <c r="H38" s="48">
        <v>118.99999926000001</v>
      </c>
      <c r="I38" s="50">
        <v>0.33615819000000002</v>
      </c>
      <c r="J38" s="52">
        <f t="array" ref="J38">G_0*(1-Sum_of_Gs+SUM(Gamma*Tau^2*E38^2/(1+Tau^2*E38^2)))</f>
        <v>383.08901867095534</v>
      </c>
      <c r="K38" s="52">
        <f t="array" ref="K38">G_0*SUM(Gamma*Tau*E38/(1+Tau^2*E38^2))</f>
        <v>123.92751317466353</v>
      </c>
      <c r="L38" s="13">
        <f t="shared" si="4"/>
        <v>6.7522982479427006E-3</v>
      </c>
      <c r="M38" s="13">
        <f t="shared" si="4"/>
        <v>1.7145959805929907E-3</v>
      </c>
      <c r="AA38">
        <f t="shared" si="1"/>
        <v>0.32349534216512726</v>
      </c>
    </row>
    <row r="39" spans="3:27" x14ac:dyDescent="0.25">
      <c r="E39">
        <f t="shared" si="3"/>
        <v>498884.91339005914</v>
      </c>
      <c r="F39" s="55">
        <v>79400</v>
      </c>
      <c r="G39" s="48">
        <v>386</v>
      </c>
      <c r="H39" s="48">
        <v>117.99999928000001</v>
      </c>
      <c r="I39" s="50">
        <v>0.30569948000000002</v>
      </c>
      <c r="J39" s="52">
        <f t="array" ref="J39">G_0*(1-Sum_of_Gs+SUM(Gamma*Tau^2*E39^2/(1+Tau^2*E39^2)))</f>
        <v>425.35898574358924</v>
      </c>
      <c r="K39" s="52">
        <f t="array" ref="K39">G_0*SUM(Gamma*Tau*E39/(1+Tau^2*E39^2))</f>
        <v>116.36085193458614</v>
      </c>
      <c r="L39" s="13">
        <f t="shared" si="4"/>
        <v>1.0397123135950393E-2</v>
      </c>
      <c r="M39" s="13">
        <f t="shared" si="4"/>
        <v>1.9296208365164215E-4</v>
      </c>
      <c r="AA39">
        <f t="shared" si="1"/>
        <v>0.27355917198074581</v>
      </c>
    </row>
    <row r="40" spans="3:27" x14ac:dyDescent="0.25">
      <c r="E40">
        <f t="shared" si="3"/>
        <v>797964.53401180741</v>
      </c>
      <c r="F40" s="55">
        <v>127000</v>
      </c>
      <c r="G40" s="48">
        <v>418</v>
      </c>
      <c r="H40" s="48">
        <v>117.99999969999999</v>
      </c>
      <c r="I40" s="50">
        <v>0.28229664999999998</v>
      </c>
      <c r="J40" s="52">
        <f t="array" ref="J40">G_0*(1-Sum_of_Gs+SUM(Gamma*Tau^2*E40^2/(1+Tau^2*E40^2)))</f>
        <v>464.96177998844121</v>
      </c>
      <c r="K40" s="52">
        <f t="array" ref="K40">G_0*SUM(Gamma*Tau*E40/(1+Tau^2*E40^2))</f>
        <v>100.91191148266368</v>
      </c>
      <c r="L40" s="13">
        <f t="shared" si="4"/>
        <v>1.2622242964233622E-2</v>
      </c>
      <c r="M40" s="13">
        <f t="shared" si="4"/>
        <v>2.0971183597258535E-2</v>
      </c>
      <c r="AA40">
        <f t="shared" si="1"/>
        <v>0.21703270209687411</v>
      </c>
    </row>
    <row r="41" spans="3:27" x14ac:dyDescent="0.25">
      <c r="E41">
        <f t="shared" si="3"/>
        <v>1495398.1031087416</v>
      </c>
      <c r="F41" s="55">
        <v>238000</v>
      </c>
      <c r="G41" s="48">
        <v>461</v>
      </c>
      <c r="H41" s="48">
        <v>117.00000210000002</v>
      </c>
      <c r="I41" s="50">
        <v>0.25379610000000002</v>
      </c>
      <c r="J41" s="52">
        <f t="array" ref="J41">G_0*(1-Sum_of_Gs+SUM(Gamma*Tau^2*E41^2/(1+Tau^2*E41^2)))</f>
        <v>503.26045466125828</v>
      </c>
      <c r="K41" s="52">
        <f t="array" ref="K41">G_0*SUM(Gamma*Tau*E41/(1+Tau^2*E41^2))</f>
        <v>70.621881865360351</v>
      </c>
      <c r="L41" s="13">
        <f t="shared" si="4"/>
        <v>8.4036214217713279E-3</v>
      </c>
      <c r="M41" s="13">
        <f t="shared" si="4"/>
        <v>0.15712834825668942</v>
      </c>
      <c r="AA41">
        <f t="shared" si="1"/>
        <v>0.14032869304800738</v>
      </c>
    </row>
    <row r="42" spans="3:27" x14ac:dyDescent="0.25">
      <c r="E42">
        <f t="shared" si="3"/>
        <v>3141592.653589793</v>
      </c>
      <c r="F42" s="55">
        <v>500000</v>
      </c>
      <c r="G42" s="48">
        <v>501</v>
      </c>
      <c r="H42" s="48">
        <v>115.00000092000001</v>
      </c>
      <c r="I42" s="50">
        <v>0.22954092000000001</v>
      </c>
      <c r="J42" s="52">
        <f t="array" ref="J42">G_0*(1-Sum_of_Gs+SUM(Gamma*Tau^2*E42^2/(1+Tau^2*E42^2)))</f>
        <v>522.89232550554323</v>
      </c>
      <c r="K42" s="52">
        <f t="array" ref="K42">G_0*SUM(Gamma*Tau*E42/(1+Tau^2*E42^2))</f>
        <v>37.985975085474095</v>
      </c>
      <c r="L42" s="13">
        <f t="shared" si="4"/>
        <v>1.909450225459886E-3</v>
      </c>
      <c r="M42" s="13">
        <f t="shared" si="4"/>
        <v>0.44848091344744517</v>
      </c>
      <c r="AA42">
        <f t="shared" si="1"/>
        <v>7.2645883736672676E-2</v>
      </c>
    </row>
    <row r="43" spans="3:27" ht="15.75" thickBot="1" x14ac:dyDescent="0.3">
      <c r="C43" s="4"/>
      <c r="E43">
        <f t="shared" si="3"/>
        <v>4988849.1339005912</v>
      </c>
      <c r="F43" s="56">
        <v>794000</v>
      </c>
      <c r="G43" s="49">
        <v>530</v>
      </c>
      <c r="H43" s="49">
        <v>113.0000015</v>
      </c>
      <c r="I43" s="51">
        <v>0.21320755</v>
      </c>
      <c r="J43" s="52">
        <f t="array" ref="J43">G_0*(1-Sum_of_Gs+SUM(Gamma*Tau^2*E43^2/(1+Tau^2*E43^2)))</f>
        <v>527.09005477870301</v>
      </c>
      <c r="K43" s="52">
        <f t="array" ref="K43">G_0*SUM(Gamma*Tau*E43/(1+Tau^2*E43^2))</f>
        <v>24.520314617135298</v>
      </c>
      <c r="L43" s="13">
        <f t="shared" si="4"/>
        <v>3.0145180459056884E-5</v>
      </c>
      <c r="M43" s="13">
        <f t="shared" si="4"/>
        <v>0.61309850286235312</v>
      </c>
      <c r="AA43">
        <f t="shared" si="1"/>
        <v>4.6520161772792452E-2</v>
      </c>
    </row>
    <row r="44" spans="3:27" x14ac:dyDescent="0.25">
      <c r="C44" s="6"/>
      <c r="E44" s="57">
        <f t="shared" si="3"/>
        <v>62831853.071795866</v>
      </c>
      <c r="F44" s="30">
        <v>10000000</v>
      </c>
      <c r="G44" s="32"/>
      <c r="H44" s="32"/>
      <c r="I44" s="32"/>
      <c r="J44" s="28">
        <f t="array" ref="J44">G_0*(1-Sum_of_Gs+SUM(Gamma*Tau^2*E44^2/(1+Tau^2*E44^2)))</f>
        <v>529.98125508375881</v>
      </c>
      <c r="K44" s="28">
        <f t="array" ref="K44">G_0*SUM(Gamma*Tau*E44/(1+Tau^2*E44^2))</f>
        <v>1.979867227625502</v>
      </c>
      <c r="L44" s="32"/>
      <c r="M44" s="32"/>
      <c r="AA44">
        <f t="shared" si="1"/>
        <v>3.735730667139542E-3</v>
      </c>
    </row>
    <row r="45" spans="3:27" x14ac:dyDescent="0.25">
      <c r="C45" s="6"/>
      <c r="E45" s="57">
        <f t="shared" si="3"/>
        <v>628318530.71795857</v>
      </c>
      <c r="F45" s="30">
        <v>100000000</v>
      </c>
      <c r="G45" s="32"/>
      <c r="H45" s="32"/>
      <c r="I45" s="32"/>
      <c r="J45" s="28">
        <f t="array" ref="J45">G_0*(1-Sum_of_Gs+SUM(Gamma*Tau^2*E45^2/(1+Tau^2*E45^2)))</f>
        <v>529.99981252512077</v>
      </c>
      <c r="K45" s="28">
        <f t="array" ref="K45">G_0*SUM(Gamma*Tau*E45/(1+Tau^2*E45^2))</f>
        <v>0.19800791536078632</v>
      </c>
      <c r="L45" s="32"/>
      <c r="M45" s="32"/>
      <c r="AA45">
        <f t="shared" si="1"/>
        <v>3.735999724554642E-4</v>
      </c>
    </row>
    <row r="46" spans="3:27" x14ac:dyDescent="0.25">
      <c r="C46" s="6"/>
      <c r="K46"/>
      <c r="L46"/>
    </row>
    <row r="47" spans="3:27" x14ac:dyDescent="0.25">
      <c r="C47" s="6"/>
      <c r="K47" s="11" t="s">
        <v>9</v>
      </c>
      <c r="L47" s="26">
        <f>SUM(L6:L43)</f>
        <v>14.21481946367539</v>
      </c>
      <c r="M47" s="26">
        <f>SUM(M6:M43)</f>
        <v>1.2769377303949963</v>
      </c>
    </row>
    <row r="48" spans="3:27" x14ac:dyDescent="0.25">
      <c r="C48" s="6"/>
      <c r="K48" s="19" t="s">
        <v>24</v>
      </c>
      <c r="L48">
        <v>1</v>
      </c>
      <c r="M48">
        <v>1</v>
      </c>
    </row>
    <row r="49" spans="3:13" x14ac:dyDescent="0.25">
      <c r="C49" s="6"/>
      <c r="K49" s="19" t="s">
        <v>25</v>
      </c>
      <c r="L49" s="69">
        <f>Gs_Error*L48+Gl_Error*M48</f>
        <v>15.491757194070386</v>
      </c>
      <c r="M49" s="69"/>
    </row>
    <row r="50" spans="3:13" x14ac:dyDescent="0.25">
      <c r="C50" s="6"/>
      <c r="K50"/>
      <c r="L50"/>
    </row>
    <row r="51" spans="3:13" x14ac:dyDescent="0.25">
      <c r="C51" s="6"/>
      <c r="E51" s="32"/>
      <c r="F51" s="32" t="s">
        <v>180</v>
      </c>
      <c r="G51" s="32"/>
      <c r="H51" s="32"/>
      <c r="I51" s="32"/>
      <c r="J51" s="32"/>
      <c r="K51" s="32"/>
      <c r="L51"/>
    </row>
    <row r="52" spans="3:13" x14ac:dyDescent="0.25">
      <c r="C52" s="6"/>
      <c r="K52"/>
      <c r="L52"/>
    </row>
    <row r="53" spans="3:13" x14ac:dyDescent="0.25">
      <c r="C53" s="6"/>
      <c r="K53"/>
      <c r="L53"/>
    </row>
    <row r="54" spans="3:13" x14ac:dyDescent="0.25">
      <c r="C54" s="6"/>
      <c r="K54"/>
      <c r="L54"/>
    </row>
    <row r="55" spans="3:13" x14ac:dyDescent="0.25">
      <c r="C55" s="6"/>
      <c r="L55"/>
    </row>
    <row r="56" spans="3:13" x14ac:dyDescent="0.25">
      <c r="C56" s="6"/>
    </row>
    <row r="57" spans="3:13" x14ac:dyDescent="0.25">
      <c r="C57" s="6"/>
    </row>
    <row r="58" spans="3:13" x14ac:dyDescent="0.25">
      <c r="C58" s="6"/>
    </row>
    <row r="59" spans="3:13" x14ac:dyDescent="0.25">
      <c r="C59" s="6"/>
    </row>
    <row r="60" spans="3:13" x14ac:dyDescent="0.25">
      <c r="C60" s="6"/>
    </row>
    <row r="61" spans="3:13" x14ac:dyDescent="0.25">
      <c r="C61" s="6"/>
    </row>
  </sheetData>
  <mergeCells count="3">
    <mergeCell ref="C2:D2"/>
    <mergeCell ref="F2:H2"/>
    <mergeCell ref="L49:M4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Z41"/>
  <sheetViews>
    <sheetView tabSelected="1" zoomScaleNormal="100" workbookViewId="0">
      <selection activeCell="L45" sqref="L45"/>
    </sheetView>
  </sheetViews>
  <sheetFormatPr defaultRowHeight="15" x14ac:dyDescent="0.25"/>
  <cols>
    <col min="1" max="1" width="4.5703125" customWidth="1"/>
    <col min="2" max="2" width="13.7109375" customWidth="1"/>
    <col min="3" max="4" width="12.7109375" customWidth="1"/>
    <col min="5" max="5" width="11.42578125" customWidth="1"/>
    <col min="15" max="20" width="10.7109375" customWidth="1"/>
    <col min="21" max="21" width="4" customWidth="1"/>
    <col min="22" max="23" width="10.7109375" customWidth="1"/>
    <col min="24" max="25" width="6.7109375" customWidth="1"/>
    <col min="26" max="26" width="10.7109375" customWidth="1"/>
  </cols>
  <sheetData>
    <row r="1" spans="2:26" ht="30.75" customHeight="1" x14ac:dyDescent="0.25">
      <c r="B1" t="s">
        <v>26</v>
      </c>
      <c r="C1" s="43" t="s">
        <v>14</v>
      </c>
      <c r="D1" s="42" t="s">
        <v>15</v>
      </c>
      <c r="E1" s="43" t="s">
        <v>16</v>
      </c>
      <c r="V1" t="s">
        <v>39</v>
      </c>
      <c r="W1" t="s">
        <v>40</v>
      </c>
      <c r="Z1" t="s">
        <v>41</v>
      </c>
    </row>
    <row r="2" spans="2:26" x14ac:dyDescent="0.25">
      <c r="B2" s="44">
        <v>7.9399999999999998E-2</v>
      </c>
      <c r="C2" s="44">
        <v>2.08</v>
      </c>
      <c r="D2" s="17">
        <v>8.7499999999999994E-2</v>
      </c>
      <c r="E2" s="17">
        <f>D2*C2</f>
        <v>0.182</v>
      </c>
      <c r="V2" s="17">
        <f>E2/2.08</f>
        <v>8.7499999999999994E-2</v>
      </c>
      <c r="W2">
        <f>1-C2/2.08</f>
        <v>0</v>
      </c>
      <c r="X2">
        <v>0</v>
      </c>
      <c r="Y2">
        <v>0</v>
      </c>
      <c r="Z2" s="45">
        <f>B2</f>
        <v>7.9399999999999998E-2</v>
      </c>
    </row>
    <row r="3" spans="2:26" x14ac:dyDescent="0.25">
      <c r="B3" s="44">
        <v>0.159</v>
      </c>
      <c r="C3" s="44">
        <v>2.12</v>
      </c>
      <c r="D3" s="17">
        <v>0.14905660000000001</v>
      </c>
      <c r="E3" s="17">
        <f t="shared" ref="E3:E39" si="0">D3*C3</f>
        <v>0.31599999200000006</v>
      </c>
      <c r="V3" s="17">
        <f t="shared" ref="V3:V39" si="1">E3/2.08</f>
        <v>0.1519230730769231</v>
      </c>
      <c r="W3">
        <f t="shared" ref="W3:W39" si="2">1-C3/2.08</f>
        <v>-1.9230769230769162E-2</v>
      </c>
      <c r="X3">
        <v>0</v>
      </c>
      <c r="Y3">
        <v>0</v>
      </c>
      <c r="Z3" s="45">
        <f t="shared" ref="Z3:Z39" si="3">B3</f>
        <v>0.159</v>
      </c>
    </row>
    <row r="4" spans="2:26" x14ac:dyDescent="0.25">
      <c r="B4" s="44">
        <v>0.23799999999999999</v>
      </c>
      <c r="C4" s="44">
        <v>2.17</v>
      </c>
      <c r="D4" s="17">
        <v>0.20322581000000001</v>
      </c>
      <c r="E4" s="17">
        <f t="shared" si="0"/>
        <v>0.44100000769999997</v>
      </c>
      <c r="V4" s="17">
        <f t="shared" si="1"/>
        <v>0.21201923447115384</v>
      </c>
      <c r="W4">
        <f t="shared" si="2"/>
        <v>-4.3269230769230616E-2</v>
      </c>
      <c r="X4">
        <v>0</v>
      </c>
      <c r="Y4">
        <v>0</v>
      </c>
      <c r="Z4" s="45">
        <f t="shared" si="3"/>
        <v>0.23799999999999999</v>
      </c>
    </row>
    <row r="5" spans="2:26" x14ac:dyDescent="0.25">
      <c r="B5" s="44">
        <v>0.318</v>
      </c>
      <c r="C5" s="44">
        <v>2.2200000000000002</v>
      </c>
      <c r="D5" s="17">
        <v>0.25</v>
      </c>
      <c r="E5" s="17">
        <f t="shared" si="0"/>
        <v>0.55500000000000005</v>
      </c>
      <c r="V5" s="17">
        <f t="shared" si="1"/>
        <v>0.26682692307692307</v>
      </c>
      <c r="W5">
        <f t="shared" si="2"/>
        <v>-6.7307692307692291E-2</v>
      </c>
      <c r="X5">
        <v>0</v>
      </c>
      <c r="Y5">
        <v>0</v>
      </c>
      <c r="Z5" s="45">
        <f t="shared" si="3"/>
        <v>0.318</v>
      </c>
    </row>
    <row r="6" spans="2:26" x14ac:dyDescent="0.25">
      <c r="B6" s="44">
        <v>0.47699999999999998</v>
      </c>
      <c r="C6" s="44">
        <v>2.33</v>
      </c>
      <c r="D6" s="17">
        <v>0.32231759999999998</v>
      </c>
      <c r="E6" s="17">
        <f t="shared" si="0"/>
        <v>0.751000008</v>
      </c>
      <c r="V6" s="17">
        <f t="shared" si="1"/>
        <v>0.36105769615384614</v>
      </c>
      <c r="W6">
        <f t="shared" si="2"/>
        <v>-0.12019230769230771</v>
      </c>
      <c r="X6">
        <v>0</v>
      </c>
      <c r="Y6">
        <v>0</v>
      </c>
      <c r="Z6" s="45">
        <f t="shared" si="3"/>
        <v>0.47699999999999998</v>
      </c>
    </row>
    <row r="7" spans="2:26" x14ac:dyDescent="0.25">
      <c r="B7" s="44">
        <v>0.79400000000000004</v>
      </c>
      <c r="C7" s="44">
        <v>2.5099999999999998</v>
      </c>
      <c r="D7" s="17">
        <v>0.43027887999999997</v>
      </c>
      <c r="E7" s="17">
        <f t="shared" si="0"/>
        <v>1.0799999887999998</v>
      </c>
      <c r="V7" s="17">
        <f t="shared" si="1"/>
        <v>0.51923076384615374</v>
      </c>
      <c r="W7">
        <f t="shared" si="2"/>
        <v>-0.20673076923076916</v>
      </c>
      <c r="X7">
        <v>0</v>
      </c>
      <c r="Y7">
        <v>0</v>
      </c>
      <c r="Z7" s="45">
        <f t="shared" si="3"/>
        <v>0.79400000000000004</v>
      </c>
    </row>
    <row r="8" spans="2:26" x14ac:dyDescent="0.25">
      <c r="B8" s="44">
        <v>1.27</v>
      </c>
      <c r="C8" s="44">
        <v>2.74</v>
      </c>
      <c r="D8" s="17">
        <v>0.54379562000000004</v>
      </c>
      <c r="E8" s="17">
        <f t="shared" si="0"/>
        <v>1.4899999988000001</v>
      </c>
      <c r="V8" s="17">
        <f t="shared" si="1"/>
        <v>0.71634615326923079</v>
      </c>
      <c r="W8">
        <f t="shared" si="2"/>
        <v>-0.31730769230769229</v>
      </c>
      <c r="X8">
        <v>0</v>
      </c>
      <c r="Y8">
        <v>0</v>
      </c>
      <c r="Z8" s="45">
        <f t="shared" si="3"/>
        <v>1.27</v>
      </c>
    </row>
    <row r="9" spans="2:26" x14ac:dyDescent="0.25">
      <c r="B9" s="44">
        <v>1.99</v>
      </c>
      <c r="C9" s="44">
        <v>3.04</v>
      </c>
      <c r="D9" s="17">
        <v>0.66118421000000005</v>
      </c>
      <c r="E9" s="17">
        <f t="shared" si="0"/>
        <v>2.0099999984000001</v>
      </c>
      <c r="V9" s="17">
        <f t="shared" si="1"/>
        <v>0.96634615307692306</v>
      </c>
      <c r="W9">
        <f t="shared" si="2"/>
        <v>-0.46153846153846145</v>
      </c>
      <c r="X9">
        <v>0</v>
      </c>
      <c r="Y9">
        <v>0</v>
      </c>
      <c r="Z9" s="45">
        <f t="shared" si="3"/>
        <v>1.99</v>
      </c>
    </row>
    <row r="10" spans="2:26" x14ac:dyDescent="0.25">
      <c r="B10" s="44">
        <v>3.18</v>
      </c>
      <c r="C10" s="44">
        <v>3.46</v>
      </c>
      <c r="D10" s="17">
        <v>0.79479769</v>
      </c>
      <c r="E10" s="17">
        <f t="shared" si="0"/>
        <v>2.7500000074000002</v>
      </c>
      <c r="V10" s="17">
        <f t="shared" si="1"/>
        <v>1.3221153881730769</v>
      </c>
      <c r="W10">
        <f t="shared" si="2"/>
        <v>-0.66346153846153832</v>
      </c>
      <c r="X10">
        <v>0</v>
      </c>
      <c r="Y10">
        <v>0</v>
      </c>
      <c r="Z10" s="45">
        <f t="shared" si="3"/>
        <v>3.18</v>
      </c>
    </row>
    <row r="11" spans="2:26" x14ac:dyDescent="0.25">
      <c r="B11" s="44">
        <v>5.62</v>
      </c>
      <c r="C11" s="44">
        <v>4.1399999999999997</v>
      </c>
      <c r="D11" s="17">
        <v>0.96135265999999997</v>
      </c>
      <c r="E11" s="17">
        <f t="shared" si="0"/>
        <v>3.9800000123999997</v>
      </c>
      <c r="V11" s="17">
        <f t="shared" si="1"/>
        <v>1.9134615444230767</v>
      </c>
      <c r="W11">
        <f t="shared" si="2"/>
        <v>-0.9903846153846152</v>
      </c>
      <c r="X11">
        <v>0</v>
      </c>
      <c r="Y11">
        <v>0</v>
      </c>
      <c r="Z11" s="45">
        <f t="shared" si="3"/>
        <v>5.62</v>
      </c>
    </row>
    <row r="12" spans="2:26" x14ac:dyDescent="0.25">
      <c r="B12" s="44">
        <v>7.94</v>
      </c>
      <c r="C12" s="44">
        <v>4.79</v>
      </c>
      <c r="D12" s="17">
        <v>1.0668058</v>
      </c>
      <c r="E12" s="17">
        <f t="shared" si="0"/>
        <v>5.109999782</v>
      </c>
      <c r="V12" s="17">
        <f t="shared" si="1"/>
        <v>2.4567306644230769</v>
      </c>
      <c r="W12">
        <f t="shared" si="2"/>
        <v>-1.3028846153846154</v>
      </c>
      <c r="X12">
        <v>0</v>
      </c>
      <c r="Y12">
        <v>0</v>
      </c>
      <c r="Z12" s="45">
        <f t="shared" si="3"/>
        <v>7.94</v>
      </c>
    </row>
    <row r="13" spans="2:26" x14ac:dyDescent="0.25">
      <c r="B13" s="44">
        <v>12.7</v>
      </c>
      <c r="C13" s="44">
        <v>5.84</v>
      </c>
      <c r="D13" s="17">
        <v>1.2140411</v>
      </c>
      <c r="E13" s="17">
        <f t="shared" si="0"/>
        <v>7.0900000240000001</v>
      </c>
      <c r="V13" s="17">
        <f t="shared" si="1"/>
        <v>3.4086538576923076</v>
      </c>
      <c r="W13">
        <f t="shared" si="2"/>
        <v>-1.8076923076923075</v>
      </c>
      <c r="X13">
        <v>0</v>
      </c>
      <c r="Y13">
        <v>0</v>
      </c>
      <c r="Z13" s="45">
        <f t="shared" si="3"/>
        <v>12.7</v>
      </c>
    </row>
    <row r="14" spans="2:26" x14ac:dyDescent="0.25">
      <c r="B14" s="44">
        <v>22.5</v>
      </c>
      <c r="C14" s="44">
        <v>7.62</v>
      </c>
      <c r="D14" s="17">
        <v>1.3779528000000001</v>
      </c>
      <c r="E14" s="17">
        <f t="shared" si="0"/>
        <v>10.500000336000001</v>
      </c>
      <c r="V14" s="17">
        <f t="shared" si="1"/>
        <v>5.0480770846153851</v>
      </c>
      <c r="W14">
        <f t="shared" si="2"/>
        <v>-2.6634615384615383</v>
      </c>
      <c r="X14">
        <v>0</v>
      </c>
      <c r="Y14">
        <v>0</v>
      </c>
      <c r="Z14" s="45">
        <f t="shared" si="3"/>
        <v>22.5</v>
      </c>
    </row>
    <row r="15" spans="2:26" x14ac:dyDescent="0.25">
      <c r="B15" s="44">
        <v>35.4</v>
      </c>
      <c r="C15" s="44">
        <v>9.84</v>
      </c>
      <c r="D15" s="17">
        <v>1.4735772</v>
      </c>
      <c r="E15" s="17">
        <f t="shared" si="0"/>
        <v>14.499999647999999</v>
      </c>
      <c r="V15" s="17">
        <f t="shared" si="1"/>
        <v>6.971153676923076</v>
      </c>
      <c r="W15">
        <f t="shared" si="2"/>
        <v>-3.7307692307692308</v>
      </c>
      <c r="X15">
        <v>0</v>
      </c>
      <c r="Y15">
        <v>0</v>
      </c>
      <c r="Z15" s="45">
        <f t="shared" si="3"/>
        <v>35.4</v>
      </c>
    </row>
    <row r="16" spans="2:26" x14ac:dyDescent="0.25">
      <c r="B16" s="44">
        <v>60</v>
      </c>
      <c r="C16" s="44">
        <v>13.2</v>
      </c>
      <c r="D16" s="17">
        <v>1.5378788000000001</v>
      </c>
      <c r="E16" s="17">
        <f t="shared" si="0"/>
        <v>20.30000016</v>
      </c>
      <c r="V16" s="17">
        <f t="shared" si="1"/>
        <v>9.7596154615384609</v>
      </c>
      <c r="W16">
        <f t="shared" si="2"/>
        <v>-5.3461538461538458</v>
      </c>
      <c r="X16">
        <v>0</v>
      </c>
      <c r="Y16">
        <v>0</v>
      </c>
      <c r="Z16" s="45">
        <f t="shared" si="3"/>
        <v>60</v>
      </c>
    </row>
    <row r="17" spans="2:26" x14ac:dyDescent="0.25">
      <c r="B17" s="44">
        <v>79.400000000000006</v>
      </c>
      <c r="C17" s="44">
        <v>16.3</v>
      </c>
      <c r="D17" s="17">
        <v>1.5030675</v>
      </c>
      <c r="E17" s="17">
        <f t="shared" si="0"/>
        <v>24.500000249999999</v>
      </c>
      <c r="V17" s="17">
        <f t="shared" si="1"/>
        <v>11.778846274038461</v>
      </c>
      <c r="W17">
        <f t="shared" si="2"/>
        <v>-6.8365384615384617</v>
      </c>
      <c r="X17">
        <v>0</v>
      </c>
      <c r="Y17">
        <v>0</v>
      </c>
      <c r="Z17" s="45">
        <f t="shared" si="3"/>
        <v>79.400000000000006</v>
      </c>
    </row>
    <row r="18" spans="2:26" x14ac:dyDescent="0.25">
      <c r="B18" s="44">
        <v>100</v>
      </c>
      <c r="C18" s="44">
        <v>19.399999999999999</v>
      </c>
      <c r="D18" s="17">
        <v>1.4484535999999999</v>
      </c>
      <c r="E18" s="17">
        <f t="shared" si="0"/>
        <v>28.099999839999995</v>
      </c>
      <c r="V18" s="17">
        <f t="shared" si="1"/>
        <v>13.509615307692306</v>
      </c>
      <c r="W18">
        <f t="shared" si="2"/>
        <v>-8.3269230769230766</v>
      </c>
      <c r="X18">
        <v>0</v>
      </c>
      <c r="Y18">
        <v>0</v>
      </c>
      <c r="Z18" s="45">
        <f t="shared" si="3"/>
        <v>100</v>
      </c>
    </row>
    <row r="19" spans="2:26" x14ac:dyDescent="0.25">
      <c r="B19" s="44">
        <v>160</v>
      </c>
      <c r="C19" s="44">
        <v>26.5</v>
      </c>
      <c r="D19" s="17">
        <v>1.35</v>
      </c>
      <c r="E19" s="17">
        <f t="shared" si="0"/>
        <v>35.775000000000006</v>
      </c>
      <c r="V19" s="17">
        <f t="shared" si="1"/>
        <v>17.199519230769234</v>
      </c>
      <c r="W19">
        <f t="shared" si="2"/>
        <v>-11.740384615384615</v>
      </c>
      <c r="X19">
        <v>0</v>
      </c>
      <c r="Y19">
        <v>0</v>
      </c>
      <c r="Z19" s="45">
        <f t="shared" si="3"/>
        <v>160</v>
      </c>
    </row>
    <row r="20" spans="2:26" x14ac:dyDescent="0.25">
      <c r="B20" s="44">
        <v>238</v>
      </c>
      <c r="C20" s="44">
        <v>34.4</v>
      </c>
      <c r="D20" s="17">
        <v>1.2587208999999999</v>
      </c>
      <c r="E20" s="17">
        <f t="shared" si="0"/>
        <v>43.299998959999996</v>
      </c>
      <c r="V20" s="17">
        <f t="shared" si="1"/>
        <v>20.817307192307691</v>
      </c>
      <c r="W20">
        <f t="shared" si="2"/>
        <v>-15.538461538461537</v>
      </c>
      <c r="X20">
        <v>0</v>
      </c>
      <c r="Y20">
        <v>0</v>
      </c>
      <c r="Z20" s="45">
        <f t="shared" si="3"/>
        <v>238</v>
      </c>
    </row>
    <row r="21" spans="2:26" x14ac:dyDescent="0.25">
      <c r="B21" s="44">
        <v>285</v>
      </c>
      <c r="C21" s="44">
        <v>38.299999999999997</v>
      </c>
      <c r="D21" s="17">
        <v>1.22</v>
      </c>
      <c r="E21" s="17">
        <f t="shared" si="0"/>
        <v>46.725999999999992</v>
      </c>
      <c r="V21" s="17">
        <f t="shared" si="1"/>
        <v>22.464423076923072</v>
      </c>
      <c r="W21">
        <f t="shared" si="2"/>
        <v>-17.413461538461537</v>
      </c>
      <c r="X21">
        <v>0</v>
      </c>
      <c r="Y21">
        <v>0</v>
      </c>
      <c r="Z21" s="45">
        <f t="shared" si="3"/>
        <v>285</v>
      </c>
    </row>
    <row r="22" spans="2:26" x14ac:dyDescent="0.25">
      <c r="B22" s="44">
        <v>400</v>
      </c>
      <c r="C22" s="44">
        <v>50.1</v>
      </c>
      <c r="D22" s="17">
        <v>1.1437126</v>
      </c>
      <c r="E22" s="17">
        <f t="shared" si="0"/>
        <v>57.300001260000002</v>
      </c>
      <c r="V22" s="17">
        <f t="shared" si="1"/>
        <v>27.548077528846154</v>
      </c>
      <c r="W22">
        <f t="shared" si="2"/>
        <v>-23.08653846153846</v>
      </c>
      <c r="X22">
        <v>0</v>
      </c>
      <c r="Y22">
        <v>0</v>
      </c>
      <c r="Z22" s="45">
        <f t="shared" si="3"/>
        <v>400</v>
      </c>
    </row>
    <row r="23" spans="2:26" x14ac:dyDescent="0.25">
      <c r="B23" s="44">
        <v>533</v>
      </c>
      <c r="C23" s="44">
        <v>58.8</v>
      </c>
      <c r="D23" s="17">
        <v>1.0731293</v>
      </c>
      <c r="E23" s="17">
        <f t="shared" si="0"/>
        <v>63.100002839999995</v>
      </c>
      <c r="V23" s="17">
        <f t="shared" si="1"/>
        <v>30.336539826923072</v>
      </c>
      <c r="W23">
        <f t="shared" si="2"/>
        <v>-27.269230769230766</v>
      </c>
      <c r="X23">
        <v>0</v>
      </c>
      <c r="Y23">
        <v>0</v>
      </c>
      <c r="Z23" s="45">
        <f t="shared" si="3"/>
        <v>533</v>
      </c>
    </row>
    <row r="24" spans="2:26" x14ac:dyDescent="0.25">
      <c r="B24" s="44">
        <v>794</v>
      </c>
      <c r="C24" s="44">
        <v>73.7</v>
      </c>
      <c r="D24" s="17">
        <v>0.96</v>
      </c>
      <c r="E24" s="17">
        <f t="shared" si="0"/>
        <v>70.751999999999995</v>
      </c>
      <c r="V24" s="17">
        <f t="shared" si="1"/>
        <v>34.015384615384612</v>
      </c>
      <c r="W24">
        <f t="shared" si="2"/>
        <v>-34.432692307692307</v>
      </c>
      <c r="X24">
        <v>0</v>
      </c>
      <c r="Y24">
        <v>0</v>
      </c>
      <c r="Z24" s="45">
        <f t="shared" si="3"/>
        <v>794</v>
      </c>
    </row>
    <row r="25" spans="2:26" x14ac:dyDescent="0.25">
      <c r="B25" s="44">
        <v>1000</v>
      </c>
      <c r="C25" s="44">
        <v>86.4</v>
      </c>
      <c r="D25" s="17">
        <v>0.90856481</v>
      </c>
      <c r="E25" s="17">
        <f t="shared" si="0"/>
        <v>78.499999584000008</v>
      </c>
      <c r="V25" s="17">
        <f t="shared" si="1"/>
        <v>37.740384415384618</v>
      </c>
      <c r="W25">
        <f t="shared" si="2"/>
        <v>-40.53846153846154</v>
      </c>
      <c r="X25">
        <v>0</v>
      </c>
      <c r="Y25">
        <v>0</v>
      </c>
      <c r="Z25" s="45">
        <f t="shared" si="3"/>
        <v>1000</v>
      </c>
    </row>
    <row r="26" spans="2:26" x14ac:dyDescent="0.25">
      <c r="B26" s="44">
        <v>1600</v>
      </c>
      <c r="C26" s="44">
        <v>106</v>
      </c>
      <c r="D26" s="17">
        <v>0.80377357999999999</v>
      </c>
      <c r="E26" s="17">
        <f t="shared" si="0"/>
        <v>85.199999480000002</v>
      </c>
      <c r="V26" s="17">
        <f t="shared" si="1"/>
        <v>40.961538211538461</v>
      </c>
      <c r="W26">
        <f t="shared" si="2"/>
        <v>-49.96153846153846</v>
      </c>
      <c r="X26">
        <v>0</v>
      </c>
      <c r="Y26">
        <v>0</v>
      </c>
      <c r="Z26" s="45">
        <f t="shared" si="3"/>
        <v>1600</v>
      </c>
    </row>
    <row r="27" spans="2:26" x14ac:dyDescent="0.25">
      <c r="B27" s="44">
        <v>2380</v>
      </c>
      <c r="C27" s="44">
        <v>138</v>
      </c>
      <c r="D27" s="17">
        <v>0.71304347999999995</v>
      </c>
      <c r="E27" s="17">
        <f t="shared" si="0"/>
        <v>98.400000239999997</v>
      </c>
      <c r="V27" s="17">
        <f t="shared" si="1"/>
        <v>47.307692423076922</v>
      </c>
      <c r="W27">
        <f t="shared" si="2"/>
        <v>-65.34615384615384</v>
      </c>
      <c r="X27">
        <v>0</v>
      </c>
      <c r="Y27">
        <v>0</v>
      </c>
      <c r="Z27" s="45">
        <f t="shared" si="3"/>
        <v>2380</v>
      </c>
    </row>
    <row r="28" spans="2:26" x14ac:dyDescent="0.25">
      <c r="B28" s="44">
        <v>3180</v>
      </c>
      <c r="C28" s="44">
        <v>159</v>
      </c>
      <c r="D28" s="17">
        <v>0.64779874000000004</v>
      </c>
      <c r="E28" s="17">
        <f t="shared" si="0"/>
        <v>102.99999966</v>
      </c>
      <c r="V28" s="17">
        <f t="shared" si="1"/>
        <v>49.519230605769231</v>
      </c>
      <c r="W28">
        <f t="shared" si="2"/>
        <v>-75.442307692307693</v>
      </c>
      <c r="X28">
        <v>0</v>
      </c>
      <c r="Y28">
        <v>0</v>
      </c>
      <c r="Z28" s="45">
        <f t="shared" si="3"/>
        <v>3180</v>
      </c>
    </row>
    <row r="29" spans="2:26" x14ac:dyDescent="0.25">
      <c r="B29" s="44">
        <v>4770</v>
      </c>
      <c r="C29" s="44">
        <v>188</v>
      </c>
      <c r="D29" s="17">
        <v>0.57978722999999999</v>
      </c>
      <c r="E29" s="17">
        <f t="shared" si="0"/>
        <v>108.99999923999999</v>
      </c>
      <c r="V29" s="17">
        <f t="shared" si="1"/>
        <v>52.403845788461531</v>
      </c>
      <c r="W29">
        <f t="shared" si="2"/>
        <v>-89.384615384615387</v>
      </c>
      <c r="X29">
        <v>0</v>
      </c>
      <c r="Y29">
        <v>0</v>
      </c>
      <c r="Z29" s="45">
        <f t="shared" si="3"/>
        <v>4770</v>
      </c>
    </row>
    <row r="30" spans="2:26" x14ac:dyDescent="0.25">
      <c r="B30" s="44">
        <v>7940</v>
      </c>
      <c r="C30" s="44">
        <v>225</v>
      </c>
      <c r="D30" s="17">
        <v>0.51111110999999998</v>
      </c>
      <c r="E30" s="17">
        <f t="shared" si="0"/>
        <v>114.99999975</v>
      </c>
      <c r="V30" s="17">
        <f t="shared" si="1"/>
        <v>55.288461418269229</v>
      </c>
      <c r="W30">
        <f t="shared" si="2"/>
        <v>-107.17307692307692</v>
      </c>
      <c r="X30">
        <v>0</v>
      </c>
      <c r="Y30">
        <v>0</v>
      </c>
      <c r="Z30" s="45">
        <f t="shared" si="3"/>
        <v>7940</v>
      </c>
    </row>
    <row r="31" spans="2:26" x14ac:dyDescent="0.25">
      <c r="B31" s="44">
        <v>12700</v>
      </c>
      <c r="C31" s="44">
        <v>258</v>
      </c>
      <c r="D31" s="17">
        <v>0.46124030999999999</v>
      </c>
      <c r="E31" s="17">
        <f t="shared" si="0"/>
        <v>118.99999998</v>
      </c>
      <c r="V31" s="17">
        <f t="shared" si="1"/>
        <v>57.211538451923076</v>
      </c>
      <c r="W31">
        <f t="shared" si="2"/>
        <v>-123.03846153846153</v>
      </c>
      <c r="X31">
        <v>0</v>
      </c>
      <c r="Y31">
        <v>0</v>
      </c>
      <c r="Z31" s="45">
        <f t="shared" si="3"/>
        <v>12700</v>
      </c>
    </row>
    <row r="32" spans="2:26" x14ac:dyDescent="0.25">
      <c r="B32" s="44">
        <v>19900</v>
      </c>
      <c r="C32" s="44">
        <v>292</v>
      </c>
      <c r="D32" s="17">
        <v>0.41438355999999998</v>
      </c>
      <c r="E32" s="17">
        <f t="shared" si="0"/>
        <v>120.99999951999999</v>
      </c>
      <c r="V32" s="17">
        <f t="shared" si="1"/>
        <v>58.173076692307681</v>
      </c>
      <c r="W32">
        <f t="shared" si="2"/>
        <v>-139.38461538461539</v>
      </c>
      <c r="X32">
        <v>0</v>
      </c>
      <c r="Y32">
        <v>0</v>
      </c>
      <c r="Z32" s="45">
        <f t="shared" si="3"/>
        <v>19900</v>
      </c>
    </row>
    <row r="33" spans="2:26" x14ac:dyDescent="0.25">
      <c r="B33" s="44">
        <v>31800</v>
      </c>
      <c r="C33" s="44">
        <v>328</v>
      </c>
      <c r="D33" s="17">
        <v>0.37195122000000003</v>
      </c>
      <c r="E33" s="17">
        <f t="shared" si="0"/>
        <v>122.00000016000001</v>
      </c>
      <c r="V33" s="17">
        <f t="shared" si="1"/>
        <v>58.653846230769233</v>
      </c>
      <c r="W33">
        <f t="shared" si="2"/>
        <v>-156.69230769230768</v>
      </c>
      <c r="X33">
        <v>0</v>
      </c>
      <c r="Y33">
        <v>0</v>
      </c>
      <c r="Z33" s="45">
        <f t="shared" si="3"/>
        <v>31800</v>
      </c>
    </row>
    <row r="34" spans="2:26" x14ac:dyDescent="0.25">
      <c r="B34" s="44">
        <v>50000</v>
      </c>
      <c r="C34" s="44">
        <v>354</v>
      </c>
      <c r="D34" s="17">
        <v>0.33615819000000002</v>
      </c>
      <c r="E34" s="17">
        <f t="shared" si="0"/>
        <v>118.99999926000001</v>
      </c>
      <c r="V34" s="17">
        <f t="shared" si="1"/>
        <v>57.211538105769236</v>
      </c>
      <c r="W34">
        <f t="shared" si="2"/>
        <v>-169.19230769230768</v>
      </c>
      <c r="X34">
        <v>0</v>
      </c>
      <c r="Y34">
        <v>0</v>
      </c>
      <c r="Z34" s="45">
        <f t="shared" si="3"/>
        <v>50000</v>
      </c>
    </row>
    <row r="35" spans="2:26" x14ac:dyDescent="0.25">
      <c r="B35" s="44">
        <v>79400</v>
      </c>
      <c r="C35" s="44">
        <v>386</v>
      </c>
      <c r="D35" s="17">
        <v>0.30569948000000002</v>
      </c>
      <c r="E35" s="17">
        <f t="shared" si="0"/>
        <v>117.99999928000001</v>
      </c>
      <c r="V35" s="17">
        <f t="shared" si="1"/>
        <v>56.730768884615387</v>
      </c>
      <c r="W35">
        <f t="shared" si="2"/>
        <v>-184.57692307692307</v>
      </c>
      <c r="X35">
        <v>0</v>
      </c>
      <c r="Y35">
        <v>0</v>
      </c>
      <c r="Z35" s="45">
        <f t="shared" si="3"/>
        <v>79400</v>
      </c>
    </row>
    <row r="36" spans="2:26" x14ac:dyDescent="0.25">
      <c r="B36" s="44">
        <v>127000</v>
      </c>
      <c r="C36" s="44">
        <v>418</v>
      </c>
      <c r="D36" s="17">
        <v>0.28229664999999998</v>
      </c>
      <c r="E36" s="17">
        <f t="shared" si="0"/>
        <v>117.99999969999999</v>
      </c>
      <c r="H36" s="70" t="s">
        <v>181</v>
      </c>
      <c r="I36" s="70"/>
      <c r="J36" s="70"/>
      <c r="K36" s="70"/>
      <c r="L36" s="70"/>
      <c r="M36" s="70"/>
      <c r="N36" s="70"/>
      <c r="O36" s="70"/>
      <c r="P36" s="70"/>
      <c r="Q36" s="70"/>
      <c r="R36" s="70"/>
      <c r="V36" s="17">
        <f t="shared" si="1"/>
        <v>56.730769086538452</v>
      </c>
      <c r="W36">
        <f t="shared" si="2"/>
        <v>-199.96153846153845</v>
      </c>
      <c r="X36">
        <v>0</v>
      </c>
      <c r="Y36">
        <v>0</v>
      </c>
      <c r="Z36" s="45">
        <f t="shared" si="3"/>
        <v>127000</v>
      </c>
    </row>
    <row r="37" spans="2:26" x14ac:dyDescent="0.25">
      <c r="B37" s="44">
        <v>238000</v>
      </c>
      <c r="C37" s="44">
        <v>461</v>
      </c>
      <c r="D37" s="17">
        <v>0.25379610000000002</v>
      </c>
      <c r="E37" s="17">
        <f t="shared" si="0"/>
        <v>117.00000210000002</v>
      </c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V37" s="17">
        <f t="shared" si="1"/>
        <v>56.250001009615389</v>
      </c>
      <c r="W37">
        <f t="shared" si="2"/>
        <v>-220.63461538461539</v>
      </c>
      <c r="X37">
        <v>0</v>
      </c>
      <c r="Y37">
        <v>0</v>
      </c>
      <c r="Z37" s="45">
        <f t="shared" si="3"/>
        <v>238000</v>
      </c>
    </row>
    <row r="38" spans="2:26" x14ac:dyDescent="0.25">
      <c r="B38" s="44">
        <v>500000</v>
      </c>
      <c r="C38" s="44">
        <v>501</v>
      </c>
      <c r="D38" s="17">
        <v>0.22954092000000001</v>
      </c>
      <c r="E38" s="17">
        <f t="shared" si="0"/>
        <v>115.00000092000001</v>
      </c>
      <c r="V38" s="17">
        <f t="shared" si="1"/>
        <v>55.288461980769235</v>
      </c>
      <c r="W38">
        <f t="shared" si="2"/>
        <v>-239.86538461538461</v>
      </c>
      <c r="X38">
        <v>0</v>
      </c>
      <c r="Y38">
        <v>0</v>
      </c>
      <c r="Z38" s="45">
        <f t="shared" si="3"/>
        <v>500000</v>
      </c>
    </row>
    <row r="39" spans="2:26" x14ac:dyDescent="0.25">
      <c r="B39" s="44">
        <v>794000</v>
      </c>
      <c r="C39" s="44">
        <v>530</v>
      </c>
      <c r="D39" s="17">
        <v>0.21320755</v>
      </c>
      <c r="E39" s="17">
        <f t="shared" si="0"/>
        <v>113.0000015</v>
      </c>
      <c r="H39" t="s">
        <v>182</v>
      </c>
      <c r="V39" s="17">
        <f t="shared" si="1"/>
        <v>54.326923798076919</v>
      </c>
      <c r="W39">
        <f t="shared" si="2"/>
        <v>-253.80769230769229</v>
      </c>
      <c r="X39">
        <v>0</v>
      </c>
      <c r="Y39">
        <v>0</v>
      </c>
      <c r="Z39" s="45">
        <f t="shared" si="3"/>
        <v>794000</v>
      </c>
    </row>
    <row r="41" spans="2:26" x14ac:dyDescent="0.25">
      <c r="B41" t="s">
        <v>27</v>
      </c>
      <c r="V41" t="s">
        <v>42</v>
      </c>
    </row>
  </sheetData>
  <mergeCells count="1">
    <mergeCell ref="H36:R37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8"/>
  <sheetViews>
    <sheetView workbookViewId="0">
      <selection activeCell="B8" sqref="B8:B27"/>
    </sheetView>
  </sheetViews>
  <sheetFormatPr defaultRowHeight="15" x14ac:dyDescent="0.25"/>
  <sheetData>
    <row r="2" spans="2:4" x14ac:dyDescent="0.25">
      <c r="B2" t="s">
        <v>28</v>
      </c>
    </row>
    <row r="3" spans="2:4" x14ac:dyDescent="0.25">
      <c r="B3" t="s">
        <v>29</v>
      </c>
    </row>
    <row r="4" spans="2:4" x14ac:dyDescent="0.25">
      <c r="B4" t="s">
        <v>30</v>
      </c>
    </row>
    <row r="5" spans="2:4" x14ac:dyDescent="0.25">
      <c r="B5" t="s">
        <v>31</v>
      </c>
    </row>
    <row r="6" spans="2:4" x14ac:dyDescent="0.25">
      <c r="B6" s="17">
        <v>109730000</v>
      </c>
      <c r="C6" s="17">
        <v>1.7450000000000001E-9</v>
      </c>
    </row>
    <row r="7" spans="2:4" x14ac:dyDescent="0.25">
      <c r="B7" t="s">
        <v>32</v>
      </c>
    </row>
    <row r="8" spans="2:4" x14ac:dyDescent="0.25">
      <c r="B8" s="17">
        <v>0.18706</v>
      </c>
      <c r="C8">
        <v>0</v>
      </c>
      <c r="D8" s="17">
        <v>1.26E-6</v>
      </c>
    </row>
    <row r="9" spans="2:4" x14ac:dyDescent="0.25">
      <c r="B9" s="17">
        <v>0.15840000000000001</v>
      </c>
      <c r="C9">
        <v>0</v>
      </c>
      <c r="D9" s="17">
        <v>2.9399999999999998E-6</v>
      </c>
    </row>
    <row r="10" spans="2:4" x14ac:dyDescent="0.25">
      <c r="B10" s="17">
        <v>0.13761000000000001</v>
      </c>
      <c r="C10">
        <v>0</v>
      </c>
      <c r="D10" s="17">
        <v>6.8700000000000003E-6</v>
      </c>
    </row>
    <row r="11" spans="2:4" x14ac:dyDescent="0.25">
      <c r="B11" s="17">
        <v>0.12378</v>
      </c>
      <c r="C11">
        <v>0</v>
      </c>
      <c r="D11" s="17">
        <v>1.5999999999999999E-5</v>
      </c>
    </row>
    <row r="12" spans="2:4" x14ac:dyDescent="0.25">
      <c r="B12" s="17">
        <v>0.11283</v>
      </c>
      <c r="C12">
        <v>0</v>
      </c>
      <c r="D12" s="17">
        <v>3.7499999999999997E-5</v>
      </c>
    </row>
    <row r="13" spans="2:4" x14ac:dyDescent="0.25">
      <c r="B13" s="17">
        <v>9.8683999999999994E-2</v>
      </c>
      <c r="C13">
        <v>0</v>
      </c>
      <c r="D13" s="17">
        <v>8.7499999999999999E-5</v>
      </c>
    </row>
    <row r="14" spans="2:4" x14ac:dyDescent="0.25">
      <c r="B14" s="17">
        <v>7.5818999999999998E-2</v>
      </c>
      <c r="C14">
        <v>0</v>
      </c>
      <c r="D14" s="17">
        <v>2.04E-4</v>
      </c>
    </row>
    <row r="15" spans="2:4" x14ac:dyDescent="0.25">
      <c r="B15" s="17">
        <v>4.7521000000000001E-2</v>
      </c>
      <c r="C15">
        <v>0</v>
      </c>
      <c r="D15" s="17">
        <v>4.7800000000000002E-4</v>
      </c>
    </row>
    <row r="16" spans="2:4" x14ac:dyDescent="0.25">
      <c r="B16" s="17">
        <v>2.4476999999999999E-2</v>
      </c>
      <c r="C16">
        <v>0</v>
      </c>
      <c r="D16" s="17">
        <v>1.1199999999999999E-3</v>
      </c>
    </row>
    <row r="17" spans="2:4" x14ac:dyDescent="0.25">
      <c r="B17" s="17">
        <v>1.1651E-2</v>
      </c>
      <c r="C17">
        <v>0</v>
      </c>
      <c r="D17" s="17">
        <v>2.6099999999999999E-3</v>
      </c>
    </row>
    <row r="18" spans="2:4" x14ac:dyDescent="0.25">
      <c r="B18" s="17">
        <v>5.8276999999999999E-3</v>
      </c>
      <c r="C18">
        <v>0</v>
      </c>
      <c r="D18" s="17">
        <v>6.0800000000000003E-3</v>
      </c>
    </row>
    <row r="19" spans="2:4" x14ac:dyDescent="0.25">
      <c r="B19" s="17">
        <v>3.1949000000000001E-3</v>
      </c>
      <c r="C19">
        <v>0</v>
      </c>
      <c r="D19" s="17">
        <v>1.4200000000000001E-2</v>
      </c>
    </row>
    <row r="20" spans="2:4" x14ac:dyDescent="0.25">
      <c r="B20" s="17">
        <v>1.8477000000000001E-3</v>
      </c>
      <c r="C20">
        <v>0</v>
      </c>
      <c r="D20" s="17">
        <v>3.32E-2</v>
      </c>
    </row>
    <row r="21" spans="2:4" x14ac:dyDescent="0.25">
      <c r="B21" s="17">
        <v>1.0526999999999999E-3</v>
      </c>
      <c r="C21">
        <v>0</v>
      </c>
      <c r="D21" s="17">
        <v>7.7499999999999999E-2</v>
      </c>
    </row>
    <row r="22" spans="2:4" x14ac:dyDescent="0.25">
      <c r="B22" s="17">
        <v>5.6386999999999995E-4</v>
      </c>
      <c r="C22">
        <v>0</v>
      </c>
      <c r="D22" s="17">
        <v>0.18099999999999999</v>
      </c>
    </row>
    <row r="23" spans="2:4" x14ac:dyDescent="0.25">
      <c r="B23" s="17">
        <v>2.8585999999999998E-4</v>
      </c>
      <c r="C23">
        <v>0</v>
      </c>
      <c r="D23" s="17">
        <v>0.42299999999999999</v>
      </c>
    </row>
    <row r="24" spans="2:4" x14ac:dyDescent="0.25">
      <c r="B24" s="17">
        <v>1.4378000000000001E-4</v>
      </c>
      <c r="C24">
        <v>0</v>
      </c>
      <c r="D24" s="17">
        <v>0.98799999999999999</v>
      </c>
    </row>
    <row r="25" spans="2:4" x14ac:dyDescent="0.25">
      <c r="B25" s="17">
        <v>7.4216999999999998E-5</v>
      </c>
      <c r="C25">
        <v>0</v>
      </c>
      <c r="D25" s="17">
        <v>2.31</v>
      </c>
    </row>
    <row r="26" spans="2:4" x14ac:dyDescent="0.25">
      <c r="B26" s="17">
        <v>3.9113000000000003E-5</v>
      </c>
      <c r="C26">
        <v>0</v>
      </c>
      <c r="D26" s="17">
        <v>5.39</v>
      </c>
    </row>
    <row r="27" spans="2:4" x14ac:dyDescent="0.25">
      <c r="B27" s="17">
        <v>2.0746000000000001E-5</v>
      </c>
      <c r="C27">
        <v>0</v>
      </c>
      <c r="D27" s="17">
        <v>12.6</v>
      </c>
    </row>
    <row r="28" spans="2:4" x14ac:dyDescent="0.25">
      <c r="B28" t="s">
        <v>33</v>
      </c>
    </row>
    <row r="29" spans="2:4" x14ac:dyDescent="0.25">
      <c r="B29" t="s">
        <v>34</v>
      </c>
    </row>
    <row r="30" spans="2:4" x14ac:dyDescent="0.25">
      <c r="B30" t="s">
        <v>35</v>
      </c>
    </row>
    <row r="31" spans="2:4" x14ac:dyDescent="0.25">
      <c r="B31" t="s">
        <v>36</v>
      </c>
    </row>
    <row r="32" spans="2:4" x14ac:dyDescent="0.25">
      <c r="B32" s="17">
        <v>9.1718000000000005E-5</v>
      </c>
      <c r="C32">
        <v>20</v>
      </c>
    </row>
    <row r="33" spans="2:8" x14ac:dyDescent="0.25">
      <c r="B33" s="17">
        <v>9.5552999999999998E-5</v>
      </c>
      <c r="C33">
        <v>25</v>
      </c>
    </row>
    <row r="34" spans="2:8" x14ac:dyDescent="0.25">
      <c r="B34" s="17">
        <v>9.9353999999999998E-5</v>
      </c>
      <c r="C34">
        <v>30</v>
      </c>
      <c r="G34" s="19" t="s">
        <v>179</v>
      </c>
      <c r="H34" s="44">
        <f>SUM(B8:B27)</f>
        <v>0.99088258600000001</v>
      </c>
    </row>
    <row r="35" spans="2:8" x14ac:dyDescent="0.25">
      <c r="B35" s="17">
        <v>1.052E-4</v>
      </c>
      <c r="C35">
        <v>35</v>
      </c>
    </row>
    <row r="36" spans="2:8" x14ac:dyDescent="0.25">
      <c r="B36" s="17">
        <v>1.1222000000000001E-4</v>
      </c>
      <c r="C36">
        <v>40</v>
      </c>
    </row>
    <row r="37" spans="2:8" x14ac:dyDescent="0.25">
      <c r="B37" s="17">
        <v>1.2082999999999999E-4</v>
      </c>
      <c r="C37">
        <v>45</v>
      </c>
    </row>
    <row r="38" spans="2:8" x14ac:dyDescent="0.25">
      <c r="B38" s="17">
        <v>1.3032000000000001E-4</v>
      </c>
      <c r="C38">
        <v>50</v>
      </c>
    </row>
    <row r="39" spans="2:8" x14ac:dyDescent="0.25">
      <c r="B39" s="17">
        <v>1.3899E-4</v>
      </c>
      <c r="C39">
        <v>55</v>
      </c>
    </row>
    <row r="40" spans="2:8" x14ac:dyDescent="0.25">
      <c r="B40" s="17">
        <v>1.4697000000000001E-4</v>
      </c>
      <c r="C40">
        <v>60</v>
      </c>
    </row>
    <row r="41" spans="2:8" x14ac:dyDescent="0.25">
      <c r="B41" s="17">
        <v>1.5258000000000001E-4</v>
      </c>
      <c r="C41">
        <v>65</v>
      </c>
    </row>
    <row r="42" spans="2:8" x14ac:dyDescent="0.25">
      <c r="B42" s="17">
        <v>1.5652E-4</v>
      </c>
      <c r="C42">
        <v>70</v>
      </c>
    </row>
    <row r="43" spans="2:8" x14ac:dyDescent="0.25">
      <c r="B43" s="17">
        <v>1.5943000000000001E-4</v>
      </c>
      <c r="C43">
        <v>75</v>
      </c>
    </row>
    <row r="44" spans="2:8" x14ac:dyDescent="0.25">
      <c r="B44" t="s">
        <v>37</v>
      </c>
    </row>
    <row r="45" spans="2:8" x14ac:dyDescent="0.25">
      <c r="B45" t="s">
        <v>36</v>
      </c>
    </row>
    <row r="46" spans="2:8" x14ac:dyDescent="0.25">
      <c r="B46" s="17">
        <v>1.1741E-4</v>
      </c>
      <c r="C46">
        <v>20</v>
      </c>
    </row>
    <row r="47" spans="2:8" x14ac:dyDescent="0.25">
      <c r="B47" s="17">
        <v>1.2162E-4</v>
      </c>
      <c r="C47">
        <v>25</v>
      </c>
    </row>
    <row r="48" spans="2:8" x14ac:dyDescent="0.25">
      <c r="B48" s="17">
        <v>1.2589E-4</v>
      </c>
      <c r="C48">
        <v>30</v>
      </c>
    </row>
    <row r="49" spans="2:3" x14ac:dyDescent="0.25">
      <c r="B49" s="17">
        <v>1.3229E-4</v>
      </c>
      <c r="C49">
        <v>35</v>
      </c>
    </row>
    <row r="50" spans="2:3" x14ac:dyDescent="0.25">
      <c r="B50" s="17">
        <v>1.4066E-4</v>
      </c>
      <c r="C50">
        <v>40</v>
      </c>
    </row>
    <row r="51" spans="2:3" x14ac:dyDescent="0.25">
      <c r="B51" s="17">
        <v>1.4997E-4</v>
      </c>
      <c r="C51">
        <v>45</v>
      </c>
    </row>
    <row r="52" spans="2:3" x14ac:dyDescent="0.25">
      <c r="B52" s="17">
        <v>1.5867999999999999E-4</v>
      </c>
      <c r="C52">
        <v>50</v>
      </c>
    </row>
    <row r="53" spans="2:3" x14ac:dyDescent="0.25">
      <c r="B53" s="17">
        <v>1.6657999999999999E-4</v>
      </c>
      <c r="C53">
        <v>55</v>
      </c>
    </row>
    <row r="54" spans="2:3" x14ac:dyDescent="0.25">
      <c r="B54" s="17">
        <v>1.7326E-4</v>
      </c>
      <c r="C54">
        <v>60</v>
      </c>
    </row>
    <row r="55" spans="2:3" x14ac:dyDescent="0.25">
      <c r="B55" s="17">
        <v>1.7810999999999999E-4</v>
      </c>
      <c r="C55">
        <v>65</v>
      </c>
    </row>
    <row r="56" spans="2:3" x14ac:dyDescent="0.25">
      <c r="B56" s="17">
        <v>1.817E-4</v>
      </c>
      <c r="C56">
        <v>70</v>
      </c>
    </row>
    <row r="57" spans="2:3" x14ac:dyDescent="0.25">
      <c r="B57" s="17">
        <v>1.8425000000000001E-4</v>
      </c>
      <c r="C57">
        <v>75</v>
      </c>
    </row>
    <row r="58" spans="2:3" x14ac:dyDescent="0.25">
      <c r="B58" t="s">
        <v>38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03"/>
  <sheetViews>
    <sheetView workbookViewId="0">
      <selection activeCell="D179" sqref="D179:D188"/>
    </sheetView>
  </sheetViews>
  <sheetFormatPr defaultRowHeight="15" x14ac:dyDescent="0.25"/>
  <sheetData>
    <row r="3" spans="1:6" x14ac:dyDescent="0.25">
      <c r="F3" t="s">
        <v>43</v>
      </c>
    </row>
    <row r="8" spans="1:6" x14ac:dyDescent="0.25">
      <c r="A8" t="s">
        <v>175</v>
      </c>
    </row>
    <row r="10" spans="1:6" x14ac:dyDescent="0.25">
      <c r="A10" t="s">
        <v>44</v>
      </c>
    </row>
    <row r="12" spans="1:6" x14ac:dyDescent="0.25">
      <c r="A12" t="s">
        <v>45</v>
      </c>
    </row>
    <row r="13" spans="1:6" x14ac:dyDescent="0.25">
      <c r="A13" t="s">
        <v>46</v>
      </c>
    </row>
    <row r="14" spans="1:6" x14ac:dyDescent="0.25">
      <c r="A14" t="s">
        <v>47</v>
      </c>
    </row>
    <row r="15" spans="1:6" x14ac:dyDescent="0.25">
      <c r="A15" t="s">
        <v>48</v>
      </c>
    </row>
    <row r="16" spans="1:6" x14ac:dyDescent="0.25">
      <c r="A16" t="s">
        <v>49</v>
      </c>
    </row>
    <row r="17" spans="1:1" x14ac:dyDescent="0.25">
      <c r="A17" t="s">
        <v>50</v>
      </c>
    </row>
    <row r="18" spans="1:1" x14ac:dyDescent="0.25">
      <c r="A18" t="s">
        <v>51</v>
      </c>
    </row>
    <row r="19" spans="1:1" x14ac:dyDescent="0.25">
      <c r="A19" t="s">
        <v>52</v>
      </c>
    </row>
    <row r="20" spans="1:1" x14ac:dyDescent="0.25">
      <c r="A20" t="s">
        <v>53</v>
      </c>
    </row>
    <row r="21" spans="1:1" x14ac:dyDescent="0.25">
      <c r="A21" t="s">
        <v>54</v>
      </c>
    </row>
    <row r="23" spans="1:1" x14ac:dyDescent="0.25">
      <c r="A23" t="s">
        <v>55</v>
      </c>
    </row>
    <row r="24" spans="1:1" x14ac:dyDescent="0.25">
      <c r="A24" t="s">
        <v>56</v>
      </c>
    </row>
    <row r="25" spans="1:1" x14ac:dyDescent="0.25">
      <c r="A25" t="s">
        <v>57</v>
      </c>
    </row>
    <row r="26" spans="1:1" x14ac:dyDescent="0.25">
      <c r="A26" t="s">
        <v>53</v>
      </c>
    </row>
    <row r="27" spans="1:1" x14ac:dyDescent="0.25">
      <c r="A27" t="s">
        <v>58</v>
      </c>
    </row>
    <row r="28" spans="1:1" x14ac:dyDescent="0.25">
      <c r="A28" t="s">
        <v>59</v>
      </c>
    </row>
    <row r="30" spans="1:1" x14ac:dyDescent="0.25">
      <c r="A30" t="s">
        <v>55</v>
      </c>
    </row>
    <row r="31" spans="1:1" x14ac:dyDescent="0.25">
      <c r="A31" t="s">
        <v>56</v>
      </c>
    </row>
    <row r="32" spans="1:1" x14ac:dyDescent="0.25">
      <c r="A32" t="s">
        <v>60</v>
      </c>
    </row>
    <row r="33" spans="1:1" x14ac:dyDescent="0.25">
      <c r="A33" t="s">
        <v>53</v>
      </c>
    </row>
    <row r="34" spans="1:1" x14ac:dyDescent="0.25">
      <c r="A34" t="s">
        <v>61</v>
      </c>
    </row>
    <row r="35" spans="1:1" x14ac:dyDescent="0.25">
      <c r="A35" t="s">
        <v>62</v>
      </c>
    </row>
    <row r="36" spans="1:1" x14ac:dyDescent="0.25">
      <c r="A36" t="s">
        <v>63</v>
      </c>
    </row>
    <row r="38" spans="1:1" x14ac:dyDescent="0.25">
      <c r="A38" t="s">
        <v>55</v>
      </c>
    </row>
    <row r="39" spans="1:1" x14ac:dyDescent="0.25">
      <c r="A39" t="s">
        <v>56</v>
      </c>
    </row>
    <row r="40" spans="1:1" x14ac:dyDescent="0.25">
      <c r="A40" t="s">
        <v>64</v>
      </c>
    </row>
    <row r="41" spans="1:1" x14ac:dyDescent="0.25">
      <c r="A41" t="s">
        <v>53</v>
      </c>
    </row>
    <row r="42" spans="1:1" x14ac:dyDescent="0.25">
      <c r="A42" t="s">
        <v>65</v>
      </c>
    </row>
    <row r="43" spans="1:1" x14ac:dyDescent="0.25">
      <c r="A43" t="s">
        <v>66</v>
      </c>
    </row>
    <row r="44" spans="1:1" x14ac:dyDescent="0.25">
      <c r="A44" t="s">
        <v>67</v>
      </c>
    </row>
    <row r="45" spans="1:1" x14ac:dyDescent="0.25">
      <c r="A45" t="s">
        <v>68</v>
      </c>
    </row>
    <row r="47" spans="1:1" x14ac:dyDescent="0.25">
      <c r="A47" t="s">
        <v>55</v>
      </c>
    </row>
    <row r="48" spans="1:1" x14ac:dyDescent="0.25">
      <c r="A48" t="s">
        <v>56</v>
      </c>
    </row>
    <row r="49" spans="1:1" x14ac:dyDescent="0.25">
      <c r="A49" t="s">
        <v>69</v>
      </c>
    </row>
    <row r="50" spans="1:1" x14ac:dyDescent="0.25">
      <c r="A50" t="s">
        <v>53</v>
      </c>
    </row>
    <row r="51" spans="1:1" x14ac:dyDescent="0.25">
      <c r="A51" t="s">
        <v>70</v>
      </c>
    </row>
    <row r="52" spans="1:1" x14ac:dyDescent="0.25">
      <c r="A52" t="s">
        <v>71</v>
      </c>
    </row>
    <row r="53" spans="1:1" x14ac:dyDescent="0.25">
      <c r="A53" t="s">
        <v>72</v>
      </c>
    </row>
    <row r="54" spans="1:1" x14ac:dyDescent="0.25">
      <c r="A54" t="s">
        <v>73</v>
      </c>
    </row>
    <row r="55" spans="1:1" x14ac:dyDescent="0.25">
      <c r="A55" t="s">
        <v>74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75</v>
      </c>
    </row>
    <row r="60" spans="1:1" x14ac:dyDescent="0.25">
      <c r="A60" t="s">
        <v>53</v>
      </c>
    </row>
    <row r="61" spans="1:1" x14ac:dyDescent="0.25">
      <c r="A61" t="s">
        <v>76</v>
      </c>
    </row>
    <row r="62" spans="1:1" x14ac:dyDescent="0.25">
      <c r="A62" t="s">
        <v>77</v>
      </c>
    </row>
    <row r="63" spans="1:1" x14ac:dyDescent="0.25">
      <c r="A63" t="s">
        <v>78</v>
      </c>
    </row>
    <row r="64" spans="1:1" x14ac:dyDescent="0.25">
      <c r="A64" t="s">
        <v>79</v>
      </c>
    </row>
    <row r="65" spans="1:1" x14ac:dyDescent="0.25">
      <c r="A65" t="s">
        <v>80</v>
      </c>
    </row>
    <row r="66" spans="1:1" x14ac:dyDescent="0.25">
      <c r="A66" t="s">
        <v>81</v>
      </c>
    </row>
    <row r="68" spans="1:1" x14ac:dyDescent="0.25">
      <c r="A68" t="s">
        <v>55</v>
      </c>
    </row>
    <row r="69" spans="1:1" x14ac:dyDescent="0.25">
      <c r="A69" t="s">
        <v>56</v>
      </c>
    </row>
    <row r="70" spans="1:1" x14ac:dyDescent="0.25">
      <c r="A70" t="s">
        <v>82</v>
      </c>
    </row>
    <row r="71" spans="1:1" x14ac:dyDescent="0.25">
      <c r="A71" t="s">
        <v>53</v>
      </c>
    </row>
    <row r="72" spans="1:1" x14ac:dyDescent="0.25">
      <c r="A72" t="s">
        <v>83</v>
      </c>
    </row>
    <row r="73" spans="1:1" x14ac:dyDescent="0.25">
      <c r="A73" t="s">
        <v>84</v>
      </c>
    </row>
    <row r="74" spans="1:1" x14ac:dyDescent="0.25">
      <c r="A74" t="s">
        <v>85</v>
      </c>
    </row>
    <row r="75" spans="1:1" x14ac:dyDescent="0.25">
      <c r="A75" t="s">
        <v>86</v>
      </c>
    </row>
    <row r="76" spans="1:1" x14ac:dyDescent="0.25">
      <c r="A76" t="s">
        <v>87</v>
      </c>
    </row>
    <row r="77" spans="1:1" x14ac:dyDescent="0.25">
      <c r="A77" t="s">
        <v>88</v>
      </c>
    </row>
    <row r="78" spans="1:1" x14ac:dyDescent="0.25">
      <c r="A78" t="s">
        <v>89</v>
      </c>
    </row>
    <row r="80" spans="1:1" x14ac:dyDescent="0.25">
      <c r="A80" t="s">
        <v>55</v>
      </c>
    </row>
    <row r="81" spans="1:1" x14ac:dyDescent="0.25">
      <c r="A81" t="s">
        <v>56</v>
      </c>
    </row>
    <row r="82" spans="1:1" x14ac:dyDescent="0.25">
      <c r="A82" t="s">
        <v>90</v>
      </c>
    </row>
    <row r="83" spans="1:1" x14ac:dyDescent="0.25">
      <c r="A83" t="s">
        <v>53</v>
      </c>
    </row>
    <row r="84" spans="1:1" x14ac:dyDescent="0.25">
      <c r="A84" t="s">
        <v>91</v>
      </c>
    </row>
    <row r="85" spans="1:1" x14ac:dyDescent="0.25">
      <c r="A85" t="s">
        <v>92</v>
      </c>
    </row>
    <row r="86" spans="1:1" x14ac:dyDescent="0.25">
      <c r="A86" t="s">
        <v>93</v>
      </c>
    </row>
    <row r="87" spans="1:1" x14ac:dyDescent="0.25">
      <c r="A87" t="s">
        <v>94</v>
      </c>
    </row>
    <row r="88" spans="1:1" x14ac:dyDescent="0.25">
      <c r="A88" t="s">
        <v>95</v>
      </c>
    </row>
    <row r="89" spans="1:1" x14ac:dyDescent="0.25">
      <c r="A89" t="s">
        <v>96</v>
      </c>
    </row>
    <row r="90" spans="1:1" x14ac:dyDescent="0.25">
      <c r="A90" t="s">
        <v>97</v>
      </c>
    </row>
    <row r="91" spans="1:1" x14ac:dyDescent="0.25">
      <c r="A91" t="s">
        <v>98</v>
      </c>
    </row>
    <row r="93" spans="1:1" x14ac:dyDescent="0.25">
      <c r="A93" t="s">
        <v>55</v>
      </c>
    </row>
    <row r="94" spans="1:1" x14ac:dyDescent="0.25">
      <c r="A94" t="s">
        <v>56</v>
      </c>
    </row>
    <row r="95" spans="1:1" x14ac:dyDescent="0.25">
      <c r="A95" t="s">
        <v>99</v>
      </c>
    </row>
    <row r="96" spans="1:1" x14ac:dyDescent="0.25">
      <c r="A96" t="s">
        <v>53</v>
      </c>
    </row>
    <row r="97" spans="1:1" x14ac:dyDescent="0.25">
      <c r="A97" t="s">
        <v>100</v>
      </c>
    </row>
    <row r="98" spans="1:1" x14ac:dyDescent="0.25">
      <c r="A98" t="s">
        <v>101</v>
      </c>
    </row>
    <row r="99" spans="1:1" x14ac:dyDescent="0.25">
      <c r="A99" t="s">
        <v>102</v>
      </c>
    </row>
    <row r="100" spans="1:1" x14ac:dyDescent="0.25">
      <c r="A100" t="s">
        <v>103</v>
      </c>
    </row>
    <row r="101" spans="1:1" x14ac:dyDescent="0.25">
      <c r="A101" t="s">
        <v>104</v>
      </c>
    </row>
    <row r="102" spans="1:1" x14ac:dyDescent="0.25">
      <c r="A102" t="s">
        <v>105</v>
      </c>
    </row>
    <row r="103" spans="1:1" x14ac:dyDescent="0.25">
      <c r="A103" t="s">
        <v>106</v>
      </c>
    </row>
    <row r="104" spans="1:1" x14ac:dyDescent="0.25">
      <c r="A104" t="s">
        <v>107</v>
      </c>
    </row>
    <row r="105" spans="1:1" x14ac:dyDescent="0.25">
      <c r="A105" t="s">
        <v>108</v>
      </c>
    </row>
    <row r="107" spans="1:1" x14ac:dyDescent="0.25">
      <c r="A107" t="s">
        <v>55</v>
      </c>
    </row>
    <row r="108" spans="1:1" x14ac:dyDescent="0.25">
      <c r="A108" t="s">
        <v>56</v>
      </c>
    </row>
    <row r="109" spans="1:1" x14ac:dyDescent="0.25">
      <c r="A109" t="s">
        <v>109</v>
      </c>
    </row>
    <row r="110" spans="1:1" x14ac:dyDescent="0.25">
      <c r="A110" t="s">
        <v>53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2" spans="1:1" x14ac:dyDescent="0.25">
      <c r="A122" t="s">
        <v>55</v>
      </c>
    </row>
    <row r="123" spans="1:1" x14ac:dyDescent="0.25">
      <c r="A123" t="s">
        <v>56</v>
      </c>
    </row>
    <row r="124" spans="1:1" x14ac:dyDescent="0.25">
      <c r="A124" t="s">
        <v>120</v>
      </c>
    </row>
    <row r="125" spans="1:1" x14ac:dyDescent="0.25">
      <c r="A125" t="s">
        <v>53</v>
      </c>
    </row>
    <row r="126" spans="1:1" x14ac:dyDescent="0.25">
      <c r="A126" t="s">
        <v>121</v>
      </c>
    </row>
    <row r="127" spans="1:1" x14ac:dyDescent="0.25">
      <c r="A127" t="s">
        <v>122</v>
      </c>
    </row>
    <row r="128" spans="1:1" x14ac:dyDescent="0.25">
      <c r="A128" t="s">
        <v>123</v>
      </c>
    </row>
    <row r="129" spans="1:1" x14ac:dyDescent="0.25">
      <c r="A129" t="s">
        <v>124</v>
      </c>
    </row>
    <row r="130" spans="1:1" x14ac:dyDescent="0.25">
      <c r="A130" t="s">
        <v>125</v>
      </c>
    </row>
    <row r="131" spans="1:1" x14ac:dyDescent="0.25">
      <c r="A131" t="s">
        <v>126</v>
      </c>
    </row>
    <row r="132" spans="1:1" x14ac:dyDescent="0.25">
      <c r="A132" t="s">
        <v>127</v>
      </c>
    </row>
    <row r="133" spans="1:1" x14ac:dyDescent="0.25">
      <c r="A133" t="s">
        <v>128</v>
      </c>
    </row>
    <row r="134" spans="1:1" x14ac:dyDescent="0.25">
      <c r="A134" t="s">
        <v>129</v>
      </c>
    </row>
    <row r="135" spans="1:1" x14ac:dyDescent="0.25">
      <c r="A135" t="s">
        <v>130</v>
      </c>
    </row>
    <row r="136" spans="1:1" x14ac:dyDescent="0.25">
      <c r="A136" t="s">
        <v>131</v>
      </c>
    </row>
    <row r="138" spans="1:1" x14ac:dyDescent="0.25">
      <c r="A138" t="s">
        <v>55</v>
      </c>
    </row>
    <row r="139" spans="1:1" x14ac:dyDescent="0.25">
      <c r="A139" t="s">
        <v>56</v>
      </c>
    </row>
    <row r="140" spans="1:1" x14ac:dyDescent="0.25">
      <c r="A140" t="s">
        <v>132</v>
      </c>
    </row>
    <row r="141" spans="1:1" x14ac:dyDescent="0.25">
      <c r="A141" t="s">
        <v>53</v>
      </c>
    </row>
    <row r="142" spans="1:1" x14ac:dyDescent="0.25">
      <c r="A142" t="s">
        <v>133</v>
      </c>
    </row>
    <row r="143" spans="1:1" x14ac:dyDescent="0.25">
      <c r="A143" t="s">
        <v>134</v>
      </c>
    </row>
    <row r="144" spans="1:1" x14ac:dyDescent="0.25">
      <c r="A144" t="s">
        <v>135</v>
      </c>
    </row>
    <row r="145" spans="1:1" x14ac:dyDescent="0.25">
      <c r="A145" t="s">
        <v>136</v>
      </c>
    </row>
    <row r="146" spans="1:1" x14ac:dyDescent="0.25">
      <c r="A146" t="s">
        <v>137</v>
      </c>
    </row>
    <row r="147" spans="1:1" x14ac:dyDescent="0.25">
      <c r="A147" t="s">
        <v>138</v>
      </c>
    </row>
    <row r="148" spans="1:1" x14ac:dyDescent="0.25">
      <c r="A148" t="s">
        <v>139</v>
      </c>
    </row>
    <row r="149" spans="1:1" x14ac:dyDescent="0.25">
      <c r="A149" t="s">
        <v>140</v>
      </c>
    </row>
    <row r="150" spans="1:1" x14ac:dyDescent="0.25">
      <c r="A150" t="s">
        <v>141</v>
      </c>
    </row>
    <row r="151" spans="1:1" x14ac:dyDescent="0.25">
      <c r="A151" t="s">
        <v>142</v>
      </c>
    </row>
    <row r="152" spans="1:1" x14ac:dyDescent="0.25">
      <c r="A152" t="s">
        <v>143</v>
      </c>
    </row>
    <row r="153" spans="1:1" x14ac:dyDescent="0.25">
      <c r="A153" t="s">
        <v>144</v>
      </c>
    </row>
    <row r="155" spans="1:1" x14ac:dyDescent="0.25">
      <c r="A155" t="s">
        <v>55</v>
      </c>
    </row>
    <row r="156" spans="1:1" x14ac:dyDescent="0.25">
      <c r="A156" t="s">
        <v>56</v>
      </c>
    </row>
    <row r="157" spans="1:1" x14ac:dyDescent="0.25">
      <c r="A157" t="s">
        <v>145</v>
      </c>
    </row>
    <row r="158" spans="1:1" x14ac:dyDescent="0.25">
      <c r="A158" t="s">
        <v>53</v>
      </c>
    </row>
    <row r="159" spans="1:1" x14ac:dyDescent="0.25">
      <c r="A159" t="s">
        <v>146</v>
      </c>
    </row>
    <row r="160" spans="1:1" x14ac:dyDescent="0.25">
      <c r="A160" t="s">
        <v>147</v>
      </c>
    </row>
    <row r="161" spans="1:1" x14ac:dyDescent="0.25">
      <c r="A161" t="s">
        <v>148</v>
      </c>
    </row>
    <row r="162" spans="1:1" x14ac:dyDescent="0.25">
      <c r="A162" t="s">
        <v>149</v>
      </c>
    </row>
    <row r="163" spans="1:1" x14ac:dyDescent="0.25">
      <c r="A163" t="s">
        <v>150</v>
      </c>
    </row>
    <row r="164" spans="1:1" x14ac:dyDescent="0.25">
      <c r="A164" t="s">
        <v>151</v>
      </c>
    </row>
    <row r="165" spans="1:1" x14ac:dyDescent="0.25">
      <c r="A165" t="s">
        <v>152</v>
      </c>
    </row>
    <row r="166" spans="1:1" x14ac:dyDescent="0.25">
      <c r="A166" t="s">
        <v>153</v>
      </c>
    </row>
    <row r="167" spans="1:1" x14ac:dyDescent="0.25">
      <c r="A167" t="s">
        <v>154</v>
      </c>
    </row>
    <row r="168" spans="1:1" x14ac:dyDescent="0.25">
      <c r="A168" t="s">
        <v>155</v>
      </c>
    </row>
    <row r="169" spans="1:1" x14ac:dyDescent="0.25">
      <c r="A169" t="s">
        <v>156</v>
      </c>
    </row>
    <row r="170" spans="1:1" x14ac:dyDescent="0.25">
      <c r="A170" t="s">
        <v>157</v>
      </c>
    </row>
    <row r="171" spans="1:1" x14ac:dyDescent="0.25">
      <c r="A171" t="s">
        <v>158</v>
      </c>
    </row>
    <row r="173" spans="1:1" x14ac:dyDescent="0.25">
      <c r="A173" t="s">
        <v>55</v>
      </c>
    </row>
    <row r="174" spans="1:1" x14ac:dyDescent="0.25">
      <c r="A174" t="s">
        <v>56</v>
      </c>
    </row>
    <row r="175" spans="1:1" x14ac:dyDescent="0.25">
      <c r="A175" t="s">
        <v>159</v>
      </c>
    </row>
    <row r="176" spans="1:1" x14ac:dyDescent="0.25">
      <c r="A176" t="s">
        <v>160</v>
      </c>
    </row>
    <row r="177" spans="1:6" x14ac:dyDescent="0.25">
      <c r="A177" t="s">
        <v>161</v>
      </c>
    </row>
    <row r="178" spans="1:6" x14ac:dyDescent="0.25">
      <c r="A178" t="s">
        <v>162</v>
      </c>
    </row>
    <row r="179" spans="1:6" x14ac:dyDescent="0.25">
      <c r="A179" s="19" t="s">
        <v>176</v>
      </c>
      <c r="B179" s="42">
        <v>1</v>
      </c>
      <c r="C179" s="19" t="s">
        <v>177</v>
      </c>
      <c r="D179" s="17">
        <v>0.14984</v>
      </c>
      <c r="E179" s="19" t="s">
        <v>178</v>
      </c>
      <c r="F179" s="17">
        <v>9.0222000000000004E-7</v>
      </c>
    </row>
    <row r="180" spans="1:6" x14ac:dyDescent="0.25">
      <c r="A180" s="19" t="s">
        <v>176</v>
      </c>
      <c r="B180" s="42">
        <v>2</v>
      </c>
      <c r="C180" s="19" t="s">
        <v>177</v>
      </c>
      <c r="D180" s="17">
        <v>0.12573000000000001</v>
      </c>
      <c r="E180" s="19" t="s">
        <v>178</v>
      </c>
      <c r="F180" s="17">
        <v>1.392E-6</v>
      </c>
    </row>
    <row r="181" spans="1:6" x14ac:dyDescent="0.25">
      <c r="A181" s="19" t="s">
        <v>176</v>
      </c>
      <c r="B181" s="42">
        <v>3</v>
      </c>
      <c r="C181" s="19" t="s">
        <v>177</v>
      </c>
      <c r="D181" s="17">
        <v>0.10743</v>
      </c>
      <c r="E181" s="19" t="s">
        <v>178</v>
      </c>
      <c r="F181" s="17">
        <v>7.7958000000000008E-6</v>
      </c>
    </row>
    <row r="182" spans="1:6" x14ac:dyDescent="0.25">
      <c r="A182" s="19" t="s">
        <v>176</v>
      </c>
      <c r="B182" s="42">
        <v>4</v>
      </c>
      <c r="C182" s="19" t="s">
        <v>177</v>
      </c>
      <c r="D182" s="17">
        <v>0.10596</v>
      </c>
      <c r="E182" s="19" t="s">
        <v>178</v>
      </c>
      <c r="F182" s="17">
        <v>1.129E-5</v>
      </c>
    </row>
    <row r="183" spans="1:6" x14ac:dyDescent="0.25">
      <c r="A183" s="19" t="s">
        <v>176</v>
      </c>
      <c r="B183" s="42">
        <v>5</v>
      </c>
      <c r="C183" s="19" t="s">
        <v>177</v>
      </c>
      <c r="D183" s="17">
        <v>9.0576000000000004E-2</v>
      </c>
      <c r="E183" s="19" t="s">
        <v>178</v>
      </c>
      <c r="F183" s="17">
        <v>2.2072000000000001E-5</v>
      </c>
    </row>
    <row r="184" spans="1:6" x14ac:dyDescent="0.25">
      <c r="A184" s="19" t="s">
        <v>176</v>
      </c>
      <c r="B184" s="42">
        <v>6</v>
      </c>
      <c r="C184" s="19" t="s">
        <v>177</v>
      </c>
      <c r="D184" s="17">
        <v>9.7982E-2</v>
      </c>
      <c r="E184" s="19" t="s">
        <v>178</v>
      </c>
      <c r="F184" s="17">
        <v>3.4316999999999997E-5</v>
      </c>
    </row>
    <row r="185" spans="1:6" x14ac:dyDescent="0.25">
      <c r="A185" s="19" t="s">
        <v>176</v>
      </c>
      <c r="B185" s="42">
        <v>7</v>
      </c>
      <c r="C185" s="19" t="s">
        <v>177</v>
      </c>
      <c r="D185" s="17">
        <v>7.4220999999999995E-2</v>
      </c>
      <c r="E185" s="19" t="s">
        <v>178</v>
      </c>
      <c r="F185" s="17">
        <v>1.0254E-4</v>
      </c>
    </row>
    <row r="186" spans="1:6" x14ac:dyDescent="0.25">
      <c r="A186" s="19" t="s">
        <v>176</v>
      </c>
      <c r="B186" s="42">
        <v>8</v>
      </c>
      <c r="C186" s="19" t="s">
        <v>177</v>
      </c>
      <c r="D186" s="17">
        <v>9.5332E-2</v>
      </c>
      <c r="E186" s="19" t="s">
        <v>178</v>
      </c>
      <c r="F186" s="17">
        <v>1.3787000000000001E-4</v>
      </c>
    </row>
    <row r="187" spans="1:6" x14ac:dyDescent="0.25">
      <c r="A187" s="19" t="s">
        <v>176</v>
      </c>
      <c r="B187" s="42">
        <v>9</v>
      </c>
      <c r="C187" s="19" t="s">
        <v>177</v>
      </c>
      <c r="D187" s="17">
        <v>7.4174000000000004E-2</v>
      </c>
      <c r="E187" s="19" t="s">
        <v>178</v>
      </c>
      <c r="F187" s="17">
        <v>6.0015000000000003E-4</v>
      </c>
    </row>
    <row r="188" spans="1:6" x14ac:dyDescent="0.25">
      <c r="A188" s="19" t="s">
        <v>176</v>
      </c>
      <c r="B188" s="42">
        <v>10</v>
      </c>
      <c r="C188" s="19" t="s">
        <v>177</v>
      </c>
      <c r="D188" s="17">
        <v>7.4175000000000005E-2</v>
      </c>
      <c r="E188" s="19" t="s">
        <v>178</v>
      </c>
      <c r="F188" s="17">
        <v>8.1939999999999999E-3</v>
      </c>
    </row>
    <row r="190" spans="1:6" x14ac:dyDescent="0.25">
      <c r="A190" t="s">
        <v>163</v>
      </c>
    </row>
    <row r="191" spans="1:6" x14ac:dyDescent="0.25">
      <c r="A191" t="s">
        <v>164</v>
      </c>
    </row>
    <row r="192" spans="1:6" x14ac:dyDescent="0.25">
      <c r="A192" t="s">
        <v>165</v>
      </c>
    </row>
    <row r="193" spans="1:1" x14ac:dyDescent="0.25">
      <c r="A193" t="s">
        <v>166</v>
      </c>
    </row>
    <row r="194" spans="1:1" x14ac:dyDescent="0.25">
      <c r="A194" t="s">
        <v>159</v>
      </c>
    </row>
    <row r="195" spans="1:1" x14ac:dyDescent="0.25">
      <c r="A195" t="s">
        <v>167</v>
      </c>
    </row>
    <row r="196" spans="1:1" x14ac:dyDescent="0.25">
      <c r="A196" t="s">
        <v>168</v>
      </c>
    </row>
    <row r="197" spans="1:1" x14ac:dyDescent="0.25">
      <c r="A197" t="s">
        <v>49</v>
      </c>
    </row>
    <row r="198" spans="1:1" x14ac:dyDescent="0.25">
      <c r="A198" t="s">
        <v>169</v>
      </c>
    </row>
    <row r="199" spans="1:1" x14ac:dyDescent="0.25">
      <c r="A199" t="s">
        <v>170</v>
      </c>
    </row>
    <row r="200" spans="1:1" x14ac:dyDescent="0.25">
      <c r="A200" t="s">
        <v>171</v>
      </c>
    </row>
    <row r="201" spans="1:1" x14ac:dyDescent="0.25">
      <c r="A201" t="s">
        <v>172</v>
      </c>
    </row>
    <row r="202" spans="1:1" x14ac:dyDescent="0.25">
      <c r="A202" t="s">
        <v>173</v>
      </c>
    </row>
    <row r="203" spans="1:1" x14ac:dyDescent="0.25">
      <c r="A203" t="s">
        <v>174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6"/>
  <sheetViews>
    <sheetView zoomScale="90" zoomScaleNormal="90" workbookViewId="0">
      <selection activeCell="K49" sqref="K49"/>
    </sheetView>
  </sheetViews>
  <sheetFormatPr defaultRowHeight="15" x14ac:dyDescent="0.25"/>
  <cols>
    <col min="1" max="1" width="4.85546875" customWidth="1"/>
    <col min="2" max="2" width="8.7109375" customWidth="1"/>
    <col min="3" max="3" width="11" customWidth="1"/>
    <col min="4" max="4" width="10.5703125" customWidth="1"/>
    <col min="5" max="5" width="10.140625" customWidth="1"/>
    <col min="6" max="8" width="12.7109375" customWidth="1"/>
    <col min="9" max="9" width="11.7109375" customWidth="1"/>
    <col min="10" max="12" width="11.7109375" style="1" customWidth="1"/>
    <col min="13" max="13" width="11.7109375" customWidth="1"/>
    <col min="14" max="14" width="9.7109375" customWidth="1"/>
    <col min="15" max="15" width="10.42578125" customWidth="1"/>
    <col min="16" max="16" width="8.5703125" customWidth="1"/>
    <col min="17" max="17" width="8.85546875" customWidth="1"/>
    <col min="27" max="27" width="10.42578125" customWidth="1"/>
  </cols>
  <sheetData>
    <row r="1" spans="1:27" ht="15.75" thickBot="1" x14ac:dyDescent="0.3"/>
    <row r="2" spans="1:27" ht="24.95" customHeight="1" x14ac:dyDescent="0.35">
      <c r="C2" s="66" t="s">
        <v>6</v>
      </c>
      <c r="D2" s="66"/>
      <c r="F2" s="67" t="s">
        <v>5</v>
      </c>
      <c r="G2" s="68"/>
      <c r="H2" s="68"/>
      <c r="I2" s="39"/>
      <c r="J2" s="24" t="s">
        <v>7</v>
      </c>
      <c r="K2" s="24"/>
      <c r="L2" s="14"/>
      <c r="N2" s="9"/>
      <c r="O2" s="6"/>
      <c r="P2" s="24" t="s">
        <v>4</v>
      </c>
      <c r="R2" s="2"/>
    </row>
    <row r="3" spans="1:27" ht="36.75" customHeight="1" x14ac:dyDescent="0.25">
      <c r="A3" s="63" t="s">
        <v>21</v>
      </c>
      <c r="B3" s="59" t="s">
        <v>19</v>
      </c>
      <c r="C3" s="59" t="s">
        <v>11</v>
      </c>
      <c r="D3" s="59" t="s">
        <v>10</v>
      </c>
      <c r="E3" s="4" t="s">
        <v>17</v>
      </c>
      <c r="F3" s="20" t="s">
        <v>13</v>
      </c>
      <c r="G3" s="8" t="s">
        <v>14</v>
      </c>
      <c r="H3" s="8" t="s">
        <v>16</v>
      </c>
      <c r="I3" s="40" t="s">
        <v>15</v>
      </c>
      <c r="J3" s="12" t="s">
        <v>0</v>
      </c>
      <c r="K3" s="10" t="s">
        <v>1</v>
      </c>
      <c r="L3" s="10" t="s">
        <v>8</v>
      </c>
      <c r="M3" s="10" t="s">
        <v>23</v>
      </c>
      <c r="N3" s="7"/>
      <c r="O3" s="7"/>
      <c r="P3" s="12" t="s">
        <v>2</v>
      </c>
      <c r="Q3" s="3" t="s">
        <v>3</v>
      </c>
      <c r="AA3" t="s">
        <v>15</v>
      </c>
    </row>
    <row r="4" spans="1:27" x14ac:dyDescent="0.25">
      <c r="A4">
        <v>1</v>
      </c>
      <c r="B4" s="36"/>
      <c r="C4" s="25">
        <v>0.14984</v>
      </c>
      <c r="D4" s="37">
        <v>9.0222000000000004E-7</v>
      </c>
      <c r="E4" s="17">
        <f t="shared" ref="E4:E22" si="0">F4*2*PI()</f>
        <v>6.2831853071795866E-3</v>
      </c>
      <c r="F4" s="38">
        <v>1E-3</v>
      </c>
      <c r="G4" s="27"/>
      <c r="H4" s="27"/>
      <c r="I4" s="41"/>
      <c r="J4" s="28">
        <f t="array" ref="J4">G_0*(1-Sum_of_Gs+SUM(Gamma*Tau^2*E4^2/(1+Tau^2*E4^2)))</f>
        <v>2.4274001048211828</v>
      </c>
      <c r="K4" s="31">
        <f t="array" ref="K4">G_0*SUM(Gamma*Tau*E4/(1+Tau^2*E4^2))</f>
        <v>2.2670080231264019E-3</v>
      </c>
      <c r="L4" s="29"/>
      <c r="M4" s="29"/>
      <c r="N4" s="6"/>
      <c r="O4" s="6"/>
      <c r="P4" s="5">
        <v>0</v>
      </c>
      <c r="Q4">
        <f t="array" ref="Q4">1-SUM(Gamma*(1-EXP(-P4/Tau)))</f>
        <v>1</v>
      </c>
      <c r="AA4">
        <f>K4/J4</f>
        <v>9.3392433271457056E-4</v>
      </c>
    </row>
    <row r="5" spans="1:27" x14ac:dyDescent="0.25">
      <c r="A5">
        <v>2</v>
      </c>
      <c r="B5" s="36"/>
      <c r="C5" s="22">
        <v>0.12573000000000001</v>
      </c>
      <c r="D5" s="18">
        <v>1.392E-6</v>
      </c>
      <c r="E5" s="17">
        <f t="shared" si="0"/>
        <v>6.2831853071795868E-2</v>
      </c>
      <c r="F5" s="38">
        <v>0.01</v>
      </c>
      <c r="G5" s="27"/>
      <c r="H5" s="27"/>
      <c r="I5" s="41"/>
      <c r="J5" s="28">
        <f t="array" ref="J5">G_0*(1-Sum_of_Gs+SUM(Gamma*Tau^2*E5^2/(1+Tau^2*E5^2)))</f>
        <v>2.4274104821140217</v>
      </c>
      <c r="K5" s="31">
        <f t="array" ref="K5">G_0*SUM(Gamma*Tau*E5/(1+Tau^2*E5^2))</f>
        <v>2.2670074917892878E-2</v>
      </c>
      <c r="L5" s="29"/>
      <c r="M5" s="29"/>
      <c r="N5" s="6"/>
      <c r="O5" s="6"/>
      <c r="P5" s="60">
        <v>9.9999999999999994E-12</v>
      </c>
      <c r="Q5">
        <f t="array" ref="Q5">1-SUM(Gamma*(1-EXP(-P5/Tau)))</f>
        <v>0.99999711926166335</v>
      </c>
      <c r="AA5">
        <f t="shared" ref="AA5:AA45" si="1">K5/J5</f>
        <v>9.3392012125405356E-3</v>
      </c>
    </row>
    <row r="6" spans="1:27" x14ac:dyDescent="0.25">
      <c r="A6">
        <v>3</v>
      </c>
      <c r="B6" s="36"/>
      <c r="C6" s="22">
        <v>0.10743</v>
      </c>
      <c r="D6" s="18">
        <v>7.7958000000000008E-6</v>
      </c>
      <c r="E6" s="34">
        <f t="shared" si="0"/>
        <v>0.49888491339005914</v>
      </c>
      <c r="F6" s="35">
        <v>7.9399999999999998E-2</v>
      </c>
      <c r="G6" s="47">
        <v>2.08</v>
      </c>
      <c r="H6" s="48">
        <v>0.182</v>
      </c>
      <c r="I6" s="50">
        <v>8.7499999999999994E-2</v>
      </c>
      <c r="J6" s="16">
        <f t="array" ref="J6">G_0*(1-Sum_of_Gs+SUM(Gamma*Tau^2*E6^2/(1+Tau^2*E6^2)))</f>
        <v>2.4280608193987008</v>
      </c>
      <c r="K6" s="16">
        <f t="array" ref="K6">G_0*SUM(Gamma*Tau*E6/(1+Tau^2*E6^2))</f>
        <v>0.17999775094702336</v>
      </c>
      <c r="L6" s="13">
        <f>(1-J6/G6)^2</f>
        <v>2.8001648946120304E-2</v>
      </c>
      <c r="M6" s="13">
        <f>(1-K6/H6)^2</f>
        <v>1.2103010717744883E-4</v>
      </c>
      <c r="N6" s="6"/>
      <c r="O6" s="6"/>
      <c r="P6" s="60">
        <v>1E-10</v>
      </c>
      <c r="Q6">
        <f t="array" ref="Q6">1-SUM(Gamma*(1-EXP(-P6/Tau)))</f>
        <v>0.99997119374990007</v>
      </c>
      <c r="AA6">
        <f t="shared" si="1"/>
        <v>7.4132307357770003E-2</v>
      </c>
    </row>
    <row r="7" spans="1:27" x14ac:dyDescent="0.25">
      <c r="A7">
        <v>4</v>
      </c>
      <c r="B7" s="36"/>
      <c r="C7" s="22">
        <v>0.10596</v>
      </c>
      <c r="D7" s="18">
        <v>1.129E-5</v>
      </c>
      <c r="E7" s="34">
        <f t="shared" si="0"/>
        <v>0.99902646384155425</v>
      </c>
      <c r="F7" s="35">
        <v>0.159</v>
      </c>
      <c r="G7" s="47">
        <v>2.12</v>
      </c>
      <c r="H7" s="48">
        <v>0.31599999200000006</v>
      </c>
      <c r="I7" s="50">
        <v>0.14905660000000001</v>
      </c>
      <c r="J7" s="16">
        <f t="array" ref="J7">G_0*(1-Sum_of_Gs+SUM(Gamma*Tau^2*E7^2/(1+Tau^2*E7^2)))</f>
        <v>2.4300498074142558</v>
      </c>
      <c r="K7" s="16">
        <f t="array" ref="K7">G_0*SUM(Gamma*Tau*E7/(1+Tau^2*E7^2))</f>
        <v>0.36043270418544415</v>
      </c>
      <c r="L7" s="13">
        <f t="shared" ref="L7:M31" si="2">(1-J7/G7)^2</f>
        <v>2.1389035928626045E-2</v>
      </c>
      <c r="M7" s="13">
        <f t="shared" si="2"/>
        <v>1.9771130549164285E-2</v>
      </c>
      <c r="N7" s="6"/>
      <c r="O7" s="6"/>
      <c r="P7" s="61">
        <v>1.0000000000000001E-9</v>
      </c>
      <c r="Q7">
        <f t="array" ref="Q7">1-SUM(Gamma*(1-EXP(-P7/Tau)))</f>
        <v>0.9997120507883962</v>
      </c>
      <c r="AA7">
        <f t="shared" si="1"/>
        <v>0.14832317555209698</v>
      </c>
    </row>
    <row r="8" spans="1:27" x14ac:dyDescent="0.25">
      <c r="A8">
        <v>5</v>
      </c>
      <c r="B8" s="36"/>
      <c r="C8" s="22">
        <v>9.0576000000000004E-2</v>
      </c>
      <c r="D8" s="18">
        <v>2.2072000000000001E-5</v>
      </c>
      <c r="E8" s="34">
        <f t="shared" si="0"/>
        <v>1.4953981031087415</v>
      </c>
      <c r="F8" s="35">
        <v>0.23799999999999999</v>
      </c>
      <c r="G8" s="47">
        <v>2.17</v>
      </c>
      <c r="H8" s="48">
        <v>0.44100000769999997</v>
      </c>
      <c r="I8" s="50">
        <v>0.20322581000000001</v>
      </c>
      <c r="J8" s="16">
        <f t="array" ref="J8">G_0*(1-Sum_of_Gs+SUM(Gamma*Tau^2*E8^2/(1+Tau^2*E8^2)))</f>
        <v>2.4333366041036273</v>
      </c>
      <c r="K8" s="16">
        <f t="array" ref="K8">G_0*SUM(Gamma*Tau*E8/(1+Tau^2*E8^2))</f>
        <v>0.53947556707256406</v>
      </c>
      <c r="L8" s="13">
        <f t="shared" si="2"/>
        <v>1.4726617057238545E-2</v>
      </c>
      <c r="M8" s="13">
        <f t="shared" si="2"/>
        <v>4.986315092527692E-2</v>
      </c>
      <c r="N8" s="6"/>
      <c r="O8" s="6"/>
      <c r="P8" s="60">
        <v>1E-8</v>
      </c>
      <c r="Q8">
        <f t="array" ref="Q8">1-SUM(Gamma*(1-EXP(-P8/Tau)))</f>
        <v>0.9971317996635537</v>
      </c>
      <c r="AA8">
        <f t="shared" si="1"/>
        <v>0.22170198983682804</v>
      </c>
    </row>
    <row r="9" spans="1:27" x14ac:dyDescent="0.25">
      <c r="A9">
        <v>6</v>
      </c>
      <c r="B9" s="36"/>
      <c r="C9" s="22">
        <v>9.7982E-2</v>
      </c>
      <c r="D9" s="18">
        <v>3.4316999999999997E-5</v>
      </c>
      <c r="E9" s="34">
        <f t="shared" si="0"/>
        <v>1.9980529276831085</v>
      </c>
      <c r="F9" s="35">
        <v>0.318</v>
      </c>
      <c r="G9" s="47">
        <v>2.2200000000000002</v>
      </c>
      <c r="H9" s="48">
        <v>0.55500000000000005</v>
      </c>
      <c r="I9" s="50">
        <v>0.25</v>
      </c>
      <c r="J9" s="16">
        <f t="array" ref="J9">G_0*(1-Sum_of_Gs+SUM(Gamma*Tau^2*E9^2/(1+Tau^2*E9^2)))</f>
        <v>2.4379971119125812</v>
      </c>
      <c r="K9" s="16">
        <f t="array" ref="K9">G_0*SUM(Gamma*Tau*E9/(1+Tau^2*E9^2))</f>
        <v>0.72073600897168633</v>
      </c>
      <c r="L9" s="13">
        <f t="shared" si="2"/>
        <v>9.6426306310823488E-3</v>
      </c>
      <c r="M9" s="13">
        <f t="shared" si="2"/>
        <v>8.9175958671740455E-2</v>
      </c>
      <c r="N9" s="6"/>
      <c r="O9" s="6"/>
      <c r="P9" s="61">
        <v>9.9999999999999995E-8</v>
      </c>
      <c r="Q9">
        <f t="array" ref="Q9">1-SUM(Gamma*(1-EXP(-P9/Tau)))</f>
        <v>0.97241095548127543</v>
      </c>
      <c r="AA9">
        <f t="shared" si="1"/>
        <v>0.29562627677039249</v>
      </c>
    </row>
    <row r="10" spans="1:27" x14ac:dyDescent="0.25">
      <c r="A10">
        <v>7</v>
      </c>
      <c r="B10" s="36"/>
      <c r="C10" s="22">
        <v>7.4220999999999995E-2</v>
      </c>
      <c r="D10" s="18">
        <v>1.0254E-4</v>
      </c>
      <c r="E10" s="34">
        <f t="shared" si="0"/>
        <v>2.9970793915246623</v>
      </c>
      <c r="F10" s="35">
        <v>0.47699999999999998</v>
      </c>
      <c r="G10" s="47">
        <v>2.33</v>
      </c>
      <c r="H10" s="48">
        <v>0.751000008</v>
      </c>
      <c r="I10" s="50">
        <v>0.32231759999999998</v>
      </c>
      <c r="J10" s="16">
        <f t="array" ref="J10">G_0*(1-Sum_of_Gs+SUM(Gamma*Tau^2*E10^2/(1+Tau^2*E10^2)))</f>
        <v>2.4512355645164763</v>
      </c>
      <c r="K10" s="16">
        <f t="array" ref="K10">G_0*SUM(Gamma*Tau*E10/(1+Tau^2*E10^2))</f>
        <v>1.0807806882094304</v>
      </c>
      <c r="L10" s="13">
        <f t="shared" si="2"/>
        <v>2.7073738885646601E-3</v>
      </c>
      <c r="M10" s="13">
        <f t="shared" si="2"/>
        <v>0.19282819484783004</v>
      </c>
      <c r="N10" s="6"/>
      <c r="O10" s="6"/>
      <c r="P10" s="60">
        <v>9.9999999999999995E-7</v>
      </c>
      <c r="Q10">
        <f t="array" ref="Q10">1-SUM(Gamma*(1-EXP(-P10/Tau)))</f>
        <v>0.80490641950703468</v>
      </c>
      <c r="AA10">
        <f t="shared" si="1"/>
        <v>0.44091261723457498</v>
      </c>
    </row>
    <row r="11" spans="1:27" x14ac:dyDescent="0.25">
      <c r="A11">
        <v>8</v>
      </c>
      <c r="B11" s="36"/>
      <c r="C11" s="22">
        <v>9.5332E-2</v>
      </c>
      <c r="D11" s="18">
        <v>1.3787000000000001E-4</v>
      </c>
      <c r="E11" s="34">
        <f t="shared" si="0"/>
        <v>4.988849133900592</v>
      </c>
      <c r="F11" s="35">
        <v>0.79400000000000004</v>
      </c>
      <c r="G11" s="47">
        <v>2.5099999999999998</v>
      </c>
      <c r="H11" s="48">
        <v>1.0799999887999998</v>
      </c>
      <c r="I11" s="50">
        <v>0.43027887999999997</v>
      </c>
      <c r="J11" s="16">
        <f t="array" ref="J11">G_0*(1-Sum_of_Gs+SUM(Gamma*Tau^2*E11^2/(1+Tau^2*E11^2)))</f>
        <v>2.4933734387712763</v>
      </c>
      <c r="K11" s="16">
        <f t="array" ref="K11">G_0*SUM(Gamma*Tau*E11/(1+Tau^2*E11^2))</f>
        <v>1.7973222945248186</v>
      </c>
      <c r="L11" s="13">
        <f t="shared" si="2"/>
        <v>4.3879071489737047E-5</v>
      </c>
      <c r="M11" s="13">
        <f t="shared" si="2"/>
        <v>0.44114480535197687</v>
      </c>
      <c r="N11" s="6"/>
      <c r="O11" s="6"/>
      <c r="P11" s="61">
        <v>1.0000000000000001E-5</v>
      </c>
      <c r="Q11">
        <f t="array" ref="Q11">1-SUM(Gamma*(1-EXP(-P11/Tau)))</f>
        <v>0.51197477063412933</v>
      </c>
      <c r="AA11">
        <f t="shared" si="1"/>
        <v>0.72083959288927513</v>
      </c>
    </row>
    <row r="12" spans="1:27" x14ac:dyDescent="0.25">
      <c r="A12">
        <v>9</v>
      </c>
      <c r="B12" s="36"/>
      <c r="C12" s="22">
        <v>7.4174000000000004E-2</v>
      </c>
      <c r="D12" s="18">
        <v>6.0015000000000003E-4</v>
      </c>
      <c r="E12" s="34">
        <f t="shared" si="0"/>
        <v>7.9796453401180747</v>
      </c>
      <c r="F12" s="35">
        <v>1.27</v>
      </c>
      <c r="G12" s="47">
        <v>2.74</v>
      </c>
      <c r="H12" s="48">
        <v>1.4899999988000001</v>
      </c>
      <c r="I12" s="50">
        <v>0.54379562000000004</v>
      </c>
      <c r="J12" s="16">
        <f t="array" ref="J12">G_0*(1-Sum_of_Gs+SUM(Gamma*Tau^2*E12^2/(1+Tau^2*E12^2)))</f>
        <v>2.595750558328775</v>
      </c>
      <c r="K12" s="16">
        <f t="array" ref="K12">G_0*SUM(Gamma*Tau*E12/(1+Tau^2*E12^2))</f>
        <v>2.8681532186144745</v>
      </c>
      <c r="L12" s="13">
        <f t="shared" si="2"/>
        <v>2.7715783236267476E-3</v>
      </c>
      <c r="M12" s="13">
        <f t="shared" si="2"/>
        <v>0.85550484227930634</v>
      </c>
      <c r="N12" s="6"/>
      <c r="O12" s="6"/>
      <c r="P12" s="60">
        <v>1E-4</v>
      </c>
      <c r="Q12">
        <f t="array" ref="Q12">1-SUM(Gamma*(1-EXP(-P12/Tau)))</f>
        <v>0.22109832864373702</v>
      </c>
      <c r="AA12">
        <f t="shared" si="1"/>
        <v>1.1049417708537761</v>
      </c>
    </row>
    <row r="13" spans="1:27" x14ac:dyDescent="0.25">
      <c r="A13">
        <v>10</v>
      </c>
      <c r="B13" s="36"/>
      <c r="C13" s="22">
        <v>7.4175000000000005E-2</v>
      </c>
      <c r="D13" s="18">
        <v>8.1939999999999999E-3</v>
      </c>
      <c r="E13" s="34">
        <f t="shared" si="0"/>
        <v>12.503538761287377</v>
      </c>
      <c r="F13" s="35">
        <v>1.99</v>
      </c>
      <c r="G13" s="47">
        <v>3.04</v>
      </c>
      <c r="H13" s="48">
        <v>2.0099999984000001</v>
      </c>
      <c r="I13" s="50">
        <v>0.66118421000000005</v>
      </c>
      <c r="J13" s="16">
        <f t="array" ref="J13">G_0*(1-Sum_of_Gs+SUM(Gamma*Tau^2*E13^2/(1+Tau^2*E13^2)))</f>
        <v>2.8382155697890137</v>
      </c>
      <c r="K13" s="16">
        <f t="array" ref="K13">G_0*SUM(Gamma*Tau*E13/(1+Tau^2*E13^2))</f>
        <v>4.4694896444211434</v>
      </c>
      <c r="L13" s="13">
        <f t="shared" si="2"/>
        <v>4.4058340845278352E-3</v>
      </c>
      <c r="M13" s="13">
        <f t="shared" si="2"/>
        <v>1.4972622777940148</v>
      </c>
      <c r="N13" s="6"/>
      <c r="O13" s="6"/>
      <c r="P13" s="61">
        <v>1E-3</v>
      </c>
      <c r="Q13">
        <f t="array" ref="Q13">1-SUM(Gamma*(1-EXP(-P13/Tau)))</f>
        <v>8.4320518341280959E-2</v>
      </c>
      <c r="AA13">
        <f t="shared" si="1"/>
        <v>1.5747534091476338</v>
      </c>
    </row>
    <row r="14" spans="1:27" x14ac:dyDescent="0.25">
      <c r="A14">
        <v>11</v>
      </c>
      <c r="B14" s="36"/>
      <c r="C14" s="22">
        <v>0</v>
      </c>
      <c r="D14" s="18">
        <v>0</v>
      </c>
      <c r="E14" s="34">
        <f t="shared" si="0"/>
        <v>19.980529276831085</v>
      </c>
      <c r="F14" s="35">
        <v>3.18</v>
      </c>
      <c r="G14" s="47">
        <v>3.46</v>
      </c>
      <c r="H14" s="48">
        <v>2.7500000074000002</v>
      </c>
      <c r="I14" s="50">
        <v>0.79479769</v>
      </c>
      <c r="J14" s="16">
        <f t="array" ref="J14">G_0*(1-Sum_of_Gs+SUM(Gamma*Tau^2*E14^2/(1+Tau^2*E14^2)))</f>
        <v>3.4598848557482067</v>
      </c>
      <c r="K14" s="16">
        <f t="array" ref="K14">G_0*SUM(Gamma*Tau*E14/(1+Tau^2*E14^2))</f>
        <v>7.0409988268146586</v>
      </c>
      <c r="L14" s="13">
        <f t="shared" si="2"/>
        <v>1.1074709079032626E-9</v>
      </c>
      <c r="M14" s="13">
        <f t="shared" si="2"/>
        <v>2.4347333248428882</v>
      </c>
      <c r="N14" s="6"/>
      <c r="O14" s="5"/>
      <c r="P14" s="60">
        <v>0.01</v>
      </c>
      <c r="Q14">
        <f t="array" ref="Q14">1-SUM(Gamma*(1-EXP(-P14/Tau)))</f>
        <v>2.6469830938081307E-2</v>
      </c>
      <c r="AA14">
        <f t="shared" si="1"/>
        <v>2.0350384826006094</v>
      </c>
    </row>
    <row r="15" spans="1:27" x14ac:dyDescent="0.25">
      <c r="A15">
        <v>12</v>
      </c>
      <c r="B15" s="36"/>
      <c r="C15" s="22">
        <v>0</v>
      </c>
      <c r="D15" s="18">
        <v>0</v>
      </c>
      <c r="E15" s="34">
        <f t="shared" si="0"/>
        <v>35.311501426349274</v>
      </c>
      <c r="F15" s="35">
        <v>5.62</v>
      </c>
      <c r="G15" s="47">
        <v>4.1399999999999997</v>
      </c>
      <c r="H15" s="48">
        <v>3.9800000123999997</v>
      </c>
      <c r="I15" s="50">
        <v>0.96135265999999997</v>
      </c>
      <c r="J15" s="16">
        <f t="array" ref="J15">G_0*(1-Sum_of_Gs+SUM(Gamma*Tau^2*E15^2/(1+Tau^2*E15^2)))</f>
        <v>5.4838531927982661</v>
      </c>
      <c r="K15" s="16">
        <f t="array" ref="K15">G_0*SUM(Gamma*Tau*E15/(1+Tau^2*E15^2))</f>
        <v>11.86147797751574</v>
      </c>
      <c r="L15" s="13">
        <f t="shared" si="2"/>
        <v>0.10536660154228189</v>
      </c>
      <c r="M15" s="13">
        <f t="shared" si="2"/>
        <v>3.9214725971275937</v>
      </c>
      <c r="N15" s="6"/>
      <c r="O15" s="5"/>
      <c r="P15" s="61">
        <v>0.1</v>
      </c>
      <c r="Q15">
        <f t="array" ref="Q15">1-SUM(Gamma*(1-EXP(-P15/Tau)))</f>
        <v>4.5803716252592608E-3</v>
      </c>
      <c r="AA15">
        <f t="shared" si="1"/>
        <v>2.1629824068034798</v>
      </c>
    </row>
    <row r="16" spans="1:27" x14ac:dyDescent="0.25">
      <c r="A16">
        <v>13</v>
      </c>
      <c r="B16" s="36"/>
      <c r="C16" s="22">
        <v>0</v>
      </c>
      <c r="D16" s="18">
        <v>0</v>
      </c>
      <c r="E16" s="34">
        <f t="shared" si="0"/>
        <v>49.888491339005917</v>
      </c>
      <c r="F16" s="35">
        <v>7.94</v>
      </c>
      <c r="G16" s="47">
        <v>4.79</v>
      </c>
      <c r="H16" s="48">
        <v>5.109999782</v>
      </c>
      <c r="I16" s="50">
        <v>1.0668058</v>
      </c>
      <c r="J16" s="16">
        <f t="array" ref="J16">G_0*(1-Sum_of_Gs+SUM(Gamma*Tau^2*E16^2/(1+Tau^2*E16^2)))</f>
        <v>8.0950647393314785</v>
      </c>
      <c r="K16" s="16">
        <f t="array" ref="K16">G_0*SUM(Gamma*Tau*E16/(1+Tau^2*E16^2))</f>
        <v>15.697991846539006</v>
      </c>
      <c r="L16" s="13">
        <f t="shared" si="2"/>
        <v>0.47608984144822641</v>
      </c>
      <c r="M16" s="13">
        <f t="shared" si="2"/>
        <v>4.2932428078903646</v>
      </c>
      <c r="N16" s="6"/>
      <c r="O16" s="5"/>
      <c r="P16" s="60">
        <v>1</v>
      </c>
      <c r="Q16">
        <f t="array" ref="Q16">1-SUM(Gamma*(1-EXP(-P16/Tau)))</f>
        <v>4.5800000000000285E-3</v>
      </c>
      <c r="AA16">
        <f t="shared" si="1"/>
        <v>1.9392052259035308</v>
      </c>
    </row>
    <row r="17" spans="1:27" x14ac:dyDescent="0.25">
      <c r="A17">
        <v>14</v>
      </c>
      <c r="B17" s="36"/>
      <c r="C17" s="22">
        <v>0</v>
      </c>
      <c r="D17" s="18">
        <v>0</v>
      </c>
      <c r="E17" s="34">
        <f t="shared" si="0"/>
        <v>79.796453401180742</v>
      </c>
      <c r="F17" s="35">
        <v>12.7</v>
      </c>
      <c r="G17" s="47">
        <v>5.84</v>
      </c>
      <c r="H17" s="48">
        <v>7.0900000240000001</v>
      </c>
      <c r="I17" s="50">
        <v>1.2140411</v>
      </c>
      <c r="J17" s="16">
        <f t="array" ref="J17">G_0*(1-Sum_of_Gs+SUM(Gamma*Tau^2*E17^2/(1+Tau^2*E17^2)))</f>
        <v>14.300315732731072</v>
      </c>
      <c r="K17" s="16">
        <f t="array" ref="K17">G_0*SUM(Gamma*Tau*E17/(1+Tau^2*E17^2))</f>
        <v>21.08840596400028</v>
      </c>
      <c r="L17" s="13">
        <f t="shared" si="2"/>
        <v>2.0986859136768423</v>
      </c>
      <c r="M17" s="13">
        <f t="shared" si="2"/>
        <v>3.8982051745420652</v>
      </c>
      <c r="N17" s="6"/>
      <c r="O17" s="5"/>
      <c r="P17" s="61">
        <v>10</v>
      </c>
      <c r="Q17">
        <f t="array" ref="Q17">1-SUM(Gamma*(1-EXP(-P17/Tau)))</f>
        <v>4.5800000000000285E-3</v>
      </c>
      <c r="AA17">
        <f t="shared" si="1"/>
        <v>1.4746811439786875</v>
      </c>
    </row>
    <row r="18" spans="1:27" x14ac:dyDescent="0.25">
      <c r="A18">
        <v>15</v>
      </c>
      <c r="B18" s="36"/>
      <c r="C18" s="22">
        <v>0</v>
      </c>
      <c r="D18" s="18">
        <v>0</v>
      </c>
      <c r="E18" s="34">
        <f t="shared" si="0"/>
        <v>141.37166941154069</v>
      </c>
      <c r="F18" s="35">
        <v>22.5</v>
      </c>
      <c r="G18" s="47">
        <v>7.62</v>
      </c>
      <c r="H18" s="48">
        <v>10.500000336000001</v>
      </c>
      <c r="I18" s="50">
        <v>1.3779528000000001</v>
      </c>
      <c r="J18" s="16">
        <f t="array" ref="J18">G_0*(1-Sum_of_Gs+SUM(Gamma*Tau^2*E18^2/(1+Tau^2*E18^2)))</f>
        <v>25.263708726687646</v>
      </c>
      <c r="K18" s="16">
        <f t="array" ref="K18">G_0*SUM(Gamma*Tau*E18/(1+Tau^2*E18^2))</f>
        <v>24.889254064117097</v>
      </c>
      <c r="L18" s="13">
        <f t="shared" si="2"/>
        <v>5.3612963818138786</v>
      </c>
      <c r="M18" s="13">
        <f t="shared" si="2"/>
        <v>1.8780100644071878</v>
      </c>
      <c r="N18" s="6"/>
      <c r="O18" s="5"/>
      <c r="P18" s="60">
        <v>100</v>
      </c>
      <c r="Q18">
        <f t="array" ref="Q18">1-SUM(Gamma*(1-EXP(-P18/Tau)))</f>
        <v>4.5800000000000285E-3</v>
      </c>
      <c r="AA18">
        <f t="shared" si="1"/>
        <v>0.98517815944517328</v>
      </c>
    </row>
    <row r="19" spans="1:27" x14ac:dyDescent="0.25">
      <c r="E19" s="34">
        <f t="shared" si="0"/>
        <v>222.42475987415733</v>
      </c>
      <c r="F19" s="35">
        <v>35.4</v>
      </c>
      <c r="G19" s="47">
        <v>9.84</v>
      </c>
      <c r="H19" s="48">
        <v>14.499999647999999</v>
      </c>
      <c r="I19" s="50">
        <v>1.4735772</v>
      </c>
      <c r="J19" s="16">
        <f t="array" ref="J19">G_0*(1-Sum_of_Gs+SUM(Gamma*Tau^2*E19^2/(1+Tau^2*E19^2)))</f>
        <v>33.404403122487018</v>
      </c>
      <c r="K19" s="16">
        <f t="array" ref="K19">G_0*SUM(Gamma*Tau*E19/(1+Tau^2*E19^2))</f>
        <v>25.087915508023659</v>
      </c>
      <c r="L19" s="13">
        <f t="shared" si="2"/>
        <v>5.73485828664192</v>
      </c>
      <c r="M19" s="13">
        <f t="shared" si="2"/>
        <v>0.5331936632664992</v>
      </c>
      <c r="N19" s="6"/>
      <c r="O19" s="5"/>
      <c r="P19" s="6"/>
      <c r="AA19">
        <f t="shared" si="1"/>
        <v>0.75103618573969055</v>
      </c>
    </row>
    <row r="20" spans="1:27" x14ac:dyDescent="0.25">
      <c r="B20" s="19" t="s">
        <v>22</v>
      </c>
      <c r="C20" s="21">
        <f>SUM(C4:C17)</f>
        <v>0.99541999999999997</v>
      </c>
      <c r="E20" s="34">
        <f t="shared" si="0"/>
        <v>376.99111843077515</v>
      </c>
      <c r="F20" s="35">
        <v>60</v>
      </c>
      <c r="G20" s="47">
        <v>13.2</v>
      </c>
      <c r="H20" s="48">
        <v>20.30000016</v>
      </c>
      <c r="I20" s="50">
        <v>1.5378788000000001</v>
      </c>
      <c r="J20" s="16">
        <f t="array" ref="J20">G_0*(1-Sum_of_Gs+SUM(Gamma*Tau^2*E20^2/(1+Tau^2*E20^2)))</f>
        <v>40.133863578542517</v>
      </c>
      <c r="K20" s="16">
        <f t="array" ref="K20">G_0*SUM(Gamma*Tau*E20/(1+Tau^2*E20^2))</f>
        <v>25.657460081037716</v>
      </c>
      <c r="L20" s="13">
        <f t="shared" si="2"/>
        <v>4.1634125761451974</v>
      </c>
      <c r="M20" s="13">
        <f t="shared" si="2"/>
        <v>6.9650747053008277E-2</v>
      </c>
      <c r="N20" s="6"/>
      <c r="O20" s="5"/>
      <c r="P20" s="5"/>
      <c r="AA20">
        <f t="shared" si="1"/>
        <v>0.63929703729683829</v>
      </c>
    </row>
    <row r="21" spans="1:27" x14ac:dyDescent="0.25">
      <c r="E21" s="34">
        <f t="shared" si="0"/>
        <v>498.88491339005918</v>
      </c>
      <c r="F21" s="35">
        <v>79.400000000000006</v>
      </c>
      <c r="G21" s="47">
        <v>16.3</v>
      </c>
      <c r="H21" s="48">
        <v>24.500000249999999</v>
      </c>
      <c r="I21" s="50">
        <v>1.5030675</v>
      </c>
      <c r="J21" s="16">
        <f t="array" ref="J21">G_0*(1-Sum_of_Gs+SUM(Gamma*Tau^2*E21^2/(1+Tau^2*E21^2)))</f>
        <v>43.118902895774411</v>
      </c>
      <c r="K21" s="16">
        <f t="array" ref="K21">G_0*SUM(Gamma*Tau*E21/(1+Tau^2*E21^2))</f>
        <v>27.378957845239359</v>
      </c>
      <c r="L21" s="13">
        <f t="shared" si="2"/>
        <v>2.7071156330045434</v>
      </c>
      <c r="M21" s="13">
        <f t="shared" si="2"/>
        <v>1.3808241009638371E-2</v>
      </c>
      <c r="N21" s="6"/>
      <c r="O21" s="5"/>
      <c r="P21" s="6"/>
      <c r="AA21">
        <f t="shared" si="1"/>
        <v>0.63496415740026768</v>
      </c>
    </row>
    <row r="22" spans="1:27" x14ac:dyDescent="0.25">
      <c r="E22" s="34">
        <f t="shared" si="0"/>
        <v>628.31853071795865</v>
      </c>
      <c r="F22" s="35">
        <v>100</v>
      </c>
      <c r="G22" s="47">
        <v>19.399999999999999</v>
      </c>
      <c r="H22" s="48">
        <v>28.099999839999995</v>
      </c>
      <c r="I22" s="50">
        <v>1.4484535999999999</v>
      </c>
      <c r="J22" s="16">
        <f t="array" ref="J22">G_0*(1-Sum_of_Gs+SUM(Gamma*Tau^2*E22^2/(1+Tau^2*E22^2)))</f>
        <v>45.781539582500265</v>
      </c>
      <c r="K22" s="16">
        <f t="array" ref="K22">G_0*SUM(Gamma*Tau*E22/(1+Tau^2*E22^2))</f>
        <v>29.770417764036676</v>
      </c>
      <c r="L22" s="13">
        <f t="shared" si="2"/>
        <v>1.8492550503322045</v>
      </c>
      <c r="M22" s="13">
        <f t="shared" si="2"/>
        <v>3.5337648620440846E-3</v>
      </c>
      <c r="N22" s="6"/>
      <c r="O22" s="5"/>
      <c r="P22" s="5"/>
      <c r="AA22">
        <f t="shared" si="1"/>
        <v>0.65027122363128764</v>
      </c>
    </row>
    <row r="23" spans="1:27" x14ac:dyDescent="0.25">
      <c r="C23" s="19" t="s">
        <v>12</v>
      </c>
      <c r="D23" s="58">
        <v>530</v>
      </c>
      <c r="E23" s="34">
        <f>F23*2*PI()</f>
        <v>1005.3096491487338</v>
      </c>
      <c r="F23" s="35">
        <v>160</v>
      </c>
      <c r="G23" s="47">
        <v>26.5</v>
      </c>
      <c r="H23" s="48">
        <v>35.775000000000006</v>
      </c>
      <c r="I23" s="50">
        <v>1.35</v>
      </c>
      <c r="J23" s="16">
        <f t="array" ref="J23">G_0*(1-Sum_of_Gs+SUM(Gamma*Tau^2*E23^2/(1+Tau^2*E23^2)))</f>
        <v>53.122711791128609</v>
      </c>
      <c r="K23" s="16">
        <f t="array" ref="K23">G_0*SUM(Gamma*Tau*E23/(1+Tau^2*E23^2))</f>
        <v>37.078160842831899</v>
      </c>
      <c r="L23" s="13">
        <f t="shared" si="2"/>
        <v>1.0092827100227812</v>
      </c>
      <c r="M23" s="13">
        <f t="shared" si="2"/>
        <v>1.3268956150959657E-3</v>
      </c>
      <c r="N23" s="11"/>
      <c r="O23" s="5"/>
      <c r="P23" s="6"/>
      <c r="AA23">
        <f t="shared" si="1"/>
        <v>0.69797191432203731</v>
      </c>
    </row>
    <row r="24" spans="1:27" x14ac:dyDescent="0.25">
      <c r="C24" s="19" t="s">
        <v>18</v>
      </c>
      <c r="D24" s="16">
        <v>2.08</v>
      </c>
      <c r="E24" s="34">
        <f t="shared" ref="E24:E45" si="3">F24*2*PI()</f>
        <v>1495.3981031087415</v>
      </c>
      <c r="F24" s="33">
        <v>238</v>
      </c>
      <c r="G24" s="48">
        <v>34.4</v>
      </c>
      <c r="H24" s="48">
        <v>43.299998959999996</v>
      </c>
      <c r="I24" s="50">
        <v>1.2587208999999999</v>
      </c>
      <c r="J24" s="16">
        <f t="array" ref="J24">G_0*(1-Sum_of_Gs+SUM(Gamma*Tau^2*E24^2/(1+Tau^2*E24^2)))</f>
        <v>62.194540846342413</v>
      </c>
      <c r="K24" s="16">
        <f t="array" ref="K24">G_0*SUM(Gamma*Tau*E24/(1+Tau^2*E24^2))</f>
        <v>44.712408259458101</v>
      </c>
      <c r="L24" s="13">
        <f t="shared" si="2"/>
        <v>0.65283303547440918</v>
      </c>
      <c r="M24" s="13">
        <f t="shared" si="2"/>
        <v>1.0640091552169217E-3</v>
      </c>
      <c r="N24" s="11"/>
      <c r="O24" s="5"/>
      <c r="P24" s="5"/>
      <c r="AA24">
        <f t="shared" si="1"/>
        <v>0.71891210468012623</v>
      </c>
    </row>
    <row r="25" spans="1:27" x14ac:dyDescent="0.25">
      <c r="C25" s="59" t="s">
        <v>20</v>
      </c>
      <c r="D25">
        <f>(G_0-G_inf)/G_0</f>
        <v>0.99607547169811317</v>
      </c>
      <c r="E25" s="34">
        <f t="shared" si="3"/>
        <v>1790.7078125461821</v>
      </c>
      <c r="F25" s="33">
        <v>285</v>
      </c>
      <c r="G25" s="48">
        <v>38.299999999999997</v>
      </c>
      <c r="H25" s="48">
        <v>46.725999999999992</v>
      </c>
      <c r="I25" s="50">
        <v>1.22</v>
      </c>
      <c r="J25" s="16">
        <f t="array" ref="J25">G_0*(1-Sum_of_Gs+SUM(Gamma*Tau^2*E25^2/(1+Tau^2*E25^2)))</f>
        <v>67.118671482740993</v>
      </c>
      <c r="K25" s="16">
        <f t="array" ref="K25">G_0*SUM(Gamma*Tau*E25/(1+Tau^2*E25^2))</f>
        <v>48.314641556546015</v>
      </c>
      <c r="L25" s="13">
        <f t="shared" si="2"/>
        <v>0.56617457752806888</v>
      </c>
      <c r="M25" s="13">
        <f t="shared" si="2"/>
        <v>1.1559382331824525E-3</v>
      </c>
      <c r="N25" s="11"/>
      <c r="O25" s="5"/>
      <c r="P25" s="6"/>
      <c r="AA25">
        <f t="shared" si="1"/>
        <v>0.71983906250244722</v>
      </c>
    </row>
    <row r="26" spans="1:27" x14ac:dyDescent="0.25">
      <c r="E26" s="34">
        <f t="shared" si="3"/>
        <v>2513.2741228718346</v>
      </c>
      <c r="F26" s="33">
        <v>400</v>
      </c>
      <c r="G26" s="48">
        <v>50.1</v>
      </c>
      <c r="H26" s="48">
        <v>57.300001260000002</v>
      </c>
      <c r="I26" s="50">
        <v>1.1437126</v>
      </c>
      <c r="J26" s="16">
        <f t="array" ref="J26">G_0*(1-Sum_of_Gs+SUM(Gamma*Tau^2*E26^2/(1+Tau^2*E26^2)))</f>
        <v>77.421485978900293</v>
      </c>
      <c r="K26" s="16">
        <f t="array" ref="K26">G_0*SUM(Gamma*Tau*E26/(1+Tau^2*E26^2))</f>
        <v>55.36794446801035</v>
      </c>
      <c r="L26" s="13">
        <f t="shared" si="2"/>
        <v>0.29739467017870264</v>
      </c>
      <c r="M26" s="13">
        <f t="shared" si="2"/>
        <v>1.1369215888046484E-3</v>
      </c>
      <c r="O26" s="5"/>
      <c r="P26" s="5"/>
      <c r="AA26">
        <f t="shared" si="1"/>
        <v>0.7151495966261846</v>
      </c>
    </row>
    <row r="27" spans="1:27" x14ac:dyDescent="0.25">
      <c r="E27" s="34">
        <f t="shared" si="3"/>
        <v>3348.9377687267192</v>
      </c>
      <c r="F27" s="33">
        <v>533</v>
      </c>
      <c r="G27" s="48">
        <v>58.8</v>
      </c>
      <c r="H27" s="48">
        <v>63.100002839999995</v>
      </c>
      <c r="I27" s="50">
        <v>1.0731293</v>
      </c>
      <c r="J27" s="16">
        <f t="array" ref="J27">G_0*(1-Sum_of_Gs+SUM(Gamma*Tau^2*E27^2/(1+Tau^2*E27^2)))</f>
        <v>87.286446410678806</v>
      </c>
      <c r="K27" s="16">
        <f t="array" ref="K27">G_0*SUM(Gamma*Tau*E27/(1+Tau^2*E27^2))</f>
        <v>61.997830493895421</v>
      </c>
      <c r="L27" s="13">
        <f t="shared" si="2"/>
        <v>0.23470476106844246</v>
      </c>
      <c r="M27" s="13">
        <f t="shared" si="2"/>
        <v>3.0509863376068137E-4</v>
      </c>
      <c r="O27" s="5"/>
      <c r="P27" s="6"/>
      <c r="AA27">
        <f t="shared" si="1"/>
        <v>0.71028015279942103</v>
      </c>
    </row>
    <row r="28" spans="1:27" x14ac:dyDescent="0.25">
      <c r="E28" s="34">
        <f t="shared" si="3"/>
        <v>4988.8491339005914</v>
      </c>
      <c r="F28" s="33">
        <v>794</v>
      </c>
      <c r="G28" s="48">
        <v>73.7</v>
      </c>
      <c r="H28" s="48">
        <v>70.751999999999995</v>
      </c>
      <c r="I28" s="50">
        <v>0.96</v>
      </c>
      <c r="J28" s="16">
        <f t="array" ref="J28">G_0*(1-Sum_of_Gs+SUM(Gamma*Tau^2*E28^2/(1+Tau^2*E28^2)))</f>
        <v>103.79141768629563</v>
      </c>
      <c r="K28" s="16">
        <f t="array" ref="K28">G_0*SUM(Gamma*Tau*E28/(1+Tau^2*E28^2))</f>
        <v>72.358958296602637</v>
      </c>
      <c r="L28" s="13">
        <f t="shared" si="2"/>
        <v>0.16670565116402175</v>
      </c>
      <c r="M28" s="13">
        <f t="shared" si="2"/>
        <v>5.1585990118085598E-4</v>
      </c>
      <c r="AA28">
        <f t="shared" si="1"/>
        <v>0.69715743275907427</v>
      </c>
    </row>
    <row r="29" spans="1:27" x14ac:dyDescent="0.25">
      <c r="E29" s="34">
        <f t="shared" si="3"/>
        <v>6283.1853071795858</v>
      </c>
      <c r="F29" s="33">
        <v>1000</v>
      </c>
      <c r="G29" s="48">
        <v>86.4</v>
      </c>
      <c r="H29" s="48">
        <v>78.499999584000008</v>
      </c>
      <c r="I29" s="50">
        <v>0.90856481</v>
      </c>
      <c r="J29" s="16">
        <f t="array" ref="J29">G_0*(1-Sum_of_Gs+SUM(Gamma*Tau^2*E29^2/(1+Tau^2*E29^2)))</f>
        <v>115.29220618142317</v>
      </c>
      <c r="K29" s="16">
        <f t="array" ref="K29">G_0*SUM(Gamma*Tau*E29/(1+Tau^2*E29^2))</f>
        <v>78.428908011533309</v>
      </c>
      <c r="L29" s="13">
        <f t="shared" si="2"/>
        <v>0.11182371747870944</v>
      </c>
      <c r="M29" s="13">
        <f t="shared" si="2"/>
        <v>8.2015687928167484E-7</v>
      </c>
      <c r="P29" s="6"/>
      <c r="AA29">
        <f t="shared" si="1"/>
        <v>0.68026201084328297</v>
      </c>
    </row>
    <row r="30" spans="1:27" x14ac:dyDescent="0.25">
      <c r="E30" s="34">
        <f t="shared" si="3"/>
        <v>10053.096491487338</v>
      </c>
      <c r="F30" s="33">
        <v>1600</v>
      </c>
      <c r="G30" s="48">
        <v>106</v>
      </c>
      <c r="H30" s="48">
        <v>85.199999480000002</v>
      </c>
      <c r="I30" s="50">
        <v>0.80377357999999999</v>
      </c>
      <c r="J30" s="16">
        <f t="array" ref="J30">G_0*(1-Sum_of_Gs+SUM(Gamma*Tau^2*E30^2/(1+Tau^2*E30^2)))</f>
        <v>142.34759569846193</v>
      </c>
      <c r="K30" s="16">
        <f t="array" ref="K30">G_0*SUM(Gamma*Tau*E30/(1+Tau^2*E30^2))</f>
        <v>88.995304589622819</v>
      </c>
      <c r="L30" s="13">
        <f t="shared" si="2"/>
        <v>0.11758167613553287</v>
      </c>
      <c r="M30" s="13">
        <f t="shared" si="2"/>
        <v>1.984331406213043E-3</v>
      </c>
      <c r="AA30">
        <f t="shared" si="1"/>
        <v>0.62519710398301032</v>
      </c>
    </row>
    <row r="31" spans="1:27" x14ac:dyDescent="0.25">
      <c r="E31" s="34">
        <f t="shared" si="3"/>
        <v>14953.981031087415</v>
      </c>
      <c r="F31" s="33">
        <v>2380</v>
      </c>
      <c r="G31" s="48">
        <v>138</v>
      </c>
      <c r="H31" s="48">
        <v>98.400000239999997</v>
      </c>
      <c r="I31" s="50">
        <v>0.71304347999999995</v>
      </c>
      <c r="J31" s="16">
        <f t="array" ref="J31">G_0*(1-Sum_of_Gs+SUM(Gamma*Tau^2*E31^2/(1+Tau^2*E31^2)))</f>
        <v>166.97412218092731</v>
      </c>
      <c r="K31" s="16">
        <f t="array" ref="K31">G_0*SUM(Gamma*Tau*E31/(1+Tau^2*E31^2))</f>
        <v>96.093342587251556</v>
      </c>
      <c r="L31" s="13">
        <f t="shared" si="2"/>
        <v>4.4082112799585377E-2</v>
      </c>
      <c r="M31" s="13">
        <f t="shared" si="2"/>
        <v>5.4951061506755279E-4</v>
      </c>
      <c r="P31" s="6"/>
      <c r="AA31">
        <f t="shared" si="1"/>
        <v>0.57549841455748563</v>
      </c>
    </row>
    <row r="32" spans="1:27" x14ac:dyDescent="0.25">
      <c r="E32">
        <f t="shared" si="3"/>
        <v>19980.529276831083</v>
      </c>
      <c r="F32" s="53">
        <v>3180</v>
      </c>
      <c r="G32" s="46">
        <v>159</v>
      </c>
      <c r="H32" s="46">
        <v>102.99999966</v>
      </c>
      <c r="I32" s="54">
        <v>0.64779874000000004</v>
      </c>
      <c r="J32" s="52">
        <f t="array" ref="J32">G_0*(1-Sum_of_Gs+SUM(Gamma*Tau^2*E32^2/(1+Tau^2*E32^2)))</f>
        <v>185.75999379335539</v>
      </c>
      <c r="K32" s="52">
        <f t="array" ref="K32">G_0*SUM(Gamma*Tau*E32/(1+Tau^2*E32^2))</f>
        <v>101.14860449026024</v>
      </c>
      <c r="L32" s="13">
        <f t="shared" ref="L32:M43" si="4">(1-J32/G32)^2</f>
        <v>2.8325511958404326E-2</v>
      </c>
      <c r="M32" s="13">
        <f t="shared" si="4"/>
        <v>3.2309021558723117E-4</v>
      </c>
      <c r="AA32">
        <f t="shared" si="1"/>
        <v>0.54451231626752084</v>
      </c>
    </row>
    <row r="33" spans="3:27" x14ac:dyDescent="0.25">
      <c r="E33">
        <f t="shared" si="3"/>
        <v>29970.793915246628</v>
      </c>
      <c r="F33" s="53">
        <v>4770</v>
      </c>
      <c r="G33" s="46">
        <v>188</v>
      </c>
      <c r="H33" s="46">
        <v>108.99999923999999</v>
      </c>
      <c r="I33" s="54">
        <v>0.57978722999999999</v>
      </c>
      <c r="J33" s="52">
        <f t="array" ref="J33">G_0*(1-Sum_of_Gs+SUM(Gamma*Tau^2*E33^2/(1+Tau^2*E33^2)))</f>
        <v>214.42997748587189</v>
      </c>
      <c r="K33" s="52">
        <f t="array" ref="K33">G_0*SUM(Gamma*Tau*E33/(1+Tau^2*E33^2))</f>
        <v>108.0954019278262</v>
      </c>
      <c r="L33" s="13">
        <f t="shared" si="4"/>
        <v>1.9764138464907627E-2</v>
      </c>
      <c r="M33" s="13">
        <f t="shared" si="4"/>
        <v>6.8874363151514385E-5</v>
      </c>
      <c r="P33" s="6"/>
      <c r="AA33">
        <f t="shared" si="1"/>
        <v>0.50410583070153181</v>
      </c>
    </row>
    <row r="34" spans="3:27" x14ac:dyDescent="0.25">
      <c r="E34">
        <f t="shared" si="3"/>
        <v>49888.491339005916</v>
      </c>
      <c r="F34" s="55">
        <v>7940</v>
      </c>
      <c r="G34" s="48">
        <v>225</v>
      </c>
      <c r="H34" s="48">
        <v>114.99999975</v>
      </c>
      <c r="I34" s="50">
        <v>0.51111110999999998</v>
      </c>
      <c r="J34" s="52">
        <f t="array" ref="J34">G_0*(1-Sum_of_Gs+SUM(Gamma*Tau^2*E34^2/(1+Tau^2*E34^2)))</f>
        <v>254.89209301363772</v>
      </c>
      <c r="K34" s="52">
        <f t="array" ref="K34">G_0*SUM(Gamma*Tau*E34/(1+Tau^2*E34^2))</f>
        <v>113.93697889728736</v>
      </c>
      <c r="L34" s="13">
        <f t="shared" si="4"/>
        <v>1.7650118019475938E-2</v>
      </c>
      <c r="M34" s="13">
        <f t="shared" si="4"/>
        <v>8.5445242965218561E-5</v>
      </c>
      <c r="AA34">
        <f t="shared" si="1"/>
        <v>0.44700083690391795</v>
      </c>
    </row>
    <row r="35" spans="3:27" x14ac:dyDescent="0.25">
      <c r="E35">
        <f t="shared" si="3"/>
        <v>79796.453401180741</v>
      </c>
      <c r="F35" s="55">
        <v>12700</v>
      </c>
      <c r="G35" s="48">
        <v>258</v>
      </c>
      <c r="H35" s="48">
        <v>118.99999998</v>
      </c>
      <c r="I35" s="50">
        <v>0.46124030999999999</v>
      </c>
      <c r="J35" s="52">
        <f t="array" ref="J35">G_0*(1-Sum_of_Gs+SUM(Gamma*Tau^2*E35^2/(1+Tau^2*E35^2)))</f>
        <v>294.29540688772175</v>
      </c>
      <c r="K35" s="52">
        <f t="array" ref="K35">G_0*SUM(Gamma*Tau*E35/(1+Tau^2*E35^2))</f>
        <v>113.98070254494323</v>
      </c>
      <c r="L35" s="13">
        <f t="shared" si="4"/>
        <v>1.9790826289665307E-2</v>
      </c>
      <c r="M35" s="13">
        <f t="shared" si="4"/>
        <v>1.7790655144436045E-3</v>
      </c>
      <c r="AA35">
        <f t="shared" si="1"/>
        <v>0.38730031076709476</v>
      </c>
    </row>
    <row r="36" spans="3:27" x14ac:dyDescent="0.25">
      <c r="E36">
        <f t="shared" si="3"/>
        <v>125035.38761287376</v>
      </c>
      <c r="F36" s="55">
        <v>19900</v>
      </c>
      <c r="G36" s="48">
        <v>292</v>
      </c>
      <c r="H36" s="48">
        <v>120.99999951999999</v>
      </c>
      <c r="I36" s="50">
        <v>0.41438355999999998</v>
      </c>
      <c r="J36" s="52">
        <f t="array" ref="J36">G_0*(1-Sum_of_Gs+SUM(Gamma*Tau^2*E36^2/(1+Tau^2*E36^2)))</f>
        <v>330.28237727426432</v>
      </c>
      <c r="K36" s="52">
        <f t="array" ref="K36">G_0*SUM(Gamma*Tau*E36/(1+Tau^2*E36^2))</f>
        <v>108.44030203149747</v>
      </c>
      <c r="L36" s="13">
        <f t="shared" si="4"/>
        <v>1.7188267144036266E-2</v>
      </c>
      <c r="M36" s="13">
        <f t="shared" si="4"/>
        <v>1.077426420696914E-2</v>
      </c>
      <c r="AA36">
        <f t="shared" si="1"/>
        <v>0.32832603097515356</v>
      </c>
    </row>
    <row r="37" spans="3:27" x14ac:dyDescent="0.25">
      <c r="E37">
        <f t="shared" si="3"/>
        <v>199805.29276831084</v>
      </c>
      <c r="F37" s="55">
        <v>31800</v>
      </c>
      <c r="G37" s="48">
        <v>328</v>
      </c>
      <c r="H37" s="48">
        <v>122.00000016000001</v>
      </c>
      <c r="I37" s="50">
        <v>0.37195122000000003</v>
      </c>
      <c r="J37" s="52">
        <f t="array" ref="J37">G_0*(1-Sum_of_Gs+SUM(Gamma*Tau^2*E37^2/(1+Tau^2*E37^2)))</f>
        <v>361.79850043499238</v>
      </c>
      <c r="K37" s="52">
        <f t="array" ref="K37">G_0*SUM(Gamma*Tau*E37/(1+Tau^2*E37^2))</f>
        <v>99.627888779966796</v>
      </c>
      <c r="L37" s="13">
        <f t="shared" si="4"/>
        <v>1.061810893491765E-2</v>
      </c>
      <c r="M37" s="13">
        <f t="shared" si="4"/>
        <v>3.3627476907269228E-2</v>
      </c>
      <c r="AA37">
        <f t="shared" si="1"/>
        <v>0.27536844033400809</v>
      </c>
    </row>
    <row r="38" spans="3:27" x14ac:dyDescent="0.25">
      <c r="C38" s="4"/>
      <c r="E38">
        <f t="shared" si="3"/>
        <v>314159.26535897929</v>
      </c>
      <c r="F38" s="55">
        <v>50000</v>
      </c>
      <c r="G38" s="48">
        <v>354</v>
      </c>
      <c r="H38" s="48">
        <v>118.99999926000001</v>
      </c>
      <c r="I38" s="50">
        <v>0.33615819000000002</v>
      </c>
      <c r="J38" s="52">
        <f t="array" ref="J38">G_0*(1-Sum_of_Gs+SUM(Gamma*Tau^2*E38^2/(1+Tau^2*E38^2)))</f>
        <v>386.79298362110802</v>
      </c>
      <c r="K38" s="52">
        <f t="array" ref="K38">G_0*SUM(Gamma*Tau*E38/(1+Tau^2*E38^2))</f>
        <v>94.059425667630308</v>
      </c>
      <c r="L38" s="13">
        <f t="shared" si="4"/>
        <v>8.5813445591485533E-3</v>
      </c>
      <c r="M38" s="13">
        <f t="shared" si="4"/>
        <v>4.392572691565625E-2</v>
      </c>
      <c r="AA38">
        <f t="shared" si="1"/>
        <v>0.2431776936258192</v>
      </c>
    </row>
    <row r="39" spans="3:27" x14ac:dyDescent="0.25">
      <c r="C39" s="6"/>
      <c r="E39">
        <f t="shared" si="3"/>
        <v>498884.91339005914</v>
      </c>
      <c r="F39" s="55">
        <v>79400</v>
      </c>
      <c r="G39" s="48">
        <v>386</v>
      </c>
      <c r="H39" s="48">
        <v>117.99999928000001</v>
      </c>
      <c r="I39" s="50">
        <v>0.30569948000000002</v>
      </c>
      <c r="J39" s="52">
        <f t="array" ref="J39">G_0*(1-Sum_of_Gs+SUM(Gamma*Tau^2*E39^2/(1+Tau^2*E39^2)))</f>
        <v>413.1646826799518</v>
      </c>
      <c r="K39" s="52">
        <f t="array" ref="K39">G_0*SUM(Gamma*Tau*E39/(1+Tau^2*E39^2))</f>
        <v>93.332196537446961</v>
      </c>
      <c r="L39" s="13">
        <f t="shared" si="4"/>
        <v>4.9526160776294055E-3</v>
      </c>
      <c r="M39" s="13">
        <f t="shared" si="4"/>
        <v>4.3701558429422305E-2</v>
      </c>
      <c r="AA39">
        <f t="shared" si="1"/>
        <v>0.22589587263862176</v>
      </c>
    </row>
    <row r="40" spans="3:27" x14ac:dyDescent="0.25">
      <c r="C40" s="6"/>
      <c r="E40">
        <f t="shared" si="3"/>
        <v>797964.53401180741</v>
      </c>
      <c r="F40" s="55">
        <v>127000</v>
      </c>
      <c r="G40" s="48">
        <v>418</v>
      </c>
      <c r="H40" s="48">
        <v>117.99999969999999</v>
      </c>
      <c r="I40" s="50">
        <v>0.28229664999999998</v>
      </c>
      <c r="J40" s="52">
        <f t="array" ref="J40">G_0*(1-Sum_of_Gs+SUM(Gamma*Tau^2*E40^2/(1+Tau^2*E40^2)))</f>
        <v>445.51253164855018</v>
      </c>
      <c r="K40" s="52">
        <f t="array" ref="K40">G_0*SUM(Gamma*Tau*E40/(1+Tau^2*E40^2))</f>
        <v>91.510599416276023</v>
      </c>
      <c r="L40" s="13">
        <f t="shared" si="4"/>
        <v>4.3322004859806E-3</v>
      </c>
      <c r="M40" s="13">
        <f t="shared" si="4"/>
        <v>5.0394163384032041E-2</v>
      </c>
      <c r="AA40">
        <f t="shared" si="1"/>
        <v>0.20540521964142111</v>
      </c>
    </row>
    <row r="41" spans="3:27" x14ac:dyDescent="0.25">
      <c r="C41" s="6"/>
      <c r="E41">
        <f t="shared" si="3"/>
        <v>1495398.1031087416</v>
      </c>
      <c r="F41" s="55">
        <v>238000</v>
      </c>
      <c r="G41" s="48">
        <v>461</v>
      </c>
      <c r="H41" s="48">
        <v>117.00000210000002</v>
      </c>
      <c r="I41" s="50">
        <v>0.25379610000000002</v>
      </c>
      <c r="J41" s="52">
        <f t="array" ref="J41">G_0*(1-Sum_of_Gs+SUM(Gamma*Tau^2*E41^2/(1+Tau^2*E41^2)))</f>
        <v>488.66739817551525</v>
      </c>
      <c r="K41" s="52">
        <f t="array" ref="K41">G_0*SUM(Gamma*Tau*E41/(1+Tau^2*E41^2))</f>
        <v>75.177125842300185</v>
      </c>
      <c r="L41" s="13">
        <f t="shared" si="4"/>
        <v>3.6019260299100173E-3</v>
      </c>
      <c r="M41" s="13">
        <f t="shared" si="4"/>
        <v>0.12777799077191662</v>
      </c>
      <c r="AA41">
        <f t="shared" si="1"/>
        <v>0.15384109134961921</v>
      </c>
    </row>
    <row r="42" spans="3:27" x14ac:dyDescent="0.25">
      <c r="C42" s="6"/>
      <c r="E42">
        <f t="shared" si="3"/>
        <v>3141592.653589793</v>
      </c>
      <c r="F42" s="55">
        <v>500000</v>
      </c>
      <c r="G42" s="48">
        <v>501</v>
      </c>
      <c r="H42" s="48">
        <v>115.00000092000001</v>
      </c>
      <c r="I42" s="50">
        <v>0.22954092000000001</v>
      </c>
      <c r="J42" s="52">
        <f t="array" ref="J42">G_0*(1-Sum_of_Gs+SUM(Gamma*Tau^2*E42^2/(1+Tau^2*E42^2)))</f>
        <v>517.74336923498015</v>
      </c>
      <c r="K42" s="52">
        <f t="array" ref="K42">G_0*SUM(Gamma*Tau*E42/(1+Tau^2*E42^2))</f>
        <v>44.735502914229784</v>
      </c>
      <c r="L42" s="13">
        <f t="shared" si="4"/>
        <v>1.1168896272878591E-3</v>
      </c>
      <c r="M42" s="13">
        <f t="shared" si="4"/>
        <v>0.37331565981166681</v>
      </c>
      <c r="AA42">
        <f t="shared" si="1"/>
        <v>8.6404781929570934E-2</v>
      </c>
    </row>
    <row r="43" spans="3:27" ht="15.75" thickBot="1" x14ac:dyDescent="0.3">
      <c r="C43" s="6"/>
      <c r="E43">
        <f t="shared" si="3"/>
        <v>4988849.1339005912</v>
      </c>
      <c r="F43" s="56">
        <v>794000</v>
      </c>
      <c r="G43" s="49">
        <v>530</v>
      </c>
      <c r="H43" s="49">
        <v>113.0000015</v>
      </c>
      <c r="I43" s="51">
        <v>0.21320755</v>
      </c>
      <c r="J43" s="52">
        <f t="array" ref="J43">G_0*(1-Sum_of_Gs+SUM(Gamma*Tau^2*E43^2/(1+Tau^2*E43^2)))</f>
        <v>524.84945301352423</v>
      </c>
      <c r="K43" s="52">
        <f t="array" ref="K43">G_0*SUM(Gamma*Tau*E43/(1+Tau^2*E43^2))</f>
        <v>29.578024048936321</v>
      </c>
      <c r="L43" s="13">
        <f t="shared" si="4"/>
        <v>9.4439780206105066E-5</v>
      </c>
      <c r="M43" s="13">
        <f t="shared" si="4"/>
        <v>0.5450094868108355</v>
      </c>
      <c r="AA43">
        <f t="shared" si="1"/>
        <v>5.6355253642941604E-2</v>
      </c>
    </row>
    <row r="44" spans="3:27" x14ac:dyDescent="0.25">
      <c r="C44" s="6"/>
      <c r="E44" s="57">
        <f t="shared" si="3"/>
        <v>62831853.071795866</v>
      </c>
      <c r="F44" s="30">
        <v>10000000</v>
      </c>
      <c r="G44" s="32"/>
      <c r="H44" s="32"/>
      <c r="I44" s="32"/>
      <c r="J44" s="28">
        <f t="array" ref="J44">G_0*(1-Sum_of_Gs+SUM(Gamma*Tau^2*E44^2/(1+Tau^2*E44^2)))</f>
        <v>529.96619833161367</v>
      </c>
      <c r="K44" s="28">
        <f t="array" ref="K44">G_0*SUM(Gamma*Tau*E44/(1+Tau^2*E44^2))</f>
        <v>2.4294384196993106</v>
      </c>
      <c r="L44" s="32"/>
      <c r="M44" s="32"/>
      <c r="AA44">
        <f t="shared" si="1"/>
        <v>4.5841384362765485E-3</v>
      </c>
    </row>
    <row r="45" spans="3:27" x14ac:dyDescent="0.25">
      <c r="C45" s="6"/>
      <c r="E45" s="57">
        <f t="shared" si="3"/>
        <v>628318530.71795857</v>
      </c>
      <c r="F45" s="30">
        <v>100000000</v>
      </c>
      <c r="G45" s="32"/>
      <c r="H45" s="32"/>
      <c r="I45" s="32"/>
      <c r="J45" s="28">
        <f t="array" ref="J45">G_0*(1-Sum_of_Gs+SUM(Gamma*Tau^2*E45^2/(1+Tau^2*E45^2)))</f>
        <v>529.99966189592317</v>
      </c>
      <c r="K45" s="28">
        <f t="array" ref="K45">G_0*SUM(Gamma*Tau*E45/(1+Tau^2*E45^2))</f>
        <v>0.2429969113774863</v>
      </c>
      <c r="L45" s="32"/>
      <c r="M45" s="32"/>
      <c r="AA45">
        <f t="shared" si="1"/>
        <v>4.5848503093046117E-4</v>
      </c>
    </row>
    <row r="46" spans="3:27" x14ac:dyDescent="0.25">
      <c r="C46" s="6"/>
      <c r="K46"/>
      <c r="L46"/>
    </row>
    <row r="47" spans="3:27" x14ac:dyDescent="0.25">
      <c r="C47" s="6"/>
      <c r="K47" s="11" t="s">
        <v>9</v>
      </c>
      <c r="L47" s="26">
        <f>SUM(L6:L43)</f>
        <v>25.916368182865664</v>
      </c>
      <c r="M47" s="26">
        <f>SUM(M6:M43)</f>
        <v>21.430343963407097</v>
      </c>
    </row>
    <row r="48" spans="3:27" x14ac:dyDescent="0.25">
      <c r="C48" s="6"/>
      <c r="K48" s="19" t="s">
        <v>24</v>
      </c>
      <c r="L48">
        <v>1</v>
      </c>
      <c r="M48">
        <v>1</v>
      </c>
    </row>
    <row r="49" spans="3:13" x14ac:dyDescent="0.25">
      <c r="C49" s="6"/>
      <c r="K49" s="19" t="s">
        <v>25</v>
      </c>
      <c r="L49" s="69">
        <f>Gs_Error*L48+Gl_Error*M48</f>
        <v>47.346712146272765</v>
      </c>
      <c r="M49" s="69"/>
    </row>
    <row r="50" spans="3:13" x14ac:dyDescent="0.25">
      <c r="C50" s="6"/>
      <c r="K50"/>
      <c r="L50"/>
    </row>
    <row r="51" spans="3:13" x14ac:dyDescent="0.25">
      <c r="C51" s="6"/>
      <c r="E51" s="32"/>
      <c r="F51" s="32" t="s">
        <v>180</v>
      </c>
      <c r="G51" s="32"/>
      <c r="H51" s="32"/>
      <c r="I51" s="32"/>
      <c r="J51" s="32"/>
      <c r="K51" s="32"/>
      <c r="L51"/>
    </row>
    <row r="52" spans="3:13" x14ac:dyDescent="0.25">
      <c r="C52" s="6"/>
      <c r="K52"/>
      <c r="L52"/>
    </row>
    <row r="53" spans="3:13" x14ac:dyDescent="0.25">
      <c r="C53" s="6"/>
      <c r="K53"/>
      <c r="L53"/>
    </row>
    <row r="54" spans="3:13" x14ac:dyDescent="0.25">
      <c r="C54" s="6"/>
      <c r="K54"/>
      <c r="L54"/>
    </row>
    <row r="55" spans="3:13" x14ac:dyDescent="0.25">
      <c r="C55" s="6"/>
      <c r="L55"/>
    </row>
    <row r="56" spans="3:13" x14ac:dyDescent="0.25">
      <c r="C56" s="6"/>
    </row>
  </sheetData>
  <mergeCells count="3">
    <mergeCell ref="C2:D2"/>
    <mergeCell ref="F2:H2"/>
    <mergeCell ref="L49:M4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53</vt:i4>
      </vt:variant>
    </vt:vector>
  </HeadingPairs>
  <TitlesOfParts>
    <vt:vector size="59" baseType="lpstr">
      <vt:lpstr>Initial Guess</vt:lpstr>
      <vt:lpstr>Arrieta's Prony Response</vt:lpstr>
      <vt:lpstr>Arrieta Test Data</vt:lpstr>
      <vt:lpstr>Abaqus model from Arrieta Paper</vt:lpstr>
      <vt:lpstr>Abaqus Fit Result</vt:lpstr>
      <vt:lpstr>Calibrate from Abaqus</vt:lpstr>
      <vt:lpstr>'Arrieta''s Prony Response'!G_0</vt:lpstr>
      <vt:lpstr>'Calibrate from Abaqus'!G_0</vt:lpstr>
      <vt:lpstr>G_0</vt:lpstr>
      <vt:lpstr>g_1</vt:lpstr>
      <vt:lpstr>g_10</vt:lpstr>
      <vt:lpstr>g_11</vt:lpstr>
      <vt:lpstr>g_12</vt:lpstr>
      <vt:lpstr>g_13</vt:lpstr>
      <vt:lpstr>g_14</vt:lpstr>
      <vt:lpstr>g_2</vt:lpstr>
      <vt:lpstr>g_3</vt:lpstr>
      <vt:lpstr>g_4</vt:lpstr>
      <vt:lpstr>g_5</vt:lpstr>
      <vt:lpstr>g_6</vt:lpstr>
      <vt:lpstr>g_7</vt:lpstr>
      <vt:lpstr>g_8</vt:lpstr>
      <vt:lpstr>g_9</vt:lpstr>
      <vt:lpstr>'Arrieta''s Prony Response'!G_inf</vt:lpstr>
      <vt:lpstr>'Calibrate from Abaqus'!G_inf</vt:lpstr>
      <vt:lpstr>G_inf</vt:lpstr>
      <vt:lpstr>'Arrieta''s Prony Response'!Gamma</vt:lpstr>
      <vt:lpstr>'Calibrate from Abaqus'!Gamma</vt:lpstr>
      <vt:lpstr>Gamma</vt:lpstr>
      <vt:lpstr>'Arrieta''s Prony Response'!Gl_Error</vt:lpstr>
      <vt:lpstr>'Calibrate from Abaqus'!Gl_Error</vt:lpstr>
      <vt:lpstr>Gl_Error</vt:lpstr>
      <vt:lpstr>'Arrieta''s Prony Response'!Gs_Error</vt:lpstr>
      <vt:lpstr>'Calibrate from Abaqus'!Gs_Error</vt:lpstr>
      <vt:lpstr>Gs_Error</vt:lpstr>
      <vt:lpstr>'Arrieta''s Prony Response'!Sum_of_Errors</vt:lpstr>
      <vt:lpstr>'Calibrate from Abaqus'!Sum_of_Errors</vt:lpstr>
      <vt:lpstr>Sum_of_Errors</vt:lpstr>
      <vt:lpstr>'Arrieta''s Prony Response'!Sum_of_Gs</vt:lpstr>
      <vt:lpstr>'Calibrate from Abaqus'!Sum_of_Gs</vt:lpstr>
      <vt:lpstr>Sum_of_Gs</vt:lpstr>
      <vt:lpstr>'Arrieta''s Prony Response'!Tau</vt:lpstr>
      <vt:lpstr>'Calibrate from Abaqus'!Tau</vt:lpstr>
      <vt:lpstr>Tau</vt:lpstr>
      <vt:lpstr>x_1</vt:lpstr>
      <vt:lpstr>x_10</vt:lpstr>
      <vt:lpstr>x_11</vt:lpstr>
      <vt:lpstr>x_12</vt:lpstr>
      <vt:lpstr>x_13</vt:lpstr>
      <vt:lpstr>x_14</vt:lpstr>
      <vt:lpstr>x_15</vt:lpstr>
      <vt:lpstr>x_2</vt:lpstr>
      <vt:lpstr>x_3</vt:lpstr>
      <vt:lpstr>x_4</vt:lpstr>
      <vt:lpstr>x_5</vt:lpstr>
      <vt:lpstr>x_6</vt:lpstr>
      <vt:lpstr>x_7</vt:lpstr>
      <vt:lpstr>x_8</vt:lpstr>
      <vt:lpstr>x_9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PANDHEERADI Muralidharan</dc:creator>
  <cp:lastModifiedBy>DALRYMPLE Tod</cp:lastModifiedBy>
  <dcterms:created xsi:type="dcterms:W3CDTF">2010-12-08T16:16:18Z</dcterms:created>
  <dcterms:modified xsi:type="dcterms:W3CDTF">2014-10-08T19:48:37Z</dcterms:modified>
</cp:coreProperties>
</file>