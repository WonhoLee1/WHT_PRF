
<file path=[Content_Types].xml><?xml version="1.0" encoding="utf-8"?>
<Types xmlns="http://schemas.openxmlformats.org/package/2006/content-types"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8315" windowHeight="8745"/>
  </bookViews>
  <sheets>
    <sheet name="Neo-Hooke Curve Fit" sheetId="1" r:id="rId1"/>
    <sheet name="just data" sheetId="2" r:id="rId2"/>
  </sheets>
  <definedNames>
    <definedName name="_C10">'Neo-Hooke Curve Fit'!$L$1</definedName>
    <definedName name="solver_adj" localSheetId="0" hidden="1">'Neo-Hooke Curve Fit'!$J$6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'Neo-Hooke Curve Fit'!$P$12</definedName>
    <definedName name="solver_pre" localSheetId="0" hidden="1">0.000001</definedName>
    <definedName name="solver_rbv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3</definedName>
    <definedName name="uniaxial_data" localSheetId="1">'just data'!$A$18:$B$22</definedName>
    <definedName name="uniaxial_data" localSheetId="0">'Neo-Hooke Curve Fit'!$A$6:$B$10</definedName>
  </definedNames>
  <calcPr calcId="145621"/>
</workbook>
</file>

<file path=xl/calcChain.xml><?xml version="1.0" encoding="utf-8"?>
<calcChain xmlns="http://schemas.openxmlformats.org/spreadsheetml/2006/main">
  <c r="L1" i="1" l="1"/>
  <c r="D6" i="1" l="1"/>
  <c r="E6" i="1" s="1"/>
  <c r="P6" i="1" s="1"/>
  <c r="D7" i="1"/>
  <c r="E7" i="1" s="1"/>
  <c r="P7" i="1" s="1"/>
  <c r="D8" i="1"/>
  <c r="E8" i="1" s="1"/>
  <c r="P8" i="1" s="1"/>
  <c r="D9" i="1"/>
  <c r="E9" i="1" s="1"/>
  <c r="P9" i="1" s="1"/>
  <c r="D10" i="1"/>
  <c r="E10" i="1" s="1"/>
  <c r="P10" i="1" s="1"/>
  <c r="D5" i="1"/>
  <c r="E5" i="1" s="1"/>
  <c r="P12" i="1" l="1"/>
  <c r="G10" i="1"/>
  <c r="R10" i="1"/>
  <c r="G9" i="1"/>
  <c r="R9" i="1"/>
  <c r="G8" i="1"/>
  <c r="R8" i="1"/>
  <c r="G7" i="1"/>
  <c r="R7" i="1"/>
  <c r="G6" i="1"/>
  <c r="R6" i="1"/>
  <c r="R12" i="1" l="1"/>
  <c r="G12" i="1"/>
</calcChain>
</file>

<file path=xl/connections.xml><?xml version="1.0" encoding="utf-8"?>
<connections xmlns="http://schemas.openxmlformats.org/spreadsheetml/2006/main">
  <connection id="1" name="uniaxial_data" type="6" refreshedVersion="4" background="1" saveData="1">
    <textPr codePage="437" sourceFile="C:\Tod\ElastomersClass_3_19_2013\Workshops\Manual_fit\uniaxial_data.txt" space="1" consecutive="1">
      <textFields count="2">
        <textField/>
        <textField/>
      </textFields>
    </textPr>
  </connection>
  <connection id="2" name="uniaxial_data1" type="6" refreshedVersion="4" background="1" saveData="1">
    <textPr codePage="437" sourceFile="C:\Tod\ElastomersClass_3_19_2013\Workshops\Manual_fit\uniaxial_data.txt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<sst xmlns="http://schemas.openxmlformats.org/spreadsheetml/2006/main" count="27" uniqueCount="18">
  <si>
    <t>Strain</t>
  </si>
  <si>
    <t>Stress</t>
  </si>
  <si>
    <t>Stretch</t>
  </si>
  <si>
    <t>Calc Stress</t>
  </si>
  <si>
    <t>ERROR</t>
  </si>
  <si>
    <t>TOTAL=</t>
  </si>
  <si>
    <t>Eng.</t>
  </si>
  <si>
    <r>
      <rPr>
        <sz val="12"/>
        <color theme="1"/>
        <rFont val="Calibri"/>
        <family val="2"/>
        <scheme val="minor"/>
      </rPr>
      <t>T</t>
    </r>
    <r>
      <rPr>
        <vertAlign val="subscript"/>
        <sz val="12"/>
        <color theme="1"/>
        <rFont val="Calibri"/>
        <family val="2"/>
        <scheme val="minor"/>
      </rPr>
      <t>U</t>
    </r>
  </si>
  <si>
    <t>C10=</t>
  </si>
  <si>
    <t>TEST DATA</t>
  </si>
  <si>
    <r>
      <t>The stress T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is the nominal, or engineering stress.</t>
    </r>
  </si>
  <si>
    <t>For the case of uniaxial deformation, the relationship</t>
  </si>
  <si>
    <t>between nominal stress and stretch is given by this equation.</t>
  </si>
  <si>
    <t>SQUARE</t>
  </si>
  <si>
    <t>Optimum C10</t>
  </si>
  <si>
    <t>Relative</t>
  </si>
  <si>
    <t>Absolute</t>
  </si>
  <si>
    <t>Absolue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</si>
</sst>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0000"/>
    <numFmt numFmtId="166" formatCode="0.0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right"/>
    </xf>
    <xf numFmtId="0" fontId="18" fillId="0" borderId="0" xfId="0" applyFont="1" applyAlignment="1">
      <alignment vertical="center"/>
    </xf>
    <xf numFmtId="0" fontId="18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12" xfId="0" applyBorder="1"/>
    <xf numFmtId="0" fontId="0" fillId="0" borderId="13" xfId="0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0" xfId="0" applyNumberFormat="1" applyBorder="1"/>
    <xf numFmtId="0" fontId="0" fillId="0" borderId="0" xfId="0" applyBorder="1"/>
    <xf numFmtId="164" fontId="0" fillId="0" borderId="14" xfId="0" applyNumberFormat="1" applyBorder="1"/>
    <xf numFmtId="164" fontId="0" fillId="0" borderId="15" xfId="0" applyNumberFormat="1" applyBorder="1"/>
    <xf numFmtId="166" fontId="0" fillId="0" borderId="0" xfId="0" applyNumberFormat="1"/>
    <xf numFmtId="0" fontId="0" fillId="0" borderId="16" xfId="0" applyBorder="1" applyAlignment="1">
      <alignment horizontal="right"/>
    </xf>
    <xf numFmtId="166" fontId="0" fillId="0" borderId="17" xfId="0" applyNumberFormat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14165852384072"/>
          <c:y val="1.5860999831161456E-2"/>
          <c:w val="0.7669904896735209"/>
          <c:h val="0.79195106531775161"/>
        </c:manualLayout>
      </c:layout>
      <c:scatterChart>
        <c:scatterStyle val="lineMarker"/>
        <c:varyColors val="0"/>
        <c:ser>
          <c:idx val="0"/>
          <c:order val="0"/>
          <c:tx>
            <c:v>DATA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</c:spPr>
          </c:marker>
          <c:xVal>
            <c:numRef>
              <c:f>'Neo-Hooke Curve Fit'!$A$6:$A$10</c:f>
              <c:numCache>
                <c:formatCode>0.0000</c:formatCode>
                <c:ptCount val="5"/>
                <c:pt idx="0">
                  <c:v>1.8599999999999998E-2</c:v>
                </c:pt>
                <c:pt idx="1">
                  <c:v>9.74E-2</c:v>
                </c:pt>
                <c:pt idx="2">
                  <c:v>0.15809999999999999</c:v>
                </c:pt>
                <c:pt idx="3">
                  <c:v>0.24079999999999999</c:v>
                </c:pt>
                <c:pt idx="4">
                  <c:v>0.32519999999999999</c:v>
                </c:pt>
              </c:numCache>
            </c:numRef>
          </c:xVal>
          <c:yVal>
            <c:numRef>
              <c:f>'Neo-Hooke Curve Fit'!$B$6:$B$10</c:f>
              <c:numCache>
                <c:formatCode>0.0000</c:formatCode>
                <c:ptCount val="5"/>
                <c:pt idx="0">
                  <c:v>2.81E-2</c:v>
                </c:pt>
                <c:pt idx="1">
                  <c:v>0.1085</c:v>
                </c:pt>
                <c:pt idx="2">
                  <c:v>0.15659999999999999</c:v>
                </c:pt>
                <c:pt idx="3">
                  <c:v>0.21099999999999999</c:v>
                </c:pt>
                <c:pt idx="4">
                  <c:v>0.25719999999999998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'Neo-Hooke Curve Fit'!$E$4</c:f>
              <c:strCache>
                <c:ptCount val="1"/>
                <c:pt idx="0">
                  <c:v>Calc Stress</c:v>
                </c:pt>
              </c:strCache>
            </c:strRef>
          </c:tx>
          <c:spPr>
            <a:ln w="285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'Neo-Hooke Curve Fit'!$A$5:$A$10</c:f>
              <c:numCache>
                <c:formatCode>0.0000</c:formatCode>
                <c:ptCount val="6"/>
                <c:pt idx="0" formatCode="General">
                  <c:v>0</c:v>
                </c:pt>
                <c:pt idx="1">
                  <c:v>1.8599999999999998E-2</c:v>
                </c:pt>
                <c:pt idx="2">
                  <c:v>9.74E-2</c:v>
                </c:pt>
                <c:pt idx="3">
                  <c:v>0.15809999999999999</c:v>
                </c:pt>
                <c:pt idx="4">
                  <c:v>0.24079999999999999</c:v>
                </c:pt>
                <c:pt idx="5">
                  <c:v>0.32519999999999999</c:v>
                </c:pt>
              </c:numCache>
            </c:numRef>
          </c:xVal>
          <c:yVal>
            <c:numRef>
              <c:f>'Neo-Hooke Curve Fit'!$E$5:$E$10</c:f>
              <c:numCache>
                <c:formatCode>0.000000</c:formatCode>
                <c:ptCount val="6"/>
                <c:pt idx="0" formatCode="General">
                  <c:v>0</c:v>
                </c:pt>
                <c:pt idx="1">
                  <c:v>2.958512799012767E-2</c:v>
                </c:pt>
                <c:pt idx="2">
                  <c:v>0.14419781284397734</c:v>
                </c:pt>
                <c:pt idx="3">
                  <c:v>0.22274816677049802</c:v>
                </c:pt>
                <c:pt idx="4">
                  <c:v>0.31928804869635474</c:v>
                </c:pt>
                <c:pt idx="5">
                  <c:v>0.4081180644872448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63456"/>
        <c:axId val="163365632"/>
      </c:scatterChart>
      <c:valAx>
        <c:axId val="163363456"/>
        <c:scaling>
          <c:orientation val="minMax"/>
          <c:max val="0.35000000000000003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Eng. Strain</a:t>
                </a:r>
              </a:p>
            </c:rich>
          </c:tx>
          <c:layout/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3365632"/>
        <c:crosses val="autoZero"/>
        <c:crossBetween val="midCat"/>
      </c:valAx>
      <c:valAx>
        <c:axId val="163365632"/>
        <c:scaling>
          <c:orientation val="minMax"/>
          <c:max val="0.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Eng. Stress (MPa)</a:t>
                </a:r>
              </a:p>
            </c:rich>
          </c:tx>
          <c:layout>
            <c:manualLayout>
              <c:xMode val="edge"/>
              <c:yMode val="edge"/>
              <c:x val="1.6122895529463336E-2"/>
              <c:y val="0.20827882457978233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3363456"/>
        <c:crosses val="autoZero"/>
        <c:crossBetween val="midCat"/>
        <c:majorUnit val="0.1"/>
      </c:valAx>
    </c:plotArea>
    <c:legend>
      <c:legendPos val="r"/>
      <c:layout>
        <c:manualLayout>
          <c:xMode val="edge"/>
          <c:yMode val="edge"/>
          <c:x val="0.20664598853038638"/>
          <c:y val="4.4943592577243625E-2"/>
          <c:w val="0.27549612800862977"/>
          <c:h val="0.12778642435777399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15" fmlaLink="$J$6" horiz="1" max="50" page="10" val="27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409574</xdr:colOff>
      <xdr:row>3</xdr:row>
      <xdr:rowOff>66674</xdr:rowOff>
    </xdr:from>
    <xdr:to>
      <xdr:col>14</xdr:col>
      <xdr:colOff>476250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</xdr:row>
          <xdr:rowOff>152400</xdr:rowOff>
        </xdr:from>
        <xdr:to>
          <xdr:col>12</xdr:col>
          <xdr:colOff>352425</xdr:colOff>
          <xdr:row>2</xdr:row>
          <xdr:rowOff>219075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15</xdr:row>
          <xdr:rowOff>152400</xdr:rowOff>
        </xdr:from>
        <xdr:to>
          <xdr:col>4</xdr:col>
          <xdr:colOff>247650</xdr:colOff>
          <xdr:row>17</xdr:row>
          <xdr:rowOff>28575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queryTables/queryTable1.xml><?xml version="1.0" encoding="utf-8"?>
<queryTable xmlns="http://schemas.openxmlformats.org/spreadsheetml/2006/main" name="uniaxial_data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uniaxial_data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queryTable" Target="../queryTables/queryTable1.xml"/><Relationship Id="rId5" Type="http://schemas.openxmlformats.org/officeDocument/2006/relationships/ctrlProp" Target="../ctrlProps/ctrlProp1.xml"/><Relationship Id="rId4" Type="http://schemas.openxmlformats.org/officeDocument/2006/relationships/image" Target="../media/image1.w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3"/>
  <sheetViews>
    <sheetView tabSelected="1" workbookViewId="0">
      <selection activeCell="U5" sqref="U5"/>
    </sheetView>
  </sheetViews>
  <sheetFormatPr defaultRowHeight="15" x14ac:dyDescent="0.25"/>
  <cols>
    <col min="1" max="2" width="8.7109375" customWidth="1"/>
    <col min="3" max="3" width="2.7109375" customWidth="1"/>
    <col min="5" max="5" width="10.7109375" customWidth="1"/>
    <col min="6" max="6" width="2.7109375" customWidth="1"/>
    <col min="7" max="7" width="10.7109375" customWidth="1"/>
    <col min="8" max="8" width="11.5703125" customWidth="1"/>
    <col min="12" max="12" width="13" customWidth="1"/>
    <col min="16" max="16" width="12.7109375" customWidth="1"/>
    <col min="17" max="17" width="2.7109375" customWidth="1"/>
    <col min="18" max="18" width="13.7109375" customWidth="1"/>
    <col min="19" max="19" width="2.5703125" customWidth="1"/>
  </cols>
  <sheetData>
    <row r="1" spans="1:18" x14ac:dyDescent="0.25">
      <c r="K1" s="15" t="s">
        <v>8</v>
      </c>
      <c r="L1" s="16">
        <f>J6/100</f>
        <v>0.27</v>
      </c>
    </row>
    <row r="2" spans="1:18" x14ac:dyDescent="0.25">
      <c r="A2" s="17" t="s">
        <v>9</v>
      </c>
      <c r="B2" s="18"/>
      <c r="G2" t="s">
        <v>15</v>
      </c>
      <c r="P2" t="s">
        <v>16</v>
      </c>
    </row>
    <row r="3" spans="1:18" ht="18.75" x14ac:dyDescent="0.35">
      <c r="A3" s="6" t="s">
        <v>6</v>
      </c>
      <c r="B3" s="7" t="s">
        <v>6</v>
      </c>
      <c r="E3" s="3" t="s">
        <v>7</v>
      </c>
      <c r="G3" t="s">
        <v>13</v>
      </c>
      <c r="P3" t="s">
        <v>13</v>
      </c>
      <c r="R3" t="s">
        <v>17</v>
      </c>
    </row>
    <row r="4" spans="1:18" x14ac:dyDescent="0.25">
      <c r="A4" s="6" t="s">
        <v>0</v>
      </c>
      <c r="B4" s="7" t="s">
        <v>1</v>
      </c>
      <c r="D4" t="s">
        <v>2</v>
      </c>
      <c r="E4" t="s">
        <v>3</v>
      </c>
      <c r="G4" t="s">
        <v>4</v>
      </c>
      <c r="P4" t="s">
        <v>4</v>
      </c>
      <c r="R4" t="s">
        <v>4</v>
      </c>
    </row>
    <row r="5" spans="1:18" x14ac:dyDescent="0.25">
      <c r="A5" s="6">
        <v>0</v>
      </c>
      <c r="B5" s="7">
        <v>0</v>
      </c>
      <c r="D5">
        <f>A5+1</f>
        <v>1</v>
      </c>
      <c r="E5">
        <f t="shared" ref="E5:E10" si="0">2*_C10*(D5-1/D5^2)</f>
        <v>0</v>
      </c>
    </row>
    <row r="6" spans="1:18" x14ac:dyDescent="0.25">
      <c r="A6" s="8">
        <v>1.8599999999999998E-2</v>
      </c>
      <c r="B6" s="9">
        <v>2.81E-2</v>
      </c>
      <c r="D6" s="4">
        <f t="shared" ref="D6:D10" si="1">A6+1</f>
        <v>1.0185999999999999</v>
      </c>
      <c r="E6" s="14">
        <f t="shared" si="0"/>
        <v>2.958512799012767E-2</v>
      </c>
      <c r="F6" s="5"/>
      <c r="G6" s="14">
        <f>(1-E6/B6)^2</f>
        <v>2.7932842125361294E-3</v>
      </c>
      <c r="J6">
        <v>27</v>
      </c>
      <c r="P6">
        <f>(E6-B6)^2</f>
        <v>2.2056051470606529E-6</v>
      </c>
      <c r="R6" s="14">
        <f>ABS(E6-B6)</f>
        <v>1.4851279901276701E-3</v>
      </c>
    </row>
    <row r="7" spans="1:18" x14ac:dyDescent="0.25">
      <c r="A7" s="8">
        <v>9.74E-2</v>
      </c>
      <c r="B7" s="9">
        <v>0.1085</v>
      </c>
      <c r="D7" s="4">
        <f t="shared" si="1"/>
        <v>1.0973999999999999</v>
      </c>
      <c r="E7" s="14">
        <f t="shared" si="0"/>
        <v>0.14419781284397734</v>
      </c>
      <c r="F7" s="5"/>
      <c r="G7" s="14">
        <f t="shared" ref="G7:G10" si="2">(1-E7/B7)^2</f>
        <v>0.10824896190988416</v>
      </c>
      <c r="P7">
        <f>(E7-B7)^2</f>
        <v>1.2743338418436338E-3</v>
      </c>
      <c r="R7" s="14">
        <f t="shared" ref="R7:R10" si="3">ABS(E7-B7)</f>
        <v>3.5697812843977342E-2</v>
      </c>
    </row>
    <row r="8" spans="1:18" x14ac:dyDescent="0.25">
      <c r="A8" s="8">
        <v>0.15809999999999999</v>
      </c>
      <c r="B8" s="9">
        <v>0.15659999999999999</v>
      </c>
      <c r="D8" s="4">
        <f t="shared" si="1"/>
        <v>1.1580999999999999</v>
      </c>
      <c r="E8" s="14">
        <f t="shared" si="0"/>
        <v>0.22274816677049802</v>
      </c>
      <c r="F8" s="5"/>
      <c r="G8" s="14">
        <f t="shared" si="2"/>
        <v>0.17842352281225168</v>
      </c>
      <c r="P8">
        <f>(E8-B8)^2</f>
        <v>4.37557996709762E-3</v>
      </c>
      <c r="R8" s="14">
        <f t="shared" si="3"/>
        <v>6.6148166770498035E-2</v>
      </c>
    </row>
    <row r="9" spans="1:18" x14ac:dyDescent="0.25">
      <c r="A9" s="8">
        <v>0.24079999999999999</v>
      </c>
      <c r="B9" s="9">
        <v>0.21099999999999999</v>
      </c>
      <c r="D9" s="4">
        <f t="shared" si="1"/>
        <v>1.2407999999999999</v>
      </c>
      <c r="E9" s="14">
        <f t="shared" si="0"/>
        <v>0.31928804869635474</v>
      </c>
      <c r="F9" s="5"/>
      <c r="G9" s="14">
        <f t="shared" si="2"/>
        <v>0.26338809753743386</v>
      </c>
      <c r="P9">
        <f>(E9-B9)^2</f>
        <v>1.1726301490464098E-2</v>
      </c>
      <c r="R9" s="14">
        <f t="shared" si="3"/>
        <v>0.10828804869635475</v>
      </c>
    </row>
    <row r="10" spans="1:18" x14ac:dyDescent="0.25">
      <c r="A10" s="12">
        <v>0.32519999999999999</v>
      </c>
      <c r="B10" s="13">
        <v>0.25719999999999998</v>
      </c>
      <c r="D10" s="4">
        <f t="shared" si="1"/>
        <v>1.3251999999999999</v>
      </c>
      <c r="E10" s="14">
        <f t="shared" si="0"/>
        <v>0.4081180644872448</v>
      </c>
      <c r="F10" s="5"/>
      <c r="G10" s="14">
        <f t="shared" si="2"/>
        <v>0.34430277659058589</v>
      </c>
      <c r="P10">
        <f>(E10-B10)^2</f>
        <v>2.2776262188576184E-2</v>
      </c>
      <c r="R10" s="14">
        <f t="shared" si="3"/>
        <v>0.15091806448724482</v>
      </c>
    </row>
    <row r="11" spans="1:18" x14ac:dyDescent="0.25">
      <c r="A11" s="8"/>
      <c r="B11" s="10"/>
      <c r="C11" s="11"/>
      <c r="D11" s="4"/>
    </row>
    <row r="12" spans="1:18" x14ac:dyDescent="0.25">
      <c r="A12" s="8"/>
      <c r="B12" s="10"/>
      <c r="C12" s="11"/>
      <c r="D12" s="4"/>
      <c r="F12" s="1" t="s">
        <v>5</v>
      </c>
      <c r="G12" s="5">
        <f>SUM(G6:G10)</f>
        <v>0.89715664306269183</v>
      </c>
      <c r="P12" s="14">
        <f>SUM(P6:P10)</f>
        <v>4.0154683093128599E-2</v>
      </c>
      <c r="Q12" s="14"/>
      <c r="R12" s="14">
        <f>SUM(R6:R10)</f>
        <v>0.36253722078820261</v>
      </c>
    </row>
    <row r="13" spans="1:18" x14ac:dyDescent="0.25">
      <c r="A13" s="8"/>
      <c r="B13" s="10"/>
      <c r="C13" s="11"/>
      <c r="D13" s="4"/>
      <c r="E13" s="5"/>
      <c r="F13" s="5"/>
      <c r="G13" s="5"/>
    </row>
    <row r="14" spans="1:18" x14ac:dyDescent="0.25">
      <c r="A14" s="8"/>
      <c r="B14" s="10"/>
      <c r="C14" s="11"/>
      <c r="D14" s="4"/>
      <c r="E14" s="5" t="s">
        <v>14</v>
      </c>
      <c r="F14" s="5"/>
      <c r="G14" s="4">
        <v>0.19209999999999999</v>
      </c>
      <c r="P14">
        <v>0.1777</v>
      </c>
      <c r="R14">
        <v>0.1784</v>
      </c>
    </row>
    <row r="15" spans="1:18" x14ac:dyDescent="0.25">
      <c r="A15" s="8"/>
      <c r="B15" s="10"/>
      <c r="C15" s="11"/>
      <c r="D15" s="4"/>
      <c r="E15" s="5"/>
      <c r="F15" s="5"/>
      <c r="G15" s="5"/>
    </row>
    <row r="16" spans="1:18" x14ac:dyDescent="0.25">
      <c r="A16" s="8"/>
      <c r="B16" s="10"/>
      <c r="C16" s="11"/>
      <c r="D16" s="4"/>
      <c r="E16" s="5"/>
      <c r="F16" s="5"/>
      <c r="G16" s="5"/>
    </row>
    <row r="17" spans="1:7" x14ac:dyDescent="0.25">
      <c r="A17" s="8"/>
      <c r="B17" s="10"/>
      <c r="C17" s="11"/>
      <c r="D17" s="4"/>
      <c r="E17" s="5"/>
      <c r="F17" s="5"/>
      <c r="G17" s="5"/>
    </row>
    <row r="18" spans="1:7" x14ac:dyDescent="0.25">
      <c r="A18" s="8"/>
      <c r="B18" s="10"/>
      <c r="C18" s="11"/>
      <c r="D18" s="4"/>
      <c r="E18" s="5"/>
      <c r="F18" s="5"/>
      <c r="G18" s="5"/>
    </row>
    <row r="19" spans="1:7" ht="14.45" customHeight="1" x14ac:dyDescent="0.35">
      <c r="A19" s="8" t="s">
        <v>10</v>
      </c>
      <c r="B19" s="10"/>
      <c r="C19" s="11"/>
      <c r="D19" s="4"/>
      <c r="E19" s="5"/>
      <c r="F19" s="5"/>
      <c r="G19" s="5"/>
    </row>
    <row r="20" spans="1:7" ht="15.75" x14ac:dyDescent="0.25">
      <c r="A20" s="2" t="s">
        <v>11</v>
      </c>
      <c r="B20" s="10"/>
      <c r="C20" s="11"/>
      <c r="D20" s="4"/>
      <c r="E20" s="5"/>
      <c r="F20" s="5"/>
      <c r="G20" s="5"/>
    </row>
    <row r="21" spans="1:7" ht="15.75" x14ac:dyDescent="0.25">
      <c r="A21" s="3" t="s">
        <v>12</v>
      </c>
    </row>
    <row r="43" ht="15" customHeight="1" x14ac:dyDescent="0.25"/>
  </sheetData>
  <mergeCells count="1">
    <mergeCell ref="A2:B2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027" r:id="rId3">
          <objectPr defaultSize="0" autoPict="0" r:id="rId4">
            <anchor moveWithCells="1" sizeWithCells="1">
              <from>
                <xdr:col>1</xdr:col>
                <xdr:colOff>257175</xdr:colOff>
                <xdr:row>15</xdr:row>
                <xdr:rowOff>152400</xdr:rowOff>
              </from>
              <to>
                <xdr:col>4</xdr:col>
                <xdr:colOff>247650</xdr:colOff>
                <xdr:row>17</xdr:row>
                <xdr:rowOff>28575</xdr:rowOff>
              </to>
            </anchor>
          </objectPr>
        </oleObject>
      </mc:Choice>
      <mc:Fallback>
        <oleObject progId="Equation.3" shapeId="1027" r:id="rId3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5" name="Scroll Bar 2">
              <controlPr defaultSize="0" autoPict="0">
                <anchor moveWithCells="1">
                  <from>
                    <xdr:col>9</xdr:col>
                    <xdr:colOff>0</xdr:colOff>
                    <xdr:row>1</xdr:row>
                    <xdr:rowOff>152400</xdr:rowOff>
                  </from>
                  <to>
                    <xdr:col>12</xdr:col>
                    <xdr:colOff>352425</xdr:colOff>
                    <xdr:row>2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B23"/>
  <sheetViews>
    <sheetView topLeftCell="A13" workbookViewId="0">
      <selection activeCell="B18" sqref="B18"/>
    </sheetView>
  </sheetViews>
  <sheetFormatPr defaultRowHeight="15" x14ac:dyDescent="0.25"/>
  <cols>
    <col min="1" max="1" width="10.5703125" customWidth="1"/>
    <col min="2" max="2" width="9" customWidth="1"/>
  </cols>
  <sheetData>
    <row r="14" spans="1:2" x14ac:dyDescent="0.25">
      <c r="A14" s="17" t="s">
        <v>9</v>
      </c>
      <c r="B14" s="18"/>
    </row>
    <row r="15" spans="1:2" x14ac:dyDescent="0.25">
      <c r="A15" s="6" t="s">
        <v>6</v>
      </c>
      <c r="B15" s="7" t="s">
        <v>6</v>
      </c>
    </row>
    <row r="16" spans="1:2" x14ac:dyDescent="0.25">
      <c r="A16" s="6" t="s">
        <v>0</v>
      </c>
      <c r="B16" s="7" t="s">
        <v>1</v>
      </c>
    </row>
    <row r="17" spans="1:2" x14ac:dyDescent="0.25">
      <c r="A17" s="6">
        <v>0</v>
      </c>
      <c r="B17" s="7">
        <v>0</v>
      </c>
    </row>
    <row r="18" spans="1:2" x14ac:dyDescent="0.25">
      <c r="A18" s="8">
        <v>1.8599999999999998E-2</v>
      </c>
      <c r="B18" s="9">
        <v>2.81E-2</v>
      </c>
    </row>
    <row r="19" spans="1:2" x14ac:dyDescent="0.25">
      <c r="A19" s="8">
        <v>9.74E-2</v>
      </c>
      <c r="B19" s="9">
        <v>0.1085</v>
      </c>
    </row>
    <row r="20" spans="1:2" x14ac:dyDescent="0.25">
      <c r="A20" s="8">
        <v>0.15809999999999999</v>
      </c>
      <c r="B20" s="9">
        <v>0.15659999999999999</v>
      </c>
    </row>
    <row r="21" spans="1:2" x14ac:dyDescent="0.25">
      <c r="A21" s="8">
        <v>0.24079999999999999</v>
      </c>
      <c r="B21" s="9">
        <v>0.21099999999999999</v>
      </c>
    </row>
    <row r="22" spans="1:2" x14ac:dyDescent="0.25">
      <c r="A22" s="12">
        <v>0.32519999999999999</v>
      </c>
      <c r="B22" s="13">
        <v>0.25719999999999998</v>
      </c>
    </row>
    <row r="23" spans="1:2" x14ac:dyDescent="0.25">
      <c r="A23" s="8"/>
      <c r="B23" s="10"/>
    </row>
  </sheetData>
  <mergeCells count="1"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Neo-Hooke Curve Fit</vt:lpstr>
      <vt:lpstr>just data</vt:lpstr>
      <vt:lpstr>_C10</vt:lpstr>
      <vt:lpstr>'just data'!uniaxial_data</vt:lpstr>
      <vt:lpstr>'Neo-Hooke Curve Fit'!uniaxial_data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DALRYMPLE Tod</cp:lastModifiedBy>
  <dcterms:created xsi:type="dcterms:W3CDTF">2011-03-28T18:53:09Z</dcterms:created>
  <dcterms:modified xsi:type="dcterms:W3CDTF">2013-12-03T19:25:15Z</dcterms:modified>
</cp:coreProperties>
</file>