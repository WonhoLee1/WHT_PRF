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trlProps/ctrlProp1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25" yWindow="-75" windowWidth="20235" windowHeight="15915"/>
  </bookViews>
  <sheets>
    <sheet name="ST_S58" sheetId="1" r:id="rId1"/>
    <sheet name="just data" sheetId="2" r:id="rId2"/>
  </sheets>
  <definedNames>
    <definedName name="_C10">ST_S58!$L$3</definedName>
    <definedName name="_xlnm.Print_Area" localSheetId="0">ST_S58!$A$1:$R$52</definedName>
    <definedName name="solver_adj" localSheetId="0" hidden="1">ST_S58!$J$8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ST_S58!$P$50</definedName>
    <definedName name="solver_pre" localSheetId="0" hidden="1">0.000001</definedName>
    <definedName name="solver_rbv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45621"/>
</workbook>
</file>

<file path=xl/calcChain.xml><?xml version="1.0" encoding="utf-8"?>
<calcChain xmlns="http://schemas.openxmlformats.org/spreadsheetml/2006/main">
  <c r="D48" i="1" l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L3" i="1" l="1"/>
  <c r="E48" i="1" l="1"/>
  <c r="E40" i="1"/>
  <c r="E32" i="1"/>
  <c r="E47" i="1"/>
  <c r="E39" i="1"/>
  <c r="E31" i="1"/>
  <c r="E46" i="1"/>
  <c r="E38" i="1"/>
  <c r="E30" i="1"/>
  <c r="E45" i="1"/>
  <c r="E37" i="1"/>
  <c r="E44" i="1"/>
  <c r="E36" i="1"/>
  <c r="E43" i="1"/>
  <c r="E35" i="1"/>
  <c r="E42" i="1"/>
  <c r="E34" i="1"/>
  <c r="E41" i="1"/>
  <c r="E33" i="1"/>
  <c r="E19" i="1"/>
  <c r="E9" i="1"/>
  <c r="D7" i="1"/>
  <c r="E7" i="1" s="1"/>
  <c r="D8" i="1"/>
  <c r="E8" i="1" s="1"/>
  <c r="D9" i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6" i="1"/>
  <c r="E6" i="1" s="1"/>
  <c r="R25" i="1" l="1"/>
  <c r="P25" i="1"/>
  <c r="G42" i="1"/>
  <c r="R42" i="1"/>
  <c r="P42" i="1"/>
  <c r="R15" i="1"/>
  <c r="P15" i="1"/>
  <c r="R17" i="1"/>
  <c r="P17" i="1"/>
  <c r="G38" i="1"/>
  <c r="R38" i="1"/>
  <c r="P38" i="1"/>
  <c r="R24" i="1"/>
  <c r="P24" i="1"/>
  <c r="R16" i="1"/>
  <c r="P16" i="1"/>
  <c r="G8" i="1"/>
  <c r="R8" i="1"/>
  <c r="P8" i="1"/>
  <c r="G35" i="1"/>
  <c r="P35" i="1"/>
  <c r="R35" i="1"/>
  <c r="G46" i="1"/>
  <c r="R46" i="1"/>
  <c r="P46" i="1"/>
  <c r="R23" i="1"/>
  <c r="P23" i="1"/>
  <c r="G43" i="1"/>
  <c r="P43" i="1"/>
  <c r="R43" i="1"/>
  <c r="G31" i="1"/>
  <c r="R31" i="1"/>
  <c r="P31" i="1"/>
  <c r="R22" i="1"/>
  <c r="P22" i="1"/>
  <c r="R14" i="1"/>
  <c r="P14" i="1"/>
  <c r="G9" i="1"/>
  <c r="R9" i="1"/>
  <c r="P9" i="1"/>
  <c r="G36" i="1"/>
  <c r="R36" i="1"/>
  <c r="P36" i="1"/>
  <c r="G39" i="1"/>
  <c r="R39" i="1"/>
  <c r="P39" i="1"/>
  <c r="R29" i="1"/>
  <c r="P29" i="1"/>
  <c r="R21" i="1"/>
  <c r="P21" i="1"/>
  <c r="R13" i="1"/>
  <c r="P13" i="1"/>
  <c r="P19" i="1"/>
  <c r="R19" i="1"/>
  <c r="G44" i="1"/>
  <c r="R44" i="1"/>
  <c r="P44" i="1"/>
  <c r="G47" i="1"/>
  <c r="R47" i="1"/>
  <c r="P47" i="1"/>
  <c r="R28" i="1"/>
  <c r="P28" i="1"/>
  <c r="R20" i="1"/>
  <c r="P20" i="1"/>
  <c r="R12" i="1"/>
  <c r="P12" i="1"/>
  <c r="G33" i="1"/>
  <c r="R33" i="1"/>
  <c r="P33" i="1"/>
  <c r="G37" i="1"/>
  <c r="R37" i="1"/>
  <c r="P37" i="1"/>
  <c r="G32" i="1"/>
  <c r="R32" i="1"/>
  <c r="P32" i="1"/>
  <c r="P27" i="1"/>
  <c r="R27" i="1"/>
  <c r="G11" i="1"/>
  <c r="P11" i="1"/>
  <c r="R11" i="1"/>
  <c r="G41" i="1"/>
  <c r="R41" i="1"/>
  <c r="P41" i="1"/>
  <c r="G45" i="1"/>
  <c r="R45" i="1"/>
  <c r="P45" i="1"/>
  <c r="G40" i="1"/>
  <c r="R40" i="1"/>
  <c r="P40" i="1"/>
  <c r="R26" i="1"/>
  <c r="P26" i="1"/>
  <c r="R18" i="1"/>
  <c r="P18" i="1"/>
  <c r="G10" i="1"/>
  <c r="R10" i="1"/>
  <c r="P10" i="1"/>
  <c r="G34" i="1"/>
  <c r="R34" i="1"/>
  <c r="P34" i="1"/>
  <c r="G30" i="1"/>
  <c r="R30" i="1"/>
  <c r="P30" i="1"/>
  <c r="G48" i="1"/>
  <c r="R48" i="1"/>
  <c r="P48" i="1"/>
  <c r="G7" i="1"/>
  <c r="R7" i="1"/>
  <c r="P7" i="1"/>
  <c r="G29" i="1"/>
  <c r="G21" i="1"/>
  <c r="G13" i="1"/>
  <c r="G16" i="1"/>
  <c r="G25" i="1"/>
  <c r="G23" i="1"/>
  <c r="G15" i="1"/>
  <c r="G17" i="1"/>
  <c r="G24" i="1"/>
  <c r="G22" i="1"/>
  <c r="G14" i="1"/>
  <c r="G28" i="1"/>
  <c r="G20" i="1"/>
  <c r="G12" i="1"/>
  <c r="G27" i="1"/>
  <c r="G19" i="1"/>
  <c r="G26" i="1"/>
  <c r="G18" i="1"/>
  <c r="P50" i="1" l="1"/>
  <c r="R50" i="1"/>
  <c r="G50" i="1"/>
</calcChain>
</file>

<file path=xl/sharedStrings.xml><?xml version="1.0" encoding="utf-8"?>
<sst xmlns="http://schemas.openxmlformats.org/spreadsheetml/2006/main" count="30" uniqueCount="18">
  <si>
    <t>Strain</t>
  </si>
  <si>
    <t>Stress</t>
  </si>
  <si>
    <t>Stretch</t>
  </si>
  <si>
    <t>Calc Stress</t>
  </si>
  <si>
    <t>ERROR</t>
  </si>
  <si>
    <t>Eng.</t>
  </si>
  <si>
    <r>
      <t xml:space="preserve">The stress </t>
    </r>
    <r>
      <rPr>
        <i/>
        <sz val="12"/>
        <color theme="1"/>
        <rFont val="Calibri"/>
        <family val="2"/>
        <scheme val="minor"/>
      </rPr>
      <t>T</t>
    </r>
    <r>
      <rPr>
        <i/>
        <vertAlign val="subscript"/>
        <sz val="12"/>
        <color theme="1"/>
        <rFont val="Calibri"/>
        <family val="2"/>
        <scheme val="minor"/>
      </rPr>
      <t>U</t>
    </r>
    <r>
      <rPr>
        <sz val="12"/>
        <color theme="1"/>
        <rFont val="Calibri"/>
        <family val="2"/>
        <scheme val="minor"/>
      </rPr>
      <t xml:space="preserve"> is the nominal, or engineering stress. For the case of uniaxial deformation,</t>
    </r>
  </si>
  <si>
    <t>the relationship between nominal stress and stretch is given by this equation:</t>
  </si>
  <si>
    <r>
      <rPr>
        <sz val="12"/>
        <color theme="1"/>
        <rFont val="Calibri"/>
        <family val="2"/>
        <scheme val="minor"/>
      </rPr>
      <t>T</t>
    </r>
    <r>
      <rPr>
        <vertAlign val="subscript"/>
        <sz val="12"/>
        <color theme="1"/>
        <rFont val="Calibri"/>
        <family val="2"/>
        <scheme val="minor"/>
      </rPr>
      <t>U</t>
    </r>
  </si>
  <si>
    <t>C10=</t>
  </si>
  <si>
    <t>TEST DATA</t>
  </si>
  <si>
    <t>Relative</t>
  </si>
  <si>
    <t>SQUARE</t>
  </si>
  <si>
    <t>Absolute</t>
  </si>
  <si>
    <t>TOTAL ERROR=</t>
  </si>
  <si>
    <t>Neo-Hookean Calibration of an Elastomer, Simple Tension test data</t>
  </si>
  <si>
    <t>value</t>
  </si>
  <si>
    <t>Optimum C10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</si>
</sst>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0000"/>
    <numFmt numFmtId="166" formatCode="0.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vertAlign val="subscript"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right"/>
    </xf>
    <xf numFmtId="0" fontId="18" fillId="0" borderId="0" xfId="0" applyFont="1" applyAlignment="1">
      <alignment vertical="center"/>
    </xf>
    <xf numFmtId="0" fontId="18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12" xfId="0" applyBorder="1"/>
    <xf numFmtId="0" fontId="0" fillId="0" borderId="13" xfId="0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right"/>
    </xf>
    <xf numFmtId="166" fontId="0" fillId="0" borderId="0" xfId="0" applyNumberFormat="1"/>
    <xf numFmtId="0" fontId="0" fillId="0" borderId="0" xfId="0" applyBorder="1"/>
    <xf numFmtId="0" fontId="22" fillId="0" borderId="0" xfId="0" applyFont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4" xfId="0" applyNumberFormat="1" applyBorder="1"/>
    <xf numFmtId="164" fontId="0" fillId="0" borderId="15" xfId="0" applyNumberFormat="1" applyBorder="1"/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32995725792767"/>
          <c:y val="1.5860999831161456E-2"/>
          <c:w val="0.78480219093943404"/>
          <c:h val="0.84253830844243893"/>
        </c:manualLayout>
      </c:layout>
      <c:scatterChart>
        <c:scatterStyle val="lineMarker"/>
        <c:varyColors val="0"/>
        <c:ser>
          <c:idx val="0"/>
          <c:order val="0"/>
          <c:tx>
            <c:v>DATA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</c:spPr>
          </c:marker>
          <c:xVal>
            <c:numRef>
              <c:f>ST_S58!$A$6:$A$48</c:f>
              <c:numCache>
                <c:formatCode>0.0000</c:formatCode>
                <c:ptCount val="43"/>
                <c:pt idx="0" formatCode="General">
                  <c:v>0</c:v>
                </c:pt>
                <c:pt idx="1">
                  <c:v>1.8599999999999998E-2</c:v>
                </c:pt>
                <c:pt idx="2">
                  <c:v>3.7199999999999997E-2</c:v>
                </c:pt>
                <c:pt idx="3">
                  <c:v>5.7500000000000002E-2</c:v>
                </c:pt>
                <c:pt idx="4">
                  <c:v>7.7700000000000005E-2</c:v>
                </c:pt>
                <c:pt idx="5">
                  <c:v>9.74E-2</c:v>
                </c:pt>
                <c:pt idx="6">
                  <c:v>0.1172</c:v>
                </c:pt>
                <c:pt idx="7">
                  <c:v>0.13739999999999999</c:v>
                </c:pt>
                <c:pt idx="8">
                  <c:v>0.15809999999999999</c:v>
                </c:pt>
                <c:pt idx="9">
                  <c:v>0.17780000000000001</c:v>
                </c:pt>
                <c:pt idx="10">
                  <c:v>0.1991</c:v>
                </c:pt>
                <c:pt idx="11">
                  <c:v>0.22020000000000001</c:v>
                </c:pt>
                <c:pt idx="12">
                  <c:v>0.24079999999999999</c:v>
                </c:pt>
                <c:pt idx="13">
                  <c:v>0.26150000000000001</c:v>
                </c:pt>
                <c:pt idx="14">
                  <c:v>0.28260000000000002</c:v>
                </c:pt>
                <c:pt idx="15">
                  <c:v>0.3039</c:v>
                </c:pt>
                <c:pt idx="16">
                  <c:v>0.32519999999999999</c:v>
                </c:pt>
                <c:pt idx="17">
                  <c:v>0.34649999999999997</c:v>
                </c:pt>
                <c:pt idx="18">
                  <c:v>0.36840000000000001</c:v>
                </c:pt>
                <c:pt idx="19">
                  <c:v>0.38969999999999999</c:v>
                </c:pt>
                <c:pt idx="20">
                  <c:v>0.4108</c:v>
                </c:pt>
                <c:pt idx="21">
                  <c:v>0.43130000000000002</c:v>
                </c:pt>
                <c:pt idx="22">
                  <c:v>0.45200000000000001</c:v>
                </c:pt>
                <c:pt idx="23">
                  <c:v>0.47249999999999998</c:v>
                </c:pt>
                <c:pt idx="24">
                  <c:v>0.49390000000000001</c:v>
                </c:pt>
                <c:pt idx="25">
                  <c:v>0.51580000000000004</c:v>
                </c:pt>
                <c:pt idx="26">
                  <c:v>0.53710000000000002</c:v>
                </c:pt>
                <c:pt idx="27">
                  <c:v>0.5575</c:v>
                </c:pt>
                <c:pt idx="28">
                  <c:v>0.57869999999999999</c:v>
                </c:pt>
                <c:pt idx="29">
                  <c:v>0.59960000000000002</c:v>
                </c:pt>
                <c:pt idx="30">
                  <c:v>0.621</c:v>
                </c:pt>
                <c:pt idx="31">
                  <c:v>0.64200000000000002</c:v>
                </c:pt>
                <c:pt idx="32">
                  <c:v>0.66310000000000002</c:v>
                </c:pt>
                <c:pt idx="33">
                  <c:v>0.68489999999999995</c:v>
                </c:pt>
                <c:pt idx="34">
                  <c:v>0.70599999999999996</c:v>
                </c:pt>
                <c:pt idx="35">
                  <c:v>0.72709999999999997</c:v>
                </c:pt>
                <c:pt idx="36">
                  <c:v>0.74829999999999997</c:v>
                </c:pt>
                <c:pt idx="37">
                  <c:v>0.76919999999999999</c:v>
                </c:pt>
                <c:pt idx="38">
                  <c:v>0.79039999999999999</c:v>
                </c:pt>
                <c:pt idx="39">
                  <c:v>0.81120000000000003</c:v>
                </c:pt>
                <c:pt idx="40">
                  <c:v>0.83199999999999996</c:v>
                </c:pt>
                <c:pt idx="41">
                  <c:v>0.85329999999999995</c:v>
                </c:pt>
                <c:pt idx="42">
                  <c:v>0.873</c:v>
                </c:pt>
              </c:numCache>
            </c:numRef>
          </c:xVal>
          <c:yVal>
            <c:numRef>
              <c:f>ST_S58!$B$6:$B$48</c:f>
              <c:numCache>
                <c:formatCode>0.0000</c:formatCode>
                <c:ptCount val="43"/>
                <c:pt idx="0" formatCode="General">
                  <c:v>0</c:v>
                </c:pt>
                <c:pt idx="1">
                  <c:v>2.81E-2</c:v>
                </c:pt>
                <c:pt idx="2">
                  <c:v>5.1499999999999997E-2</c:v>
                </c:pt>
                <c:pt idx="3">
                  <c:v>7.1599999999999997E-2</c:v>
                </c:pt>
                <c:pt idx="4">
                  <c:v>9.06E-2</c:v>
                </c:pt>
                <c:pt idx="5">
                  <c:v>0.1085</c:v>
                </c:pt>
                <c:pt idx="6">
                  <c:v>0.12540000000000001</c:v>
                </c:pt>
                <c:pt idx="7">
                  <c:v>0.1414</c:v>
                </c:pt>
                <c:pt idx="8">
                  <c:v>0.15659999999999999</c:v>
                </c:pt>
                <c:pt idx="9">
                  <c:v>0.17180000000000001</c:v>
                </c:pt>
                <c:pt idx="10">
                  <c:v>0.18479999999999999</c:v>
                </c:pt>
                <c:pt idx="11">
                  <c:v>0.19850000000000001</c:v>
                </c:pt>
                <c:pt idx="12">
                  <c:v>0.21099999999999999</c:v>
                </c:pt>
                <c:pt idx="13">
                  <c:v>0.22289999999999999</c:v>
                </c:pt>
                <c:pt idx="14">
                  <c:v>0.23480000000000001</c:v>
                </c:pt>
                <c:pt idx="15">
                  <c:v>0.2457</c:v>
                </c:pt>
                <c:pt idx="16">
                  <c:v>0.25719999999999998</c:v>
                </c:pt>
                <c:pt idx="17">
                  <c:v>0.2671</c:v>
                </c:pt>
                <c:pt idx="18">
                  <c:v>0.2772</c:v>
                </c:pt>
                <c:pt idx="19">
                  <c:v>0.28699999999999998</c:v>
                </c:pt>
                <c:pt idx="20">
                  <c:v>0.29670000000000002</c:v>
                </c:pt>
                <c:pt idx="21">
                  <c:v>0.30599999999999999</c:v>
                </c:pt>
                <c:pt idx="22">
                  <c:v>0.31519999999999998</c:v>
                </c:pt>
                <c:pt idx="23">
                  <c:v>0.3246</c:v>
                </c:pt>
                <c:pt idx="24">
                  <c:v>0.3332</c:v>
                </c:pt>
                <c:pt idx="25">
                  <c:v>0.34150000000000003</c:v>
                </c:pt>
                <c:pt idx="26">
                  <c:v>0.35010000000000002</c:v>
                </c:pt>
                <c:pt idx="27">
                  <c:v>0.35830000000000001</c:v>
                </c:pt>
                <c:pt idx="28">
                  <c:v>0.36659999999999998</c:v>
                </c:pt>
                <c:pt idx="29">
                  <c:v>0.37459999999999999</c:v>
                </c:pt>
                <c:pt idx="30">
                  <c:v>0.38329999999999997</c:v>
                </c:pt>
                <c:pt idx="31">
                  <c:v>0.39119999999999999</c:v>
                </c:pt>
                <c:pt idx="32">
                  <c:v>0.40010000000000001</c:v>
                </c:pt>
                <c:pt idx="33">
                  <c:v>0.4083</c:v>
                </c:pt>
                <c:pt idx="34">
                  <c:v>0.41720000000000002</c:v>
                </c:pt>
                <c:pt idx="35">
                  <c:v>0.4254</c:v>
                </c:pt>
                <c:pt idx="36">
                  <c:v>0.43380000000000002</c:v>
                </c:pt>
                <c:pt idx="37">
                  <c:v>0.44259999999999999</c:v>
                </c:pt>
                <c:pt idx="38">
                  <c:v>0.45100000000000001</c:v>
                </c:pt>
                <c:pt idx="39">
                  <c:v>0.46050000000000002</c:v>
                </c:pt>
                <c:pt idx="40">
                  <c:v>0.46949999999999997</c:v>
                </c:pt>
                <c:pt idx="41">
                  <c:v>0.47899999999999998</c:v>
                </c:pt>
                <c:pt idx="42">
                  <c:v>0.48870000000000002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ST_S58!$E$5</c:f>
              <c:strCache>
                <c:ptCount val="1"/>
                <c:pt idx="0">
                  <c:v>Calc Stress</c:v>
                </c:pt>
              </c:strCache>
            </c:strRef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ST_S58!$A$6:$A$48</c:f>
              <c:numCache>
                <c:formatCode>0.0000</c:formatCode>
                <c:ptCount val="43"/>
                <c:pt idx="0" formatCode="General">
                  <c:v>0</c:v>
                </c:pt>
                <c:pt idx="1">
                  <c:v>1.8599999999999998E-2</c:v>
                </c:pt>
                <c:pt idx="2">
                  <c:v>3.7199999999999997E-2</c:v>
                </c:pt>
                <c:pt idx="3">
                  <c:v>5.7500000000000002E-2</c:v>
                </c:pt>
                <c:pt idx="4">
                  <c:v>7.7700000000000005E-2</c:v>
                </c:pt>
                <c:pt idx="5">
                  <c:v>9.74E-2</c:v>
                </c:pt>
                <c:pt idx="6">
                  <c:v>0.1172</c:v>
                </c:pt>
                <c:pt idx="7">
                  <c:v>0.13739999999999999</c:v>
                </c:pt>
                <c:pt idx="8">
                  <c:v>0.15809999999999999</c:v>
                </c:pt>
                <c:pt idx="9">
                  <c:v>0.17780000000000001</c:v>
                </c:pt>
                <c:pt idx="10">
                  <c:v>0.1991</c:v>
                </c:pt>
                <c:pt idx="11">
                  <c:v>0.22020000000000001</c:v>
                </c:pt>
                <c:pt idx="12">
                  <c:v>0.24079999999999999</c:v>
                </c:pt>
                <c:pt idx="13">
                  <c:v>0.26150000000000001</c:v>
                </c:pt>
                <c:pt idx="14">
                  <c:v>0.28260000000000002</c:v>
                </c:pt>
                <c:pt idx="15">
                  <c:v>0.3039</c:v>
                </c:pt>
                <c:pt idx="16">
                  <c:v>0.32519999999999999</c:v>
                </c:pt>
                <c:pt idx="17">
                  <c:v>0.34649999999999997</c:v>
                </c:pt>
                <c:pt idx="18">
                  <c:v>0.36840000000000001</c:v>
                </c:pt>
                <c:pt idx="19">
                  <c:v>0.38969999999999999</c:v>
                </c:pt>
                <c:pt idx="20">
                  <c:v>0.4108</c:v>
                </c:pt>
                <c:pt idx="21">
                  <c:v>0.43130000000000002</c:v>
                </c:pt>
                <c:pt idx="22">
                  <c:v>0.45200000000000001</c:v>
                </c:pt>
                <c:pt idx="23">
                  <c:v>0.47249999999999998</c:v>
                </c:pt>
                <c:pt idx="24">
                  <c:v>0.49390000000000001</c:v>
                </c:pt>
                <c:pt idx="25">
                  <c:v>0.51580000000000004</c:v>
                </c:pt>
                <c:pt idx="26">
                  <c:v>0.53710000000000002</c:v>
                </c:pt>
                <c:pt idx="27">
                  <c:v>0.5575</c:v>
                </c:pt>
                <c:pt idx="28">
                  <c:v>0.57869999999999999</c:v>
                </c:pt>
                <c:pt idx="29">
                  <c:v>0.59960000000000002</c:v>
                </c:pt>
                <c:pt idx="30">
                  <c:v>0.621</c:v>
                </c:pt>
                <c:pt idx="31">
                  <c:v>0.64200000000000002</c:v>
                </c:pt>
                <c:pt idx="32">
                  <c:v>0.66310000000000002</c:v>
                </c:pt>
                <c:pt idx="33">
                  <c:v>0.68489999999999995</c:v>
                </c:pt>
                <c:pt idx="34">
                  <c:v>0.70599999999999996</c:v>
                </c:pt>
                <c:pt idx="35">
                  <c:v>0.72709999999999997</c:v>
                </c:pt>
                <c:pt idx="36">
                  <c:v>0.74829999999999997</c:v>
                </c:pt>
                <c:pt idx="37">
                  <c:v>0.76919999999999999</c:v>
                </c:pt>
                <c:pt idx="38">
                  <c:v>0.79039999999999999</c:v>
                </c:pt>
                <c:pt idx="39">
                  <c:v>0.81120000000000003</c:v>
                </c:pt>
                <c:pt idx="40">
                  <c:v>0.83199999999999996</c:v>
                </c:pt>
                <c:pt idx="41">
                  <c:v>0.85329999999999995</c:v>
                </c:pt>
                <c:pt idx="42">
                  <c:v>0.873</c:v>
                </c:pt>
              </c:numCache>
            </c:numRef>
          </c:xVal>
          <c:yVal>
            <c:numRef>
              <c:f>ST_S58!$E$6:$E$48</c:f>
              <c:numCache>
                <c:formatCode>0.0000000</c:formatCode>
                <c:ptCount val="43"/>
                <c:pt idx="0" formatCode="General">
                  <c:v>0</c:v>
                </c:pt>
                <c:pt idx="1">
                  <c:v>2.4106400584548472E-2</c:v>
                </c:pt>
                <c:pt idx="2">
                  <c:v>4.7363901184014651E-2</c:v>
                </c:pt>
                <c:pt idx="3">
                  <c:v>7.1847848587987567E-2</c:v>
                </c:pt>
                <c:pt idx="4">
                  <c:v>9.5347055432084618E-2</c:v>
                </c:pt>
                <c:pt idx="5">
                  <c:v>0.11749451416916672</c:v>
                </c:pt>
                <c:pt idx="6">
                  <c:v>0.13904226850590234</c:v>
                </c:pt>
                <c:pt idx="7">
                  <c:v>0.16034065328131381</c:v>
                </c:pt>
                <c:pt idx="8">
                  <c:v>0.18149850625744282</c:v>
                </c:pt>
                <c:pt idx="9">
                  <c:v>0.20104923805266964</c:v>
                </c:pt>
                <c:pt idx="10">
                  <c:v>0.22158959497000233</c:v>
                </c:pt>
                <c:pt idx="11">
                  <c:v>0.24136544344833341</c:v>
                </c:pt>
                <c:pt idx="12">
                  <c:v>0.26016063227110386</c:v>
                </c:pt>
                <c:pt idx="13">
                  <c:v>0.27857080326552597</c:v>
                </c:pt>
                <c:pt idx="14">
                  <c:v>0.29687700074703532</c:v>
                </c:pt>
                <c:pt idx="15">
                  <c:v>0.31491609901919487</c:v>
                </c:pt>
                <c:pt idx="16">
                  <c:v>0.332540645137755</c:v>
                </c:pt>
                <c:pt idx="17">
                  <c:v>0.34977666135567054</c:v>
                </c:pt>
                <c:pt idx="18">
                  <c:v>0.36711835577307184</c:v>
                </c:pt>
                <c:pt idx="19">
                  <c:v>0.38363818292906487</c:v>
                </c:pt>
                <c:pt idx="20">
                  <c:v>0.39968609092754359</c:v>
                </c:pt>
                <c:pt idx="21">
                  <c:v>0.41499323840369806</c:v>
                </c:pt>
                <c:pt idx="22">
                  <c:v>0.43018144419400617</c:v>
                </c:pt>
                <c:pt idx="23">
                  <c:v>0.44497195586315041</c:v>
                </c:pt>
                <c:pt idx="24">
                  <c:v>0.46016017088694766</c:v>
                </c:pt>
                <c:pt idx="25">
                  <c:v>0.47545195911474125</c:v>
                </c:pt>
                <c:pt idx="26">
                  <c:v>0.49009451967941742</c:v>
                </c:pt>
                <c:pt idx="27">
                  <c:v>0.50391700620154645</c:v>
                </c:pt>
                <c:pt idx="28">
                  <c:v>0.51808379826107898</c:v>
                </c:pt>
                <c:pt idx="29">
                  <c:v>0.5318630302626921</c:v>
                </c:pt>
                <c:pt idx="30">
                  <c:v>0.54578942360847615</c:v>
                </c:pt>
                <c:pt idx="31">
                  <c:v>0.5592851795068845</c:v>
                </c:pt>
                <c:pt idx="32">
                  <c:v>0.57268386554792894</c:v>
                </c:pt>
                <c:pt idx="33">
                  <c:v>0.58636573675252501</c:v>
                </c:pt>
                <c:pt idx="34">
                  <c:v>0.59945990189786003</c:v>
                </c:pt>
                <c:pt idx="35">
                  <c:v>0.61241527535342666</c:v>
                </c:pt>
                <c:pt idx="36">
                  <c:v>0.62529898631601299</c:v>
                </c:pt>
                <c:pt idx="37">
                  <c:v>0.63787600283127344</c:v>
                </c:pt>
                <c:pt idx="38">
                  <c:v>0.65051329975618155</c:v>
                </c:pt>
                <c:pt idx="39">
                  <c:v>0.66279987379040817</c:v>
                </c:pt>
                <c:pt idx="40">
                  <c:v>0.6749802879426402</c:v>
                </c:pt>
                <c:pt idx="41">
                  <c:v>0.68734843231826037</c:v>
                </c:pt>
                <c:pt idx="42">
                  <c:v>0.69869701811991525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44928"/>
        <c:axId val="161646848"/>
      </c:scatterChart>
      <c:valAx>
        <c:axId val="16164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Eng. Strain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1646848"/>
        <c:crosses val="autoZero"/>
        <c:crossBetween val="midCat"/>
      </c:valAx>
      <c:valAx>
        <c:axId val="161646848"/>
        <c:scaling>
          <c:orientation val="minMax"/>
          <c:max val="0.8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Eng. Stress (MPa)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16449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0664598853038638"/>
          <c:y val="4.4943592577243625E-2"/>
          <c:w val="0.27549612800862977"/>
          <c:h val="0.12778642435777399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5" fmlaLink="$J$8" horiz="1" max="100" page="10" val="22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238124</xdr:colOff>
      <xdr:row>6</xdr:row>
      <xdr:rowOff>19049</xdr:rowOff>
    </xdr:from>
    <xdr:to>
      <xdr:col>14</xdr:col>
      <xdr:colOff>600075</xdr:colOff>
      <xdr:row>32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504825</xdr:colOff>
          <xdr:row>4</xdr:row>
          <xdr:rowOff>0</xdr:rowOff>
        </xdr:from>
        <xdr:to>
          <xdr:col>12</xdr:col>
          <xdr:colOff>409575</xdr:colOff>
          <xdr:row>5</xdr:row>
          <xdr:rowOff>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114300</xdr:colOff>
          <xdr:row>37</xdr:row>
          <xdr:rowOff>161925</xdr:rowOff>
        </xdr:from>
        <xdr:to>
          <xdr:col>12</xdr:col>
          <xdr:colOff>390525</xdr:colOff>
          <xdr:row>39</xdr:row>
          <xdr:rowOff>114300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3"/>
  <sheetViews>
    <sheetView tabSelected="1" topLeftCell="A9" workbookViewId="0">
      <selection activeCell="K54" sqref="K54"/>
    </sheetView>
  </sheetViews>
  <sheetFormatPr defaultRowHeight="15" x14ac:dyDescent="0.25"/>
  <cols>
    <col min="2" max="2" width="11.140625" customWidth="1"/>
    <col min="3" max="3" width="2.7109375" customWidth="1"/>
    <col min="5" max="5" width="10.7109375" customWidth="1"/>
    <col min="6" max="6" width="2.7109375" customWidth="1"/>
    <col min="7" max="7" width="10.7109375" customWidth="1"/>
    <col min="8" max="8" width="4.140625" customWidth="1"/>
    <col min="9" max="9" width="10.85546875" customWidth="1"/>
    <col min="10" max="10" width="13" customWidth="1"/>
    <col min="11" max="11" width="12.28515625" customWidth="1"/>
    <col min="12" max="12" width="12.7109375" customWidth="1"/>
    <col min="13" max="13" width="11.140625" customWidth="1"/>
    <col min="14" max="14" width="13" customWidth="1"/>
    <col min="15" max="15" width="11.140625" customWidth="1"/>
    <col min="16" max="16" width="10.7109375" customWidth="1"/>
    <col min="17" max="17" width="2.7109375" customWidth="1"/>
    <col min="18" max="18" width="10.7109375" customWidth="1"/>
  </cols>
  <sheetData>
    <row r="1" spans="1:18" ht="27" customHeight="1" x14ac:dyDescent="0.35">
      <c r="D1" s="15" t="s">
        <v>15</v>
      </c>
    </row>
    <row r="2" spans="1:18" ht="12" customHeight="1" thickBot="1" x14ac:dyDescent="0.3"/>
    <row r="3" spans="1:18" ht="15.75" thickBot="1" x14ac:dyDescent="0.3">
      <c r="A3" s="22" t="s">
        <v>10</v>
      </c>
      <c r="B3" s="23"/>
      <c r="G3" s="16" t="s">
        <v>11</v>
      </c>
      <c r="K3" s="12" t="s">
        <v>9</v>
      </c>
      <c r="L3" s="19">
        <f>J8/100</f>
        <v>0.22</v>
      </c>
      <c r="P3" s="16" t="s">
        <v>13</v>
      </c>
      <c r="Q3" s="16"/>
      <c r="R3" s="16" t="s">
        <v>13</v>
      </c>
    </row>
    <row r="4" spans="1:18" ht="18.75" x14ac:dyDescent="0.35">
      <c r="A4" s="17" t="s">
        <v>5</v>
      </c>
      <c r="B4" s="18" t="s">
        <v>5</v>
      </c>
      <c r="E4" s="3" t="s">
        <v>8</v>
      </c>
      <c r="G4" s="16" t="s">
        <v>12</v>
      </c>
      <c r="P4" s="16" t="s">
        <v>12</v>
      </c>
      <c r="Q4" s="16"/>
      <c r="R4" s="16" t="s">
        <v>16</v>
      </c>
    </row>
    <row r="5" spans="1:18" x14ac:dyDescent="0.25">
      <c r="A5" s="17" t="s">
        <v>0</v>
      </c>
      <c r="B5" s="18" t="s">
        <v>1</v>
      </c>
      <c r="D5" s="16" t="s">
        <v>2</v>
      </c>
      <c r="E5" t="s">
        <v>3</v>
      </c>
      <c r="G5" s="16" t="s">
        <v>4</v>
      </c>
      <c r="P5" s="16" t="s">
        <v>4</v>
      </c>
      <c r="Q5" s="16"/>
      <c r="R5" s="16" t="s">
        <v>4</v>
      </c>
    </row>
    <row r="6" spans="1:18" x14ac:dyDescent="0.25">
      <c r="A6" s="6">
        <v>0</v>
      </c>
      <c r="B6" s="7">
        <v>0</v>
      </c>
      <c r="D6">
        <f>A6+1</f>
        <v>1</v>
      </c>
      <c r="E6">
        <f t="shared" ref="E6:E29" si="0">2*_C10*(D6-1/D6^2)</f>
        <v>0</v>
      </c>
    </row>
    <row r="7" spans="1:18" x14ac:dyDescent="0.25">
      <c r="A7" s="8">
        <v>1.8599999999999998E-2</v>
      </c>
      <c r="B7" s="9">
        <v>2.81E-2</v>
      </c>
      <c r="D7" s="4">
        <f t="shared" ref="D7:D48" si="1">A7+1</f>
        <v>1.0185999999999999</v>
      </c>
      <c r="E7" s="5">
        <f t="shared" si="0"/>
        <v>2.4106400584548472E-2</v>
      </c>
      <c r="F7" s="5"/>
      <c r="G7" s="5">
        <f>(1-E7/B7)^2</f>
        <v>2.0198371716537003E-2</v>
      </c>
      <c r="P7">
        <f>(E7-B7)^2</f>
        <v>1.5948836291094786E-5</v>
      </c>
      <c r="R7" s="13">
        <f>ABS(E7-B7)</f>
        <v>3.9935994154515278E-3</v>
      </c>
    </row>
    <row r="8" spans="1:18" x14ac:dyDescent="0.25">
      <c r="A8" s="8">
        <v>3.7199999999999997E-2</v>
      </c>
      <c r="B8" s="9">
        <v>5.1499999999999997E-2</v>
      </c>
      <c r="D8" s="4">
        <f t="shared" si="1"/>
        <v>1.0371999999999999</v>
      </c>
      <c r="E8" s="5">
        <f t="shared" si="0"/>
        <v>4.7363901184014651E-2</v>
      </c>
      <c r="F8" s="5"/>
      <c r="G8" s="5">
        <f t="shared" ref="G8:G29" si="2">(1-E8/B8)^2</f>
        <v>6.4501134567236749E-3</v>
      </c>
      <c r="J8">
        <v>22</v>
      </c>
      <c r="P8">
        <f t="shared" ref="P8:P48" si="3">(E8-B8)^2</f>
        <v>1.7107313415595384E-5</v>
      </c>
      <c r="R8" s="13">
        <f t="shared" ref="R8:R48" si="4">ABS(E8-B8)</f>
        <v>4.1360988159853465E-3</v>
      </c>
    </row>
    <row r="9" spans="1:18" x14ac:dyDescent="0.25">
      <c r="A9" s="8">
        <v>5.7500000000000002E-2</v>
      </c>
      <c r="B9" s="9">
        <v>7.1599999999999997E-2</v>
      </c>
      <c r="D9" s="4">
        <f t="shared" si="1"/>
        <v>1.0575000000000001</v>
      </c>
      <c r="E9" s="5">
        <f t="shared" si="0"/>
        <v>7.1847848587987567E-2</v>
      </c>
      <c r="F9" s="5"/>
      <c r="G9" s="5">
        <f t="shared" si="2"/>
        <v>1.1982483881478758E-5</v>
      </c>
      <c r="P9">
        <f t="shared" si="3"/>
        <v>6.1428922567432356E-8</v>
      </c>
      <c r="R9" s="13">
        <f t="shared" si="4"/>
        <v>2.4784858798757026E-4</v>
      </c>
    </row>
    <row r="10" spans="1:18" x14ac:dyDescent="0.25">
      <c r="A10" s="8">
        <v>7.7700000000000005E-2</v>
      </c>
      <c r="B10" s="9">
        <v>9.06E-2</v>
      </c>
      <c r="D10" s="4">
        <f t="shared" si="1"/>
        <v>1.0777000000000001</v>
      </c>
      <c r="E10" s="5">
        <f t="shared" si="0"/>
        <v>9.5347055432084618E-2</v>
      </c>
      <c r="F10" s="5"/>
      <c r="G10" s="5">
        <f t="shared" si="2"/>
        <v>2.7453151756604431E-3</v>
      </c>
      <c r="P10">
        <f t="shared" si="3"/>
        <v>2.253453527528408E-5</v>
      </c>
      <c r="R10" s="13">
        <f t="shared" si="4"/>
        <v>4.7470554320846181E-3</v>
      </c>
    </row>
    <row r="11" spans="1:18" x14ac:dyDescent="0.25">
      <c r="A11" s="8">
        <v>9.74E-2</v>
      </c>
      <c r="B11" s="9">
        <v>0.1085</v>
      </c>
      <c r="D11" s="4">
        <f t="shared" si="1"/>
        <v>1.0973999999999999</v>
      </c>
      <c r="E11" s="5">
        <f t="shared" si="0"/>
        <v>0.11749451416916672</v>
      </c>
      <c r="F11" s="5"/>
      <c r="G11" s="5">
        <f t="shared" si="2"/>
        <v>6.8722024370312306E-3</v>
      </c>
      <c r="P11">
        <f t="shared" si="3"/>
        <v>8.090128513934084E-5</v>
      </c>
      <c r="R11" s="13">
        <f t="shared" si="4"/>
        <v>8.9945141691667174E-3</v>
      </c>
    </row>
    <row r="12" spans="1:18" x14ac:dyDescent="0.25">
      <c r="A12" s="8">
        <v>0.1172</v>
      </c>
      <c r="B12" s="9">
        <v>0.12540000000000001</v>
      </c>
      <c r="D12" s="4">
        <f t="shared" si="1"/>
        <v>1.1172</v>
      </c>
      <c r="E12" s="5">
        <f t="shared" si="0"/>
        <v>0.13904226850590234</v>
      </c>
      <c r="F12" s="5"/>
      <c r="G12" s="5">
        <f t="shared" si="2"/>
        <v>1.1835268447960741E-2</v>
      </c>
      <c r="P12">
        <f t="shared" si="3"/>
        <v>1.8611148998713467E-4</v>
      </c>
      <c r="R12" s="13">
        <f t="shared" si="4"/>
        <v>1.3642268505902333E-2</v>
      </c>
    </row>
    <row r="13" spans="1:18" x14ac:dyDescent="0.25">
      <c r="A13" s="8">
        <v>0.13739999999999999</v>
      </c>
      <c r="B13" s="9">
        <v>0.1414</v>
      </c>
      <c r="D13" s="4">
        <f t="shared" si="1"/>
        <v>1.1374</v>
      </c>
      <c r="E13" s="5">
        <f t="shared" si="0"/>
        <v>0.16034065328131381</v>
      </c>
      <c r="F13" s="5"/>
      <c r="G13" s="5">
        <f t="shared" si="2"/>
        <v>1.7942836072641088E-2</v>
      </c>
      <c r="P13">
        <f t="shared" si="3"/>
        <v>3.5874834672294348E-4</v>
      </c>
      <c r="R13" s="13">
        <f t="shared" si="4"/>
        <v>1.8940653281313807E-2</v>
      </c>
    </row>
    <row r="14" spans="1:18" x14ac:dyDescent="0.25">
      <c r="A14" s="8">
        <v>0.15809999999999999</v>
      </c>
      <c r="B14" s="9">
        <v>0.15659999999999999</v>
      </c>
      <c r="D14" s="4">
        <f t="shared" si="1"/>
        <v>1.1580999999999999</v>
      </c>
      <c r="E14" s="5">
        <f t="shared" si="0"/>
        <v>0.18149850625744282</v>
      </c>
      <c r="F14" s="5"/>
      <c r="G14" s="5">
        <f t="shared" si="2"/>
        <v>2.5279185153049572E-2</v>
      </c>
      <c r="P14">
        <f t="shared" si="3"/>
        <v>6.1993561385191988E-4</v>
      </c>
      <c r="R14" s="13">
        <f t="shared" si="4"/>
        <v>2.4898506257442832E-2</v>
      </c>
    </row>
    <row r="15" spans="1:18" x14ac:dyDescent="0.25">
      <c r="A15" s="8">
        <v>0.17780000000000001</v>
      </c>
      <c r="B15" s="9">
        <v>0.17180000000000001</v>
      </c>
      <c r="D15" s="4">
        <f t="shared" si="1"/>
        <v>1.1778</v>
      </c>
      <c r="E15" s="5">
        <f t="shared" si="0"/>
        <v>0.20104923805266964</v>
      </c>
      <c r="F15" s="5"/>
      <c r="G15" s="5">
        <f t="shared" si="2"/>
        <v>2.8985633410459708E-2</v>
      </c>
      <c r="P15">
        <f t="shared" si="3"/>
        <v>8.5551792666173701E-4</v>
      </c>
      <c r="R15" s="13">
        <f t="shared" si="4"/>
        <v>2.9249238052669629E-2</v>
      </c>
    </row>
    <row r="16" spans="1:18" x14ac:dyDescent="0.25">
      <c r="A16" s="8">
        <v>0.1991</v>
      </c>
      <c r="B16" s="9">
        <v>0.18479999999999999</v>
      </c>
      <c r="D16" s="4">
        <f t="shared" si="1"/>
        <v>1.1991000000000001</v>
      </c>
      <c r="E16" s="5">
        <f t="shared" si="0"/>
        <v>0.22158959497000233</v>
      </c>
      <c r="F16" s="5"/>
      <c r="G16" s="5">
        <f t="shared" si="2"/>
        <v>3.9632008221618442E-2</v>
      </c>
      <c r="P16">
        <f t="shared" si="3"/>
        <v>1.3534742980568213E-3</v>
      </c>
      <c r="R16" s="13">
        <f t="shared" si="4"/>
        <v>3.6789594970002337E-2</v>
      </c>
    </row>
    <row r="17" spans="1:18" x14ac:dyDescent="0.25">
      <c r="A17" s="8">
        <v>0.22020000000000001</v>
      </c>
      <c r="B17" s="9">
        <v>0.19850000000000001</v>
      </c>
      <c r="D17" s="4">
        <f t="shared" si="1"/>
        <v>1.2202</v>
      </c>
      <c r="E17" s="5">
        <f t="shared" si="0"/>
        <v>0.24136544344833341</v>
      </c>
      <c r="F17" s="5"/>
      <c r="G17" s="5">
        <f t="shared" si="2"/>
        <v>4.6633028368234478E-2</v>
      </c>
      <c r="P17">
        <f t="shared" si="3"/>
        <v>1.8374462420222689E-3</v>
      </c>
      <c r="R17" s="13">
        <f t="shared" si="4"/>
        <v>4.2865443448333401E-2</v>
      </c>
    </row>
    <row r="18" spans="1:18" x14ac:dyDescent="0.25">
      <c r="A18" s="8">
        <v>0.24079999999999999</v>
      </c>
      <c r="B18" s="9">
        <v>0.21099999999999999</v>
      </c>
      <c r="D18" s="4">
        <f t="shared" si="1"/>
        <v>1.2407999999999999</v>
      </c>
      <c r="E18" s="5">
        <f t="shared" si="0"/>
        <v>0.26016063227110386</v>
      </c>
      <c r="F18" s="5"/>
      <c r="G18" s="5">
        <f t="shared" si="2"/>
        <v>5.4283770923714676E-2</v>
      </c>
      <c r="P18">
        <f t="shared" si="3"/>
        <v>2.4167677652946994E-3</v>
      </c>
      <c r="R18" s="13">
        <f t="shared" si="4"/>
        <v>4.9160632271103871E-2</v>
      </c>
    </row>
    <row r="19" spans="1:18" x14ac:dyDescent="0.25">
      <c r="A19" s="8">
        <v>0.26150000000000001</v>
      </c>
      <c r="B19" s="9">
        <v>0.22289999999999999</v>
      </c>
      <c r="D19" s="4">
        <f t="shared" si="1"/>
        <v>1.2615000000000001</v>
      </c>
      <c r="E19" s="5">
        <f t="shared" si="0"/>
        <v>0.27857080326552597</v>
      </c>
      <c r="F19" s="5"/>
      <c r="G19" s="5">
        <f t="shared" si="2"/>
        <v>6.2378487260468567E-2</v>
      </c>
      <c r="P19">
        <f t="shared" si="3"/>
        <v>3.0992383362288983E-3</v>
      </c>
      <c r="R19" s="13">
        <f t="shared" si="4"/>
        <v>5.5670803265525981E-2</v>
      </c>
    </row>
    <row r="20" spans="1:18" x14ac:dyDescent="0.25">
      <c r="A20" s="8">
        <v>0.28260000000000002</v>
      </c>
      <c r="B20" s="9">
        <v>0.23480000000000001</v>
      </c>
      <c r="D20" s="4">
        <f t="shared" si="1"/>
        <v>1.2826</v>
      </c>
      <c r="E20" s="5">
        <f t="shared" si="0"/>
        <v>0.29687700074703532</v>
      </c>
      <c r="F20" s="5"/>
      <c r="G20" s="5">
        <f t="shared" si="2"/>
        <v>6.9898083216776291E-2</v>
      </c>
      <c r="P20">
        <f t="shared" si="3"/>
        <v>3.8535540217474232E-3</v>
      </c>
      <c r="R20" s="13">
        <f t="shared" si="4"/>
        <v>6.2077000747035316E-2</v>
      </c>
    </row>
    <row r="21" spans="1:18" x14ac:dyDescent="0.25">
      <c r="A21" s="8">
        <v>0.3039</v>
      </c>
      <c r="B21" s="9">
        <v>0.2457</v>
      </c>
      <c r="D21" s="4">
        <f t="shared" si="1"/>
        <v>1.3039000000000001</v>
      </c>
      <c r="E21" s="5">
        <f t="shared" si="0"/>
        <v>0.31491609901919487</v>
      </c>
      <c r="F21" s="5"/>
      <c r="G21" s="5">
        <f t="shared" si="2"/>
        <v>7.9360414074213043E-2</v>
      </c>
      <c r="P21">
        <f t="shared" si="3"/>
        <v>4.7908683634349889E-3</v>
      </c>
      <c r="R21" s="13">
        <f t="shared" si="4"/>
        <v>6.9216099019194871E-2</v>
      </c>
    </row>
    <row r="22" spans="1:18" x14ac:dyDescent="0.25">
      <c r="A22" s="8">
        <v>0.32519999999999999</v>
      </c>
      <c r="B22" s="9">
        <v>0.25719999999999998</v>
      </c>
      <c r="D22" s="4">
        <f t="shared" si="1"/>
        <v>1.3251999999999999</v>
      </c>
      <c r="E22" s="5">
        <f t="shared" si="0"/>
        <v>0.332540645137755</v>
      </c>
      <c r="F22" s="5"/>
      <c r="G22" s="5">
        <f t="shared" si="2"/>
        <v>8.5805819003267766E-2</v>
      </c>
      <c r="P22">
        <f t="shared" si="3"/>
        <v>5.6762128097731278E-3</v>
      </c>
      <c r="R22" s="13">
        <f t="shared" si="4"/>
        <v>7.5340645137755013E-2</v>
      </c>
    </row>
    <row r="23" spans="1:18" x14ac:dyDescent="0.25">
      <c r="A23" s="8">
        <v>0.34649999999999997</v>
      </c>
      <c r="B23" s="9">
        <v>0.2671</v>
      </c>
      <c r="D23" s="4">
        <f t="shared" si="1"/>
        <v>1.3465</v>
      </c>
      <c r="E23" s="5">
        <f t="shared" si="0"/>
        <v>0.34977666135567054</v>
      </c>
      <c r="F23" s="5"/>
      <c r="G23" s="5">
        <f t="shared" si="2"/>
        <v>9.5811598359520356E-2</v>
      </c>
      <c r="P23">
        <f t="shared" si="3"/>
        <v>6.8354303329202252E-3</v>
      </c>
      <c r="R23" s="13">
        <f t="shared" si="4"/>
        <v>8.2676661355670533E-2</v>
      </c>
    </row>
    <row r="24" spans="1:18" x14ac:dyDescent="0.25">
      <c r="A24" s="8">
        <v>0.36840000000000001</v>
      </c>
      <c r="B24" s="9">
        <v>0.2772</v>
      </c>
      <c r="D24" s="4">
        <f t="shared" si="1"/>
        <v>1.3684000000000001</v>
      </c>
      <c r="E24" s="5">
        <f t="shared" si="0"/>
        <v>0.36711835577307184</v>
      </c>
      <c r="F24" s="5"/>
      <c r="G24" s="5">
        <f t="shared" si="2"/>
        <v>0.10522289875841381</v>
      </c>
      <c r="P24">
        <f t="shared" si="3"/>
        <v>8.0853107049327216E-3</v>
      </c>
      <c r="R24" s="13">
        <f t="shared" si="4"/>
        <v>8.9918355773071834E-2</v>
      </c>
    </row>
    <row r="25" spans="1:18" x14ac:dyDescent="0.25">
      <c r="A25" s="8">
        <v>0.38969999999999999</v>
      </c>
      <c r="B25" s="9">
        <v>0.28699999999999998</v>
      </c>
      <c r="D25" s="4">
        <f t="shared" si="1"/>
        <v>1.3896999999999999</v>
      </c>
      <c r="E25" s="5">
        <f t="shared" si="0"/>
        <v>0.38363818292906487</v>
      </c>
      <c r="F25" s="5"/>
      <c r="G25" s="5">
        <f t="shared" si="2"/>
        <v>0.11337928589434636</v>
      </c>
      <c r="P25">
        <f t="shared" si="3"/>
        <v>9.3389383998314108E-3</v>
      </c>
      <c r="R25" s="13">
        <f t="shared" si="4"/>
        <v>9.6638182929064897E-2</v>
      </c>
    </row>
    <row r="26" spans="1:18" x14ac:dyDescent="0.25">
      <c r="A26" s="8">
        <v>0.4108</v>
      </c>
      <c r="B26" s="9">
        <v>0.29670000000000002</v>
      </c>
      <c r="D26" s="4">
        <f t="shared" si="1"/>
        <v>1.4108000000000001</v>
      </c>
      <c r="E26" s="5">
        <f t="shared" si="0"/>
        <v>0.39968609092754359</v>
      </c>
      <c r="F26" s="5"/>
      <c r="G26" s="5">
        <f t="shared" si="2"/>
        <v>0.12048196859688998</v>
      </c>
      <c r="P26">
        <f t="shared" si="3"/>
        <v>1.0606134924536272E-2</v>
      </c>
      <c r="R26" s="13">
        <f t="shared" si="4"/>
        <v>0.10298609092754357</v>
      </c>
    </row>
    <row r="27" spans="1:18" x14ac:dyDescent="0.25">
      <c r="A27" s="8">
        <v>0.43130000000000002</v>
      </c>
      <c r="B27" s="9">
        <v>0.30599999999999999</v>
      </c>
      <c r="D27" s="4">
        <f t="shared" si="1"/>
        <v>1.4313</v>
      </c>
      <c r="E27" s="5">
        <f t="shared" si="0"/>
        <v>0.41499323840369806</v>
      </c>
      <c r="F27" s="5"/>
      <c r="G27" s="5">
        <f t="shared" si="2"/>
        <v>0.1268692171571337</v>
      </c>
      <c r="P27">
        <f t="shared" si="3"/>
        <v>1.1879526017725362E-2</v>
      </c>
      <c r="R27" s="13">
        <f t="shared" si="4"/>
        <v>0.10899323840369807</v>
      </c>
    </row>
    <row r="28" spans="1:18" x14ac:dyDescent="0.25">
      <c r="A28" s="8">
        <v>0.45200000000000001</v>
      </c>
      <c r="B28" s="9">
        <v>0.31519999999999998</v>
      </c>
      <c r="D28" s="4">
        <f t="shared" si="1"/>
        <v>1.452</v>
      </c>
      <c r="E28" s="5">
        <f t="shared" si="0"/>
        <v>0.43018144419400617</v>
      </c>
      <c r="F28" s="5"/>
      <c r="G28" s="5">
        <f t="shared" si="2"/>
        <v>0.13307090201511093</v>
      </c>
      <c r="P28">
        <f t="shared" si="3"/>
        <v>1.322073250893936E-2</v>
      </c>
      <c r="R28" s="13">
        <f t="shared" si="4"/>
        <v>0.11498144419400619</v>
      </c>
    </row>
    <row r="29" spans="1:18" x14ac:dyDescent="0.25">
      <c r="A29" s="8">
        <v>0.47249999999999998</v>
      </c>
      <c r="B29" s="9">
        <v>0.3246</v>
      </c>
      <c r="D29" s="4">
        <f t="shared" si="1"/>
        <v>1.4724999999999999</v>
      </c>
      <c r="E29" s="5">
        <f t="shared" si="0"/>
        <v>0.44497195586315041</v>
      </c>
      <c r="F29" s="5"/>
      <c r="G29" s="5">
        <f t="shared" si="2"/>
        <v>0.13751611783553722</v>
      </c>
      <c r="P29">
        <f t="shared" si="3"/>
        <v>1.4489407758320232E-2</v>
      </c>
      <c r="R29" s="13">
        <f t="shared" si="4"/>
        <v>0.12037195586315041</v>
      </c>
    </row>
    <row r="30" spans="1:18" x14ac:dyDescent="0.25">
      <c r="A30" s="8">
        <v>0.49390000000000001</v>
      </c>
      <c r="B30" s="9">
        <v>0.3332</v>
      </c>
      <c r="D30" s="4">
        <f t="shared" si="1"/>
        <v>1.4939</v>
      </c>
      <c r="E30" s="5">
        <f t="shared" ref="E30:E48" si="5">2*_C10*(D30-1/D30^2)</f>
        <v>0.46016017088694766</v>
      </c>
      <c r="F30" s="5"/>
      <c r="G30" s="5">
        <f t="shared" ref="G30:G48" si="6">(1-E30/B30)^2</f>
        <v>0.14518609056746612</v>
      </c>
      <c r="P30">
        <f t="shared" si="3"/>
        <v>1.6118884991642955E-2</v>
      </c>
      <c r="R30" s="13">
        <f t="shared" si="4"/>
        <v>0.12696017088694767</v>
      </c>
    </row>
    <row r="31" spans="1:18" x14ac:dyDescent="0.25">
      <c r="A31" s="8">
        <v>0.51580000000000004</v>
      </c>
      <c r="B31" s="9">
        <v>0.34150000000000003</v>
      </c>
      <c r="D31" s="4">
        <f t="shared" si="1"/>
        <v>1.5158</v>
      </c>
      <c r="E31" s="5">
        <f t="shared" si="5"/>
        <v>0.47545195911474125</v>
      </c>
      <c r="F31" s="5"/>
      <c r="G31" s="5">
        <f t="shared" si="6"/>
        <v>0.1538568099198678</v>
      </c>
      <c r="P31">
        <f t="shared" si="3"/>
        <v>1.7943127350677306E-2</v>
      </c>
      <c r="R31" s="13">
        <f t="shared" si="4"/>
        <v>0.13395195911474123</v>
      </c>
    </row>
    <row r="32" spans="1:18" x14ac:dyDescent="0.25">
      <c r="A32" s="8">
        <v>0.53710000000000002</v>
      </c>
      <c r="B32" s="9">
        <v>0.35010000000000002</v>
      </c>
      <c r="D32" s="4">
        <f t="shared" si="1"/>
        <v>1.5371000000000001</v>
      </c>
      <c r="E32" s="5">
        <f t="shared" si="5"/>
        <v>0.49009451967941742</v>
      </c>
      <c r="F32" s="5"/>
      <c r="G32" s="5">
        <f t="shared" si="6"/>
        <v>0.15989609155021514</v>
      </c>
      <c r="P32">
        <f t="shared" si="3"/>
        <v>1.9598465540270785E-2</v>
      </c>
      <c r="R32" s="13">
        <f t="shared" si="4"/>
        <v>0.1399945196794174</v>
      </c>
    </row>
    <row r="33" spans="1:18" x14ac:dyDescent="0.25">
      <c r="A33" s="8">
        <v>0.5575</v>
      </c>
      <c r="B33" s="9">
        <v>0.35830000000000001</v>
      </c>
      <c r="D33" s="4">
        <f t="shared" si="1"/>
        <v>1.5575000000000001</v>
      </c>
      <c r="E33" s="5">
        <f t="shared" si="5"/>
        <v>0.50391700620154645</v>
      </c>
      <c r="F33" s="5"/>
      <c r="G33" s="5">
        <f t="shared" si="6"/>
        <v>0.1651697759273445</v>
      </c>
      <c r="P33">
        <f t="shared" si="3"/>
        <v>2.1204312495101213E-2</v>
      </c>
      <c r="R33" s="13">
        <f t="shared" si="4"/>
        <v>0.14561700620154644</v>
      </c>
    </row>
    <row r="34" spans="1:18" x14ac:dyDescent="0.25">
      <c r="A34" s="8">
        <v>0.57869999999999999</v>
      </c>
      <c r="B34" s="9">
        <v>0.36659999999999998</v>
      </c>
      <c r="D34" s="4">
        <f t="shared" si="1"/>
        <v>1.5787</v>
      </c>
      <c r="E34" s="5">
        <f t="shared" si="5"/>
        <v>0.51808379826107898</v>
      </c>
      <c r="F34" s="5"/>
      <c r="G34" s="5">
        <f t="shared" si="6"/>
        <v>0.17074478603015816</v>
      </c>
      <c r="P34">
        <f t="shared" si="3"/>
        <v>2.2947341135603278E-2</v>
      </c>
      <c r="R34" s="13">
        <f t="shared" si="4"/>
        <v>0.15148379826107899</v>
      </c>
    </row>
    <row r="35" spans="1:18" x14ac:dyDescent="0.25">
      <c r="A35" s="8">
        <v>0.59960000000000002</v>
      </c>
      <c r="B35" s="9">
        <v>0.37459999999999999</v>
      </c>
      <c r="D35" s="4">
        <f t="shared" si="1"/>
        <v>1.5996000000000001</v>
      </c>
      <c r="E35" s="5">
        <f t="shared" si="5"/>
        <v>0.5318630302626921</v>
      </c>
      <c r="F35" s="5"/>
      <c r="G35" s="5">
        <f t="shared" si="6"/>
        <v>0.17624537671935958</v>
      </c>
      <c r="P35">
        <f t="shared" si="3"/>
        <v>2.4731660687404417E-2</v>
      </c>
      <c r="R35" s="13">
        <f t="shared" si="4"/>
        <v>0.15726303026269212</v>
      </c>
    </row>
    <row r="36" spans="1:18" ht="18.75" x14ac:dyDescent="0.25">
      <c r="A36" s="8">
        <v>0.621</v>
      </c>
      <c r="B36" s="9">
        <v>0.38329999999999997</v>
      </c>
      <c r="D36" s="4">
        <f t="shared" si="1"/>
        <v>1.621</v>
      </c>
      <c r="E36" s="5">
        <f t="shared" si="5"/>
        <v>0.54578942360847615</v>
      </c>
      <c r="F36" s="5"/>
      <c r="G36" s="5">
        <f t="shared" si="6"/>
        <v>0.17971012974992401</v>
      </c>
      <c r="I36" s="2" t="s">
        <v>6</v>
      </c>
      <c r="P36">
        <f t="shared" si="3"/>
        <v>2.6402812784614815E-2</v>
      </c>
      <c r="R36" s="13">
        <f t="shared" si="4"/>
        <v>0.16248942360847618</v>
      </c>
    </row>
    <row r="37" spans="1:18" ht="15.75" x14ac:dyDescent="0.25">
      <c r="A37" s="8">
        <v>0.64200000000000002</v>
      </c>
      <c r="B37" s="9">
        <v>0.39119999999999999</v>
      </c>
      <c r="D37" s="4">
        <f t="shared" si="1"/>
        <v>1.6419999999999999</v>
      </c>
      <c r="E37" s="5">
        <f t="shared" si="5"/>
        <v>0.5592851795068845</v>
      </c>
      <c r="F37" s="5"/>
      <c r="G37" s="5">
        <f t="shared" si="6"/>
        <v>0.18461252076525583</v>
      </c>
      <c r="I37" s="3" t="s">
        <v>7</v>
      </c>
      <c r="P37">
        <f t="shared" si="3"/>
        <v>2.8252627569861587E-2</v>
      </c>
      <c r="R37" s="13">
        <f t="shared" si="4"/>
        <v>0.16808517950688451</v>
      </c>
    </row>
    <row r="38" spans="1:18" x14ac:dyDescent="0.25">
      <c r="A38" s="8">
        <v>0.66310000000000002</v>
      </c>
      <c r="B38" s="9">
        <v>0.40010000000000001</v>
      </c>
      <c r="D38" s="4">
        <f t="shared" si="1"/>
        <v>1.6631</v>
      </c>
      <c r="E38" s="5">
        <f t="shared" si="5"/>
        <v>0.57268386554792894</v>
      </c>
      <c r="F38" s="5"/>
      <c r="G38" s="5">
        <f t="shared" si="6"/>
        <v>0.18606439771877581</v>
      </c>
      <c r="P38">
        <f t="shared" si="3"/>
        <v>2.9785190647465608E-2</v>
      </c>
      <c r="R38" s="13">
        <f t="shared" si="4"/>
        <v>0.17258386554792893</v>
      </c>
    </row>
    <row r="39" spans="1:18" x14ac:dyDescent="0.25">
      <c r="A39" s="8">
        <v>0.68489999999999995</v>
      </c>
      <c r="B39" s="9">
        <v>0.4083</v>
      </c>
      <c r="D39" s="4">
        <f t="shared" si="1"/>
        <v>1.6848999999999998</v>
      </c>
      <c r="E39" s="5">
        <f t="shared" si="5"/>
        <v>0.58636573675252501</v>
      </c>
      <c r="F39" s="5"/>
      <c r="G39" s="5">
        <f t="shared" si="6"/>
        <v>0.19019625531199646</v>
      </c>
      <c r="P39">
        <f t="shared" si="3"/>
        <v>3.1707406605219542E-2</v>
      </c>
      <c r="R39" s="13">
        <f t="shared" si="4"/>
        <v>0.17806573675252502</v>
      </c>
    </row>
    <row r="40" spans="1:18" x14ac:dyDescent="0.25">
      <c r="A40" s="8">
        <v>0.70599999999999996</v>
      </c>
      <c r="B40" s="9">
        <v>0.41720000000000002</v>
      </c>
      <c r="D40" s="4">
        <f t="shared" si="1"/>
        <v>1.706</v>
      </c>
      <c r="E40" s="5">
        <f t="shared" si="5"/>
        <v>0.59945990189786003</v>
      </c>
      <c r="F40" s="5"/>
      <c r="G40" s="5">
        <f t="shared" si="6"/>
        <v>0.19085065941951485</v>
      </c>
      <c r="P40">
        <f t="shared" si="3"/>
        <v>3.3218671839817554E-2</v>
      </c>
      <c r="R40" s="13">
        <f t="shared" si="4"/>
        <v>0.18225990189786001</v>
      </c>
    </row>
    <row r="41" spans="1:18" x14ac:dyDescent="0.25">
      <c r="A41" s="8">
        <v>0.72709999999999997</v>
      </c>
      <c r="B41" s="9">
        <v>0.4254</v>
      </c>
      <c r="D41" s="4">
        <f t="shared" si="1"/>
        <v>1.7271000000000001</v>
      </c>
      <c r="E41" s="5">
        <f t="shared" si="5"/>
        <v>0.61241527535342666</v>
      </c>
      <c r="F41" s="5"/>
      <c r="G41" s="5">
        <f t="shared" si="6"/>
        <v>0.19326766110956381</v>
      </c>
      <c r="P41">
        <f t="shared" si="3"/>
        <v>3.497471321551799E-2</v>
      </c>
      <c r="R41" s="13">
        <f t="shared" si="4"/>
        <v>0.18701527535342666</v>
      </c>
    </row>
    <row r="42" spans="1:18" x14ac:dyDescent="0.25">
      <c r="A42" s="8">
        <v>0.74829999999999997</v>
      </c>
      <c r="B42" s="9">
        <v>0.43380000000000002</v>
      </c>
      <c r="D42" s="4">
        <f t="shared" si="1"/>
        <v>1.7483</v>
      </c>
      <c r="E42" s="5">
        <f t="shared" si="5"/>
        <v>0.62529898631601299</v>
      </c>
      <c r="F42" s="5"/>
      <c r="G42" s="5">
        <f t="shared" si="6"/>
        <v>0.19487398377904183</v>
      </c>
      <c r="P42">
        <f t="shared" si="3"/>
        <v>3.6671861760060522E-2</v>
      </c>
      <c r="R42" s="13">
        <f t="shared" si="4"/>
        <v>0.19149898631601298</v>
      </c>
    </row>
    <row r="43" spans="1:18" x14ac:dyDescent="0.25">
      <c r="A43" s="8">
        <v>0.76919999999999999</v>
      </c>
      <c r="B43" s="9">
        <v>0.44259999999999999</v>
      </c>
      <c r="D43" s="4">
        <f t="shared" si="1"/>
        <v>1.7692000000000001</v>
      </c>
      <c r="E43" s="5">
        <f t="shared" si="5"/>
        <v>0.63787600283127344</v>
      </c>
      <c r="F43" s="5"/>
      <c r="G43" s="5">
        <f t="shared" si="6"/>
        <v>0.19465920008151069</v>
      </c>
      <c r="P43">
        <f t="shared" si="3"/>
        <v>3.8132717281759515E-2</v>
      </c>
      <c r="R43" s="13">
        <f t="shared" si="4"/>
        <v>0.19527600283127344</v>
      </c>
    </row>
    <row r="44" spans="1:18" ht="15" customHeight="1" x14ac:dyDescent="0.25">
      <c r="A44" s="8">
        <v>0.79039999999999999</v>
      </c>
      <c r="B44" s="9">
        <v>0.45100000000000001</v>
      </c>
      <c r="D44" s="4">
        <f t="shared" si="1"/>
        <v>1.7904</v>
      </c>
      <c r="E44" s="5">
        <f t="shared" si="5"/>
        <v>0.65051329975618155</v>
      </c>
      <c r="F44" s="5"/>
      <c r="G44" s="5">
        <f t="shared" si="6"/>
        <v>0.19569990697980819</v>
      </c>
      <c r="P44">
        <f t="shared" si="3"/>
        <v>3.9805556779599946E-2</v>
      </c>
      <c r="R44" s="13">
        <f t="shared" si="4"/>
        <v>0.19951329975618154</v>
      </c>
    </row>
    <row r="45" spans="1:18" x14ac:dyDescent="0.25">
      <c r="A45" s="8">
        <v>0.81120000000000003</v>
      </c>
      <c r="B45" s="9">
        <v>0.46050000000000002</v>
      </c>
      <c r="D45" s="4">
        <f t="shared" si="1"/>
        <v>1.8111999999999999</v>
      </c>
      <c r="E45" s="5">
        <f t="shared" si="5"/>
        <v>0.66279987379040817</v>
      </c>
      <c r="F45" s="5"/>
      <c r="G45" s="5">
        <f t="shared" si="6"/>
        <v>0.19298873285123008</v>
      </c>
      <c r="P45">
        <f t="shared" si="3"/>
        <v>4.0925238935615067E-2</v>
      </c>
      <c r="R45" s="13">
        <f t="shared" si="4"/>
        <v>0.20229987379040815</v>
      </c>
    </row>
    <row r="46" spans="1:18" x14ac:dyDescent="0.25">
      <c r="A46" s="8">
        <v>0.83199999999999996</v>
      </c>
      <c r="B46" s="9">
        <v>0.46949999999999997</v>
      </c>
      <c r="D46" s="4">
        <f t="shared" si="1"/>
        <v>1.8319999999999999</v>
      </c>
      <c r="E46" s="5">
        <f t="shared" si="5"/>
        <v>0.6749802879426402</v>
      </c>
      <c r="F46" s="5"/>
      <c r="G46" s="5">
        <f t="shared" si="6"/>
        <v>0.19154425825398444</v>
      </c>
      <c r="P46">
        <f t="shared" si="3"/>
        <v>4.2222148732990336E-2</v>
      </c>
      <c r="R46" s="13">
        <f t="shared" si="4"/>
        <v>0.20548028794264023</v>
      </c>
    </row>
    <row r="47" spans="1:18" x14ac:dyDescent="0.25">
      <c r="A47" s="8">
        <v>0.85329999999999995</v>
      </c>
      <c r="B47" s="9">
        <v>0.47899999999999998</v>
      </c>
      <c r="D47" s="4">
        <f t="shared" si="1"/>
        <v>1.8532999999999999</v>
      </c>
      <c r="E47" s="5">
        <f t="shared" si="5"/>
        <v>0.68734843231826037</v>
      </c>
      <c r="F47" s="5"/>
      <c r="G47" s="5">
        <f t="shared" si="6"/>
        <v>0.18919490958231849</v>
      </c>
      <c r="P47">
        <f t="shared" si="3"/>
        <v>4.3409069249476732E-2</v>
      </c>
      <c r="R47" s="13">
        <f t="shared" si="4"/>
        <v>0.20834843231826039</v>
      </c>
    </row>
    <row r="48" spans="1:18" x14ac:dyDescent="0.25">
      <c r="A48" s="20">
        <v>0.873</v>
      </c>
      <c r="B48" s="21">
        <v>0.48870000000000002</v>
      </c>
      <c r="D48" s="4">
        <f t="shared" si="1"/>
        <v>1.873</v>
      </c>
      <c r="E48" s="5">
        <f t="shared" si="5"/>
        <v>0.69869701811991525</v>
      </c>
      <c r="F48" s="5"/>
      <c r="G48" s="5">
        <f t="shared" si="6"/>
        <v>0.18464671169099364</v>
      </c>
      <c r="P48">
        <f t="shared" si="3"/>
        <v>4.4098747619256001E-2</v>
      </c>
      <c r="R48" s="13">
        <f t="shared" si="4"/>
        <v>0.20999701811991522</v>
      </c>
    </row>
    <row r="49" spans="1:18" x14ac:dyDescent="0.25">
      <c r="A49" s="14"/>
      <c r="B49" s="14"/>
      <c r="D49" s="4"/>
      <c r="E49" s="5"/>
      <c r="F49" s="5"/>
      <c r="G49" s="5"/>
      <c r="R49" s="13"/>
    </row>
    <row r="50" spans="1:18" x14ac:dyDescent="0.25">
      <c r="F50" s="1" t="s">
        <v>14</v>
      </c>
      <c r="G50" s="5">
        <f>SUM(G7:G48)</f>
        <v>4.83007276604752</v>
      </c>
      <c r="O50" s="1" t="s">
        <v>14</v>
      </c>
      <c r="P50" s="5">
        <f>SUM(P7:P48)</f>
        <v>0.69179046448198667</v>
      </c>
      <c r="R50" s="5">
        <f>SUM(R7:R48)</f>
        <v>4.5347196989713776</v>
      </c>
    </row>
    <row r="51" spans="1:18" hidden="1" x14ac:dyDescent="0.25"/>
    <row r="52" spans="1:18" x14ac:dyDescent="0.25">
      <c r="F52" s="1" t="s">
        <v>17</v>
      </c>
      <c r="G52">
        <v>0.1665886</v>
      </c>
      <c r="O52" s="1" t="s">
        <v>17</v>
      </c>
      <c r="P52">
        <v>0.15737827915522135</v>
      </c>
      <c r="R52">
        <v>0.15494966758586293</v>
      </c>
    </row>
    <row r="53" spans="1:18" x14ac:dyDescent="0.25">
      <c r="F53" s="1"/>
    </row>
  </sheetData>
  <mergeCells count="1">
    <mergeCell ref="A3:B3"/>
  </mergeCells>
  <pageMargins left="0.25" right="0.25" top="0.25" bottom="0.25" header="0.05" footer="0.05"/>
  <pageSetup scale="75" orientation="landscape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10</xdr:col>
                <xdr:colOff>114300</xdr:colOff>
                <xdr:row>37</xdr:row>
                <xdr:rowOff>161925</xdr:rowOff>
              </from>
              <to>
                <xdr:col>12</xdr:col>
                <xdr:colOff>390525</xdr:colOff>
                <xdr:row>39</xdr:row>
                <xdr:rowOff>114300</xdr:rowOff>
              </to>
            </anchor>
          </objectPr>
        </oleObject>
      </mc:Choice>
      <mc:Fallback>
        <oleObject progId="Equation.3" shapeId="1027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6" name="Scroll Bar 2">
              <controlPr defaultSize="0" autoPict="0">
                <anchor moveWithCells="1">
                  <from>
                    <xdr:col>9</xdr:col>
                    <xdr:colOff>504825</xdr:colOff>
                    <xdr:row>4</xdr:row>
                    <xdr:rowOff>0</xdr:rowOff>
                  </from>
                  <to>
                    <xdr:col>12</xdr:col>
                    <xdr:colOff>409575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activeCell="B41" sqref="B41"/>
    </sheetView>
  </sheetViews>
  <sheetFormatPr defaultRowHeight="15" x14ac:dyDescent="0.25"/>
  <cols>
    <col min="1" max="1" width="10.5703125" customWidth="1"/>
    <col min="2" max="2" width="9" customWidth="1"/>
  </cols>
  <sheetData>
    <row r="1" spans="1:2" x14ac:dyDescent="0.25">
      <c r="A1" s="22" t="s">
        <v>10</v>
      </c>
      <c r="B1" s="23"/>
    </row>
    <row r="2" spans="1:2" x14ac:dyDescent="0.25">
      <c r="A2" s="6" t="s">
        <v>5</v>
      </c>
      <c r="B2" s="7" t="s">
        <v>5</v>
      </c>
    </row>
    <row r="3" spans="1:2" x14ac:dyDescent="0.25">
      <c r="A3" s="6" t="s">
        <v>0</v>
      </c>
      <c r="B3" s="7" t="s">
        <v>1</v>
      </c>
    </row>
    <row r="4" spans="1:2" x14ac:dyDescent="0.25">
      <c r="A4" s="6">
        <v>0</v>
      </c>
      <c r="B4" s="7">
        <v>0</v>
      </c>
    </row>
    <row r="5" spans="1:2" x14ac:dyDescent="0.25">
      <c r="A5" s="8">
        <v>1.8599999999999998E-2</v>
      </c>
      <c r="B5" s="9">
        <v>2.81E-2</v>
      </c>
    </row>
    <row r="6" spans="1:2" x14ac:dyDescent="0.25">
      <c r="A6" s="8">
        <v>3.7199999999999997E-2</v>
      </c>
      <c r="B6" s="9">
        <v>5.1499999999999997E-2</v>
      </c>
    </row>
    <row r="7" spans="1:2" x14ac:dyDescent="0.25">
      <c r="A7" s="8">
        <v>5.7500000000000002E-2</v>
      </c>
      <c r="B7" s="9">
        <v>7.1599999999999997E-2</v>
      </c>
    </row>
    <row r="8" spans="1:2" x14ac:dyDescent="0.25">
      <c r="A8" s="8">
        <v>7.7700000000000005E-2</v>
      </c>
      <c r="B8" s="9">
        <v>9.06E-2</v>
      </c>
    </row>
    <row r="9" spans="1:2" x14ac:dyDescent="0.25">
      <c r="A9" s="8">
        <v>9.74E-2</v>
      </c>
      <c r="B9" s="9">
        <v>0.1085</v>
      </c>
    </row>
    <row r="10" spans="1:2" x14ac:dyDescent="0.25">
      <c r="A10" s="8">
        <v>0.1172</v>
      </c>
      <c r="B10" s="9">
        <v>0.12540000000000001</v>
      </c>
    </row>
    <row r="11" spans="1:2" x14ac:dyDescent="0.25">
      <c r="A11" s="8">
        <v>0.13739999999999999</v>
      </c>
      <c r="B11" s="9">
        <v>0.1414</v>
      </c>
    </row>
    <row r="12" spans="1:2" x14ac:dyDescent="0.25">
      <c r="A12" s="8">
        <v>0.15809999999999999</v>
      </c>
      <c r="B12" s="9">
        <v>0.15659999999999999</v>
      </c>
    </row>
    <row r="13" spans="1:2" x14ac:dyDescent="0.25">
      <c r="A13" s="8">
        <v>0.17780000000000001</v>
      </c>
      <c r="B13" s="9">
        <v>0.17180000000000001</v>
      </c>
    </row>
    <row r="14" spans="1:2" x14ac:dyDescent="0.25">
      <c r="A14" s="8">
        <v>0.1991</v>
      </c>
      <c r="B14" s="9">
        <v>0.18479999999999999</v>
      </c>
    </row>
    <row r="15" spans="1:2" x14ac:dyDescent="0.25">
      <c r="A15" s="8">
        <v>0.22020000000000001</v>
      </c>
      <c r="B15" s="9">
        <v>0.19850000000000001</v>
      </c>
    </row>
    <row r="16" spans="1:2" x14ac:dyDescent="0.25">
      <c r="A16" s="8">
        <v>0.24079999999999999</v>
      </c>
      <c r="B16" s="9">
        <v>0.21099999999999999</v>
      </c>
    </row>
    <row r="17" spans="1:2" x14ac:dyDescent="0.25">
      <c r="A17" s="8">
        <v>0.26150000000000001</v>
      </c>
      <c r="B17" s="9">
        <v>0.22289999999999999</v>
      </c>
    </row>
    <row r="18" spans="1:2" x14ac:dyDescent="0.25">
      <c r="A18" s="8">
        <v>0.28260000000000002</v>
      </c>
      <c r="B18" s="9">
        <v>0.23480000000000001</v>
      </c>
    </row>
    <row r="19" spans="1:2" x14ac:dyDescent="0.25">
      <c r="A19" s="8">
        <v>0.3039</v>
      </c>
      <c r="B19" s="9">
        <v>0.2457</v>
      </c>
    </row>
    <row r="20" spans="1:2" x14ac:dyDescent="0.25">
      <c r="A20" s="8">
        <v>0.32519999999999999</v>
      </c>
      <c r="B20" s="9">
        <v>0.25719999999999998</v>
      </c>
    </row>
    <row r="21" spans="1:2" x14ac:dyDescent="0.25">
      <c r="A21" s="8">
        <v>0.34649999999999997</v>
      </c>
      <c r="B21" s="9">
        <v>0.2671</v>
      </c>
    </row>
    <row r="22" spans="1:2" x14ac:dyDescent="0.25">
      <c r="A22" s="8">
        <v>0.36840000000000001</v>
      </c>
      <c r="B22" s="9">
        <v>0.2772</v>
      </c>
    </row>
    <row r="23" spans="1:2" x14ac:dyDescent="0.25">
      <c r="A23" s="8">
        <v>0.38969999999999999</v>
      </c>
      <c r="B23" s="9">
        <v>0.28699999999999998</v>
      </c>
    </row>
    <row r="24" spans="1:2" x14ac:dyDescent="0.25">
      <c r="A24" s="8">
        <v>0.4108</v>
      </c>
      <c r="B24" s="9">
        <v>0.29670000000000002</v>
      </c>
    </row>
    <row r="25" spans="1:2" x14ac:dyDescent="0.25">
      <c r="A25" s="8">
        <v>0.43130000000000002</v>
      </c>
      <c r="B25" s="9">
        <v>0.30599999999999999</v>
      </c>
    </row>
    <row r="26" spans="1:2" x14ac:dyDescent="0.25">
      <c r="A26" s="8">
        <v>0.45200000000000001</v>
      </c>
      <c r="B26" s="9">
        <v>0.31519999999999998</v>
      </c>
    </row>
    <row r="27" spans="1:2" x14ac:dyDescent="0.25">
      <c r="A27" s="8">
        <v>0.47249999999999998</v>
      </c>
      <c r="B27" s="9">
        <v>0.3246</v>
      </c>
    </row>
    <row r="28" spans="1:2" x14ac:dyDescent="0.25">
      <c r="A28" s="6">
        <v>0.49390000000000001</v>
      </c>
      <c r="B28" s="7">
        <v>0.3332</v>
      </c>
    </row>
    <row r="29" spans="1:2" x14ac:dyDescent="0.25">
      <c r="A29" s="6">
        <v>0.51580000000000004</v>
      </c>
      <c r="B29" s="7">
        <v>0.34150000000000003</v>
      </c>
    </row>
    <row r="30" spans="1:2" x14ac:dyDescent="0.25">
      <c r="A30" s="6">
        <v>0.53710000000000002</v>
      </c>
      <c r="B30" s="7">
        <v>0.35010000000000002</v>
      </c>
    </row>
    <row r="31" spans="1:2" x14ac:dyDescent="0.25">
      <c r="A31" s="6">
        <v>0.5575</v>
      </c>
      <c r="B31" s="7">
        <v>0.35830000000000001</v>
      </c>
    </row>
    <row r="32" spans="1:2" x14ac:dyDescent="0.25">
      <c r="A32" s="6">
        <v>0.57869999999999999</v>
      </c>
      <c r="B32" s="7">
        <v>0.36659999999999998</v>
      </c>
    </row>
    <row r="33" spans="1:2" x14ac:dyDescent="0.25">
      <c r="A33" s="6">
        <v>0.59960000000000002</v>
      </c>
      <c r="B33" s="7">
        <v>0.37459999999999999</v>
      </c>
    </row>
    <row r="34" spans="1:2" x14ac:dyDescent="0.25">
      <c r="A34" s="6">
        <v>0.621</v>
      </c>
      <c r="B34" s="7">
        <v>0.38329999999999997</v>
      </c>
    </row>
    <row r="35" spans="1:2" x14ac:dyDescent="0.25">
      <c r="A35" s="6">
        <v>0.64200000000000002</v>
      </c>
      <c r="B35" s="7">
        <v>0.39119999999999999</v>
      </c>
    </row>
    <row r="36" spans="1:2" x14ac:dyDescent="0.25">
      <c r="A36" s="6">
        <v>0.66310000000000002</v>
      </c>
      <c r="B36" s="7">
        <v>0.40010000000000001</v>
      </c>
    </row>
    <row r="37" spans="1:2" x14ac:dyDescent="0.25">
      <c r="A37" s="6">
        <v>0.68489999999999995</v>
      </c>
      <c r="B37" s="7">
        <v>0.4083</v>
      </c>
    </row>
    <row r="38" spans="1:2" x14ac:dyDescent="0.25">
      <c r="A38" s="6">
        <v>0.70599999999999996</v>
      </c>
      <c r="B38" s="7">
        <v>0.41720000000000002</v>
      </c>
    </row>
    <row r="39" spans="1:2" x14ac:dyDescent="0.25">
      <c r="A39" s="6">
        <v>0.72709999999999997</v>
      </c>
      <c r="B39" s="7">
        <v>0.4254</v>
      </c>
    </row>
    <row r="40" spans="1:2" x14ac:dyDescent="0.25">
      <c r="A40" s="6">
        <v>0.74829999999999997</v>
      </c>
      <c r="B40" s="7">
        <v>0.43380000000000002</v>
      </c>
    </row>
    <row r="41" spans="1:2" x14ac:dyDescent="0.25">
      <c r="A41" s="6">
        <v>0.76919999999999999</v>
      </c>
      <c r="B41" s="7">
        <v>0.44259999999999999</v>
      </c>
    </row>
    <row r="42" spans="1:2" x14ac:dyDescent="0.25">
      <c r="A42" s="6">
        <v>0.79039999999999999</v>
      </c>
      <c r="B42" s="7">
        <v>0.45100000000000001</v>
      </c>
    </row>
    <row r="43" spans="1:2" x14ac:dyDescent="0.25">
      <c r="A43" s="6">
        <v>0.81120000000000003</v>
      </c>
      <c r="B43" s="7">
        <v>0.46050000000000002</v>
      </c>
    </row>
    <row r="44" spans="1:2" x14ac:dyDescent="0.25">
      <c r="A44" s="6">
        <v>0.83199999999999996</v>
      </c>
      <c r="B44" s="7">
        <v>0.46949999999999997</v>
      </c>
    </row>
    <row r="45" spans="1:2" x14ac:dyDescent="0.25">
      <c r="A45" s="6">
        <v>0.85329999999999995</v>
      </c>
      <c r="B45" s="7">
        <v>0.47899999999999998</v>
      </c>
    </row>
    <row r="46" spans="1:2" x14ac:dyDescent="0.25">
      <c r="A46" s="10">
        <v>0.873</v>
      </c>
      <c r="B46" s="11">
        <v>0.48870000000000002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ST_S58</vt:lpstr>
      <vt:lpstr>just data</vt:lpstr>
      <vt:lpstr>_C10</vt:lpstr>
      <vt:lpstr>ST_S58!Print_Area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DALRYMPLE Tod</cp:lastModifiedBy>
  <cp:lastPrinted>2013-12-05T14:25:47Z</cp:lastPrinted>
  <dcterms:created xsi:type="dcterms:W3CDTF">2011-03-28T18:53:09Z</dcterms:created>
  <dcterms:modified xsi:type="dcterms:W3CDTF">2013-12-06T16:00:26Z</dcterms:modified>
</cp:coreProperties>
</file>