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rinterSettings/printerSettings2.bin" ContentType="application/vnd.openxmlformats-officedocument.spreadsheetml.printerSettings"/>
  <Override PartName="/xl/drawings/drawing3.xml" ContentType="application/vnd.openxmlformats-officedocument.drawing+xml"/>
  <Override PartName="/xl/ctrlProps/ctrlProp1.xml" ContentType="application/vnd.ms-excel.controlproperti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rinterSettings/printerSettings3.bin" ContentType="application/vnd.openxmlformats-officedocument.spreadsheetml.printerSettings"/>
  <Override PartName="/xl/drawings/drawing4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-15" windowWidth="21900" windowHeight="14775" tabRatio="791"/>
  </bookViews>
  <sheets>
    <sheet name="Intro" sheetId="23" r:id="rId1"/>
    <sheet name="Test Data" sheetId="13" r:id="rId2"/>
    <sheet name="Prony Representation w 1 term" sheetId="21" r:id="rId3"/>
    <sheet name="Prony Representation w 7 terms" sheetId="22" r:id="rId4"/>
  </sheets>
  <definedNames>
    <definedName name="G_1" localSheetId="3">'Prony Representation w 7 terms'!$B$2</definedName>
    <definedName name="G_1">'Prony Representation w 1 term'!$B$8</definedName>
    <definedName name="G_2" localSheetId="3">'Prony Representation w 7 terms'!$B$3</definedName>
    <definedName name="G_2">'Prony Representation w 1 term'!$B$9</definedName>
    <definedName name="G_3" localSheetId="3">'Prony Representation w 7 terms'!$B$4</definedName>
    <definedName name="G_3">'Prony Representation w 1 term'!$B$10</definedName>
    <definedName name="G_4" localSheetId="3">'Prony Representation w 7 terms'!$B$5</definedName>
    <definedName name="G_4">'Prony Representation w 1 term'!$B$11</definedName>
    <definedName name="G_5" localSheetId="3">'Prony Representation w 7 terms'!$B$6</definedName>
    <definedName name="G_5">'Prony Representation w 1 term'!$B$12</definedName>
    <definedName name="G_6" localSheetId="3">'Prony Representation w 7 terms'!$B$7</definedName>
    <definedName name="G_6">'Prony Representation w 1 term'!$B$13</definedName>
    <definedName name="G_7" localSheetId="3">'Prony Representation w 7 terms'!$B$8</definedName>
    <definedName name="G_7">'Prony Representation w 1 term'!$B$14</definedName>
    <definedName name="solver_adj" localSheetId="2" hidden="1">'Prony Representation w 1 term'!$B$8,'Prony Representation w 1 term'!$B$9,'Prony Representation w 1 term'!$B$10,'Prony Representation w 1 term'!$B$11,'Prony Representation w 1 term'!$B$12,'Prony Representation w 1 term'!$B$13,'Prony Representation w 1 term'!$B$14</definedName>
    <definedName name="solver_adj" localSheetId="3" hidden="1">'Prony Representation w 7 terms'!$B$2,'Prony Representation w 7 terms'!$B$3,'Prony Representation w 7 terms'!$B$4,'Prony Representation w 7 terms'!$B$5,'Prony Representation w 7 terms'!$B$6,'Prony Representation w 7 terms'!$B$7,'Prony Representation w 7 terms'!$B$8,'Prony Representation w 7 terms'!#REF!,'Prony Representation w 7 terms'!#REF!</definedName>
    <definedName name="solver_cvg" localSheetId="2" hidden="1">0.0001</definedName>
    <definedName name="solver_cvg" localSheetId="3" hidden="1">0.0001</definedName>
    <definedName name="solver_drv" localSheetId="2" hidden="1">1</definedName>
    <definedName name="solver_drv" localSheetId="3" hidden="1">1</definedName>
    <definedName name="solver_eng" localSheetId="3" hidden="1">1</definedName>
    <definedName name="solver_est" localSheetId="2" hidden="1">1</definedName>
    <definedName name="solver_est" localSheetId="3" hidden="1">1</definedName>
    <definedName name="solver_itr" localSheetId="2" hidden="1">100</definedName>
    <definedName name="solver_itr" localSheetId="3" hidden="1">100</definedName>
    <definedName name="solver_lhs1" localSheetId="2" hidden="1">'Prony Representation w 1 term'!$B$8</definedName>
    <definedName name="solver_lhs1" localSheetId="3" hidden="1">'Prony Representation w 7 terms'!$B$2</definedName>
    <definedName name="solver_lhs2" localSheetId="2" hidden="1">'Prony Representation w 1 term'!$B$9</definedName>
    <definedName name="solver_lhs2" localSheetId="3" hidden="1">'Prony Representation w 7 terms'!$B$3</definedName>
    <definedName name="solver_lhs3" localSheetId="2" hidden="1">'Prony Representation w 1 term'!$B$10</definedName>
    <definedName name="solver_lhs3" localSheetId="3" hidden="1">'Prony Representation w 7 terms'!$B$4</definedName>
    <definedName name="solver_lhs4" localSheetId="2" hidden="1">'Prony Representation w 1 term'!$B$11</definedName>
    <definedName name="solver_lhs4" localSheetId="3" hidden="1">'Prony Representation w 7 terms'!$B$5</definedName>
    <definedName name="solver_lhs5" localSheetId="2" hidden="1">'Prony Representation w 1 term'!$B$12</definedName>
    <definedName name="solver_lhs5" localSheetId="3" hidden="1">'Prony Representation w 7 terms'!$B$6</definedName>
    <definedName name="solver_lhs6" localSheetId="2" hidden="1">'Prony Representation w 1 term'!$B$13</definedName>
    <definedName name="solver_lhs6" localSheetId="3" hidden="1">'Prony Representation w 7 terms'!$B$7</definedName>
    <definedName name="solver_lhs7" localSheetId="2" hidden="1">'Prony Representation w 1 term'!$B$14</definedName>
    <definedName name="solver_lhs7" localSheetId="3" hidden="1">'Prony Representation w 7 terms'!$B$8</definedName>
    <definedName name="solver_lin" localSheetId="2" hidden="1">2</definedName>
    <definedName name="solver_lin" localSheetId="3" hidden="1">2</definedName>
    <definedName name="solver_neg" localSheetId="2" hidden="1">2</definedName>
    <definedName name="solver_neg" localSheetId="3" hidden="1">2</definedName>
    <definedName name="solver_num" localSheetId="2" hidden="1">7</definedName>
    <definedName name="solver_num" localSheetId="3" hidden="1">7</definedName>
    <definedName name="solver_nwt" localSheetId="2" hidden="1">1</definedName>
    <definedName name="solver_nwt" localSheetId="3" hidden="1">1</definedName>
    <definedName name="solver_opt" localSheetId="2" hidden="1">'Prony Representation w 1 term'!$O$6</definedName>
    <definedName name="solver_opt" localSheetId="3" hidden="1">'Prony Representation w 7 terms'!#REF!</definedName>
    <definedName name="solver_pre" localSheetId="2" hidden="1">0.000001</definedName>
    <definedName name="solver_pre" localSheetId="3" hidden="1">0.000001</definedName>
    <definedName name="solver_rel1" localSheetId="2" hidden="1">3</definedName>
    <definedName name="solver_rel1" localSheetId="3" hidden="1">3</definedName>
    <definedName name="solver_rel2" localSheetId="2" hidden="1">3</definedName>
    <definedName name="solver_rel2" localSheetId="3" hidden="1">3</definedName>
    <definedName name="solver_rel3" localSheetId="2" hidden="1">3</definedName>
    <definedName name="solver_rel3" localSheetId="3" hidden="1">3</definedName>
    <definedName name="solver_rel4" localSheetId="2" hidden="1">3</definedName>
    <definedName name="solver_rel4" localSheetId="3" hidden="1">3</definedName>
    <definedName name="solver_rel5" localSheetId="2" hidden="1">3</definedName>
    <definedName name="solver_rel5" localSheetId="3" hidden="1">3</definedName>
    <definedName name="solver_rel6" localSheetId="2" hidden="1">3</definedName>
    <definedName name="solver_rel6" localSheetId="3" hidden="1">3</definedName>
    <definedName name="solver_rel7" localSheetId="2" hidden="1">2</definedName>
    <definedName name="solver_rel7" localSheetId="3" hidden="1">2</definedName>
    <definedName name="solver_rhs1" localSheetId="2" hidden="1">'Prony Representation w 1 term'!$B$9</definedName>
    <definedName name="solver_rhs1" localSheetId="3" hidden="1">'Prony Representation w 7 terms'!G_2</definedName>
    <definedName name="solver_rhs2" localSheetId="2" hidden="1">'Prony Representation w 1 term'!$B$10</definedName>
    <definedName name="solver_rhs2" localSheetId="3" hidden="1">'Prony Representation w 7 terms'!G_3</definedName>
    <definedName name="solver_rhs3" localSheetId="2" hidden="1">'Prony Representation w 1 term'!$B$11</definedName>
    <definedName name="solver_rhs3" localSheetId="3" hidden="1">'Prony Representation w 7 terms'!G_4</definedName>
    <definedName name="solver_rhs4" localSheetId="2" hidden="1">'Prony Representation w 1 term'!$B$12</definedName>
    <definedName name="solver_rhs4" localSheetId="3" hidden="1">'Prony Representation w 7 terms'!G_5</definedName>
    <definedName name="solver_rhs5" localSheetId="2" hidden="1">'Prony Representation w 1 term'!$B$13</definedName>
    <definedName name="solver_rhs5" localSheetId="3" hidden="1">'Prony Representation w 7 terms'!G_6</definedName>
    <definedName name="solver_rhs6" localSheetId="2" hidden="1">'Prony Representation w 1 term'!$B$14</definedName>
    <definedName name="solver_rhs6" localSheetId="3" hidden="1">'Prony Representation w 7 terms'!G_7</definedName>
    <definedName name="solver_rhs7" localSheetId="2" hidden="1">0.04</definedName>
    <definedName name="solver_rhs7" localSheetId="3" hidden="1">0.03</definedName>
    <definedName name="solver_scl" localSheetId="2" hidden="1">2</definedName>
    <definedName name="solver_scl" localSheetId="3" hidden="1">2</definedName>
    <definedName name="solver_sho" localSheetId="2" hidden="1">2</definedName>
    <definedName name="solver_sho" localSheetId="3" hidden="1">2</definedName>
    <definedName name="solver_tim" localSheetId="2" hidden="1">100</definedName>
    <definedName name="solver_tim" localSheetId="3" hidden="1">100</definedName>
    <definedName name="solver_tol" localSheetId="2" hidden="1">0.05</definedName>
    <definedName name="solver_tol" localSheetId="3" hidden="1">0.05</definedName>
    <definedName name="solver_typ" localSheetId="2" hidden="1">2</definedName>
    <definedName name="solver_typ" localSheetId="3" hidden="1">2</definedName>
    <definedName name="solver_val" localSheetId="2" hidden="1">0</definedName>
    <definedName name="solver_val" localSheetId="3" hidden="1">0</definedName>
    <definedName name="solver_ver" localSheetId="3" hidden="1">3</definedName>
    <definedName name="Sum_G" localSheetId="3">'Prony Representation w 7 terms'!$B$10</definedName>
    <definedName name="Sum_G">'Prony Representation w 1 term'!$B$16</definedName>
    <definedName name="Tau_1" localSheetId="3">'Prony Representation w 7 terms'!$H$2</definedName>
    <definedName name="Tau_1">'Prony Representation w 1 term'!$D$8</definedName>
    <definedName name="Tau_2" localSheetId="3">'Prony Representation w 7 terms'!$H$3</definedName>
    <definedName name="Tau_2">'Prony Representation w 1 term'!$D$9</definedName>
    <definedName name="Tau_3" localSheetId="3">'Prony Representation w 7 terms'!$H$4</definedName>
    <definedName name="Tau_3">'Prony Representation w 1 term'!$D$10</definedName>
    <definedName name="Tau_4" localSheetId="3">'Prony Representation w 7 terms'!$H$5</definedName>
    <definedName name="Tau_4">'Prony Representation w 1 term'!$D$11</definedName>
    <definedName name="Tau_5" localSheetId="3">'Prony Representation w 7 terms'!$H$6</definedName>
    <definedName name="Tau_5">'Prony Representation w 1 term'!$D$12</definedName>
    <definedName name="Tau_6" localSheetId="3">'Prony Representation w 7 terms'!$H$7</definedName>
    <definedName name="Tau_6">'Prony Representation w 1 term'!$D$13</definedName>
    <definedName name="Tau_7" localSheetId="3">'Prony Representation w 7 terms'!$H$8</definedName>
    <definedName name="Tau_7">'Prony Representation w 1 term'!$D$14</definedName>
  </definedNames>
  <calcPr calcId="145621"/>
</workbook>
</file>

<file path=xl/calcChain.xml><?xml version="1.0" encoding="utf-8"?>
<calcChain xmlns="http://schemas.openxmlformats.org/spreadsheetml/2006/main">
  <c r="D68" i="22" l="1"/>
  <c r="J13" i="22"/>
  <c r="D8" i="21"/>
  <c r="B2" i="22" l="1"/>
  <c r="H2" i="22"/>
  <c r="X2" i="22"/>
  <c r="Y2" i="22"/>
  <c r="J52" i="22" l="1"/>
  <c r="I52" i="22"/>
  <c r="H52" i="22"/>
  <c r="G52" i="22"/>
  <c r="F52" i="22"/>
  <c r="E52" i="22"/>
  <c r="J51" i="22"/>
  <c r="I51" i="22"/>
  <c r="H51" i="22"/>
  <c r="G51" i="22"/>
  <c r="F51" i="22"/>
  <c r="E51" i="22"/>
  <c r="J50" i="22"/>
  <c r="I50" i="22"/>
  <c r="H50" i="22"/>
  <c r="G50" i="22"/>
  <c r="F50" i="22"/>
  <c r="E50" i="22"/>
  <c r="J49" i="22"/>
  <c r="I49" i="22"/>
  <c r="H49" i="22"/>
  <c r="G49" i="22"/>
  <c r="F49" i="22"/>
  <c r="E49" i="22"/>
  <c r="J48" i="22"/>
  <c r="I48" i="22"/>
  <c r="H48" i="22"/>
  <c r="G48" i="22"/>
  <c r="F48" i="22"/>
  <c r="E48" i="22"/>
  <c r="J47" i="22"/>
  <c r="I47" i="22"/>
  <c r="H47" i="22"/>
  <c r="G47" i="22"/>
  <c r="F47" i="22"/>
  <c r="E47" i="22"/>
  <c r="J46" i="22"/>
  <c r="I46" i="22"/>
  <c r="H46" i="22"/>
  <c r="G46" i="22"/>
  <c r="F46" i="22"/>
  <c r="E46" i="22"/>
  <c r="J45" i="22"/>
  <c r="I45" i="22"/>
  <c r="H45" i="22"/>
  <c r="G45" i="22"/>
  <c r="F45" i="22"/>
  <c r="E45" i="22"/>
  <c r="J44" i="22"/>
  <c r="I44" i="22"/>
  <c r="H44" i="22"/>
  <c r="G44" i="22"/>
  <c r="F44" i="22"/>
  <c r="E44" i="22"/>
  <c r="J43" i="22"/>
  <c r="I43" i="22"/>
  <c r="H43" i="22"/>
  <c r="G43" i="22"/>
  <c r="F43" i="22"/>
  <c r="E43" i="22"/>
  <c r="J42" i="22"/>
  <c r="I42" i="22"/>
  <c r="H42" i="22"/>
  <c r="G42" i="22"/>
  <c r="F42" i="22"/>
  <c r="E42" i="22"/>
  <c r="J41" i="22"/>
  <c r="I41" i="22"/>
  <c r="H41" i="22"/>
  <c r="G41" i="22"/>
  <c r="F41" i="22"/>
  <c r="E41" i="22"/>
  <c r="J40" i="22"/>
  <c r="I40" i="22"/>
  <c r="H40" i="22"/>
  <c r="G40" i="22"/>
  <c r="F40" i="22"/>
  <c r="E40" i="22"/>
  <c r="J39" i="22"/>
  <c r="I39" i="22"/>
  <c r="H39" i="22"/>
  <c r="G39" i="22"/>
  <c r="F39" i="22"/>
  <c r="E39" i="22"/>
  <c r="J38" i="22"/>
  <c r="I38" i="22"/>
  <c r="H38" i="22"/>
  <c r="G38" i="22"/>
  <c r="F38" i="22"/>
  <c r="E38" i="22"/>
  <c r="J37" i="22"/>
  <c r="I37" i="22"/>
  <c r="H37" i="22"/>
  <c r="G37" i="22"/>
  <c r="F37" i="22"/>
  <c r="E37" i="22"/>
  <c r="J36" i="22"/>
  <c r="I36" i="22"/>
  <c r="H36" i="22"/>
  <c r="G36" i="22"/>
  <c r="F36" i="22"/>
  <c r="E36" i="22"/>
  <c r="J35" i="22"/>
  <c r="I35" i="22"/>
  <c r="H35" i="22"/>
  <c r="G35" i="22"/>
  <c r="F35" i="22"/>
  <c r="E35" i="22"/>
  <c r="J34" i="22"/>
  <c r="I34" i="22"/>
  <c r="H34" i="22"/>
  <c r="G34" i="22"/>
  <c r="F34" i="22"/>
  <c r="E34" i="22"/>
  <c r="J33" i="22"/>
  <c r="I33" i="22"/>
  <c r="H33" i="22"/>
  <c r="G33" i="22"/>
  <c r="F33" i="22"/>
  <c r="E33" i="22"/>
  <c r="J32" i="22"/>
  <c r="I32" i="22"/>
  <c r="H32" i="22"/>
  <c r="G32" i="22"/>
  <c r="F32" i="22"/>
  <c r="E32" i="22"/>
  <c r="J31" i="22"/>
  <c r="I31" i="22"/>
  <c r="H31" i="22"/>
  <c r="G31" i="22"/>
  <c r="F31" i="22"/>
  <c r="E31" i="22"/>
  <c r="J30" i="22"/>
  <c r="I30" i="22"/>
  <c r="H30" i="22"/>
  <c r="G30" i="22"/>
  <c r="F30" i="22"/>
  <c r="E30" i="22"/>
  <c r="J29" i="22"/>
  <c r="I29" i="22"/>
  <c r="H29" i="22"/>
  <c r="G29" i="22"/>
  <c r="F29" i="22"/>
  <c r="E29" i="22"/>
  <c r="J28" i="22"/>
  <c r="I28" i="22"/>
  <c r="H28" i="22"/>
  <c r="G28" i="22"/>
  <c r="F28" i="22"/>
  <c r="E28" i="22"/>
  <c r="J27" i="22"/>
  <c r="I27" i="22"/>
  <c r="H27" i="22"/>
  <c r="G27" i="22"/>
  <c r="F27" i="22"/>
  <c r="E27" i="22"/>
  <c r="J26" i="22"/>
  <c r="I26" i="22"/>
  <c r="H26" i="22"/>
  <c r="G26" i="22"/>
  <c r="F26" i="22"/>
  <c r="E26" i="22"/>
  <c r="J25" i="22"/>
  <c r="I25" i="22"/>
  <c r="H25" i="22"/>
  <c r="G25" i="22"/>
  <c r="F25" i="22"/>
  <c r="E25" i="22"/>
  <c r="J24" i="22"/>
  <c r="I24" i="22"/>
  <c r="H24" i="22"/>
  <c r="G24" i="22"/>
  <c r="F24" i="22"/>
  <c r="E24" i="22"/>
  <c r="J23" i="22"/>
  <c r="I23" i="22"/>
  <c r="H23" i="22"/>
  <c r="G23" i="22"/>
  <c r="F23" i="22"/>
  <c r="E23" i="22"/>
  <c r="J22" i="22"/>
  <c r="I22" i="22"/>
  <c r="H22" i="22"/>
  <c r="G22" i="22"/>
  <c r="F22" i="22"/>
  <c r="E22" i="22"/>
  <c r="J21" i="22"/>
  <c r="I21" i="22"/>
  <c r="H21" i="22"/>
  <c r="G21" i="22"/>
  <c r="F21" i="22"/>
  <c r="E21" i="22"/>
  <c r="J20" i="22"/>
  <c r="I20" i="22"/>
  <c r="H20" i="22"/>
  <c r="G20" i="22"/>
  <c r="F20" i="22"/>
  <c r="E20" i="22"/>
  <c r="J19" i="22"/>
  <c r="I19" i="22"/>
  <c r="H19" i="22"/>
  <c r="G19" i="22"/>
  <c r="F19" i="22"/>
  <c r="E19" i="22"/>
  <c r="J18" i="22"/>
  <c r="I18" i="22"/>
  <c r="H18" i="22"/>
  <c r="G18" i="22"/>
  <c r="F18" i="22"/>
  <c r="E18" i="22"/>
  <c r="J17" i="22"/>
  <c r="I17" i="22"/>
  <c r="H17" i="22"/>
  <c r="G17" i="22"/>
  <c r="F17" i="22"/>
  <c r="E17" i="22"/>
  <c r="J16" i="22"/>
  <c r="I16" i="22"/>
  <c r="H16" i="22"/>
  <c r="G16" i="22"/>
  <c r="F16" i="22"/>
  <c r="E16" i="22"/>
  <c r="J15" i="22"/>
  <c r="I15" i="22"/>
  <c r="H15" i="22"/>
  <c r="G15" i="22"/>
  <c r="F15" i="22"/>
  <c r="E15" i="22"/>
  <c r="J14" i="22"/>
  <c r="I14" i="22"/>
  <c r="H14" i="22"/>
  <c r="G14" i="22"/>
  <c r="F14" i="22"/>
  <c r="E14" i="22"/>
  <c r="I13" i="22"/>
  <c r="H13" i="22"/>
  <c r="G13" i="22"/>
  <c r="F13" i="22"/>
  <c r="E13" i="22"/>
  <c r="B10" i="22"/>
  <c r="D52" i="22"/>
  <c r="L52" i="22" l="1"/>
  <c r="D13" i="22"/>
  <c r="L13" i="22" s="1"/>
  <c r="D14" i="22"/>
  <c r="L14" i="22" s="1"/>
  <c r="D15" i="22"/>
  <c r="L15" i="22" s="1"/>
  <c r="D16" i="22"/>
  <c r="L16" i="22" s="1"/>
  <c r="D17" i="22"/>
  <c r="L17" i="22" s="1"/>
  <c r="D18" i="22"/>
  <c r="L18" i="22" s="1"/>
  <c r="D19" i="22"/>
  <c r="L19" i="22" s="1"/>
  <c r="D20" i="22"/>
  <c r="L20" i="22" s="1"/>
  <c r="D21" i="22"/>
  <c r="L21" i="22" s="1"/>
  <c r="D22" i="22"/>
  <c r="L22" i="22" s="1"/>
  <c r="D23" i="22"/>
  <c r="L23" i="22" s="1"/>
  <c r="D24" i="22"/>
  <c r="L24" i="22" s="1"/>
  <c r="D25" i="22"/>
  <c r="L25" i="22" s="1"/>
  <c r="D26" i="22"/>
  <c r="L26" i="22" s="1"/>
  <c r="D27" i="22"/>
  <c r="L27" i="22" s="1"/>
  <c r="D28" i="22"/>
  <c r="L28" i="22" s="1"/>
  <c r="D29" i="22"/>
  <c r="L29" i="22" s="1"/>
  <c r="D30" i="22"/>
  <c r="L30" i="22" s="1"/>
  <c r="D31" i="22"/>
  <c r="L31" i="22" s="1"/>
  <c r="D32" i="22"/>
  <c r="L32" i="22" s="1"/>
  <c r="D33" i="22"/>
  <c r="L33" i="22" s="1"/>
  <c r="D34" i="22"/>
  <c r="L34" i="22" s="1"/>
  <c r="D35" i="22"/>
  <c r="L35" i="22" s="1"/>
  <c r="D36" i="22"/>
  <c r="L36" i="22" s="1"/>
  <c r="D37" i="22"/>
  <c r="L37" i="22" s="1"/>
  <c r="D38" i="22"/>
  <c r="L38" i="22" s="1"/>
  <c r="D39" i="22"/>
  <c r="L39" i="22" s="1"/>
  <c r="D40" i="22"/>
  <c r="L40" i="22" s="1"/>
  <c r="D41" i="22"/>
  <c r="L41" i="22" s="1"/>
  <c r="D42" i="22"/>
  <c r="L42" i="22" s="1"/>
  <c r="D43" i="22"/>
  <c r="L43" i="22" s="1"/>
  <c r="D44" i="22"/>
  <c r="L44" i="22" s="1"/>
  <c r="D45" i="22"/>
  <c r="L45" i="22" s="1"/>
  <c r="D46" i="22"/>
  <c r="L46" i="22" s="1"/>
  <c r="D47" i="22"/>
  <c r="L47" i="22" s="1"/>
  <c r="D48" i="22"/>
  <c r="L48" i="22" s="1"/>
  <c r="D49" i="22"/>
  <c r="L49" i="22" s="1"/>
  <c r="D50" i="22"/>
  <c r="L50" i="22" s="1"/>
  <c r="D51" i="22"/>
  <c r="L51" i="22" s="1"/>
  <c r="B16" i="21"/>
  <c r="D53" i="21" l="1"/>
  <c r="F53" i="21" s="1"/>
  <c r="D19" i="21"/>
  <c r="F19" i="21" s="1"/>
  <c r="D31" i="21"/>
  <c r="F31" i="21" s="1"/>
  <c r="D51" i="21"/>
  <c r="F51" i="21" s="1"/>
  <c r="I8" i="21"/>
  <c r="I9" i="21"/>
  <c r="D47" i="21"/>
  <c r="F47" i="21" s="1"/>
  <c r="D46" i="21"/>
  <c r="F46" i="21" s="1"/>
  <c r="D21" i="21"/>
  <c r="F21" i="21" s="1"/>
  <c r="D52" i="21"/>
  <c r="F52" i="21" s="1"/>
  <c r="D27" i="21"/>
  <c r="F27" i="21" s="1"/>
  <c r="D26" i="21"/>
  <c r="F26" i="21" s="1"/>
  <c r="D32" i="21"/>
  <c r="F32" i="21" s="1"/>
  <c r="D25" i="21"/>
  <c r="F25" i="21" s="1"/>
  <c r="D45" i="21"/>
  <c r="F45" i="21" s="1"/>
  <c r="D57" i="21"/>
  <c r="F57" i="21" s="1"/>
  <c r="D41" i="21"/>
  <c r="F41" i="21" s="1"/>
  <c r="D49" i="21"/>
  <c r="F49" i="21" s="1"/>
  <c r="D58" i="21"/>
  <c r="F58" i="21" s="1"/>
  <c r="D36" i="21"/>
  <c r="F36" i="21" s="1"/>
  <c r="D40" i="21"/>
  <c r="F40" i="21" s="1"/>
  <c r="D43" i="21"/>
  <c r="F43" i="21" s="1"/>
  <c r="D48" i="21"/>
  <c r="F48" i="21" s="1"/>
  <c r="D56" i="21"/>
  <c r="F56" i="21" s="1"/>
  <c r="D42" i="21"/>
  <c r="F42" i="21" s="1"/>
  <c r="D22" i="21"/>
  <c r="F22" i="21" s="1"/>
  <c r="D24" i="21"/>
  <c r="F24" i="21" s="1"/>
  <c r="D44" i="21"/>
  <c r="F44" i="21" s="1"/>
  <c r="D23" i="21"/>
  <c r="F23" i="21" s="1"/>
  <c r="D30" i="21"/>
  <c r="F30" i="21" s="1"/>
  <c r="D35" i="21"/>
  <c r="F35" i="21" s="1"/>
  <c r="D39" i="21"/>
  <c r="F39" i="21" s="1"/>
  <c r="D55" i="21"/>
  <c r="F55" i="21" s="1"/>
  <c r="D50" i="21"/>
  <c r="F50" i="21" s="1"/>
  <c r="D29" i="21"/>
  <c r="F29" i="21" s="1"/>
  <c r="D34" i="21"/>
  <c r="F34" i="21" s="1"/>
  <c r="D38" i="21"/>
  <c r="F38" i="21" s="1"/>
  <c r="D54" i="21"/>
  <c r="F54" i="21" s="1"/>
  <c r="D20" i="21"/>
  <c r="F20" i="21" s="1"/>
  <c r="D28" i="21"/>
  <c r="F28" i="21" s="1"/>
  <c r="D33" i="21"/>
  <c r="F33" i="21" s="1"/>
  <c r="D37" i="21"/>
  <c r="F37" i="21" s="1"/>
</calcChain>
</file>

<file path=xl/connections.xml><?xml version="1.0" encoding="utf-8"?>
<connections xmlns="http://schemas.openxmlformats.org/spreadsheetml/2006/main">
  <connection id="1" name="Material-1_7" type="6" refreshedVersion="4" background="1" saveData="1">
    <textPr codePage="437" sourceFile="C:\Tod\MCalibration\Prony_Spreadsheet\Material-1_7.dat" space="1" consecutive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<sst xmlns="http://schemas.openxmlformats.org/spreadsheetml/2006/main" count="52" uniqueCount="33">
  <si>
    <t>Tau_1</t>
  </si>
  <si>
    <t>Tau_2</t>
  </si>
  <si>
    <t>Tau_3</t>
  </si>
  <si>
    <t>Tau_4</t>
  </si>
  <si>
    <t>Tau_5</t>
  </si>
  <si>
    <t>time</t>
  </si>
  <si>
    <t>Term 1</t>
  </si>
  <si>
    <t>1-Sum</t>
  </si>
  <si>
    <t>Tau_7</t>
  </si>
  <si>
    <t>Tau_6</t>
  </si>
  <si>
    <t>Sum of g's</t>
  </si>
  <si>
    <t>Time (secs)</t>
  </si>
  <si>
    <t>Normalized Stress</t>
  </si>
  <si>
    <t>Term 2</t>
  </si>
  <si>
    <t>Term 3</t>
  </si>
  <si>
    <t>Term 4</t>
  </si>
  <si>
    <t>Term 5</t>
  </si>
  <si>
    <t>Term 6</t>
  </si>
  <si>
    <t>Term 7</t>
  </si>
  <si>
    <t>g_1</t>
  </si>
  <si>
    <t>g_2</t>
  </si>
  <si>
    <t>g_3</t>
  </si>
  <si>
    <t>g_4</t>
  </si>
  <si>
    <t>g_5</t>
  </si>
  <si>
    <t>g_6</t>
  </si>
  <si>
    <t>g_7</t>
  </si>
  <si>
    <t>Note: From Abaqus with errtol = 0.0032</t>
  </si>
  <si>
    <t>I</t>
  </si>
  <si>
    <t>G(I)</t>
  </si>
  <si>
    <t>K(I)</t>
  </si>
  <si>
    <t>TAU(I)</t>
  </si>
  <si>
    <r>
      <t>assume G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= 1.0</t>
    </r>
  </si>
  <si>
    <t>Prony Series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</si>
</sst>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E+00"/>
    <numFmt numFmtId="165" formatCode="0.000"/>
    <numFmt numFmtId="166" formatCode="0.0000"/>
    <numFmt numFmtId="167" formatCode="0.0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1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Font="1" applyAlignment="1">
      <alignment horizontal="right"/>
    </xf>
    <xf numFmtId="167" fontId="2" fillId="0" borderId="0" xfId="0" applyNumberFormat="1" applyFont="1"/>
    <xf numFmtId="0" fontId="2" fillId="0" borderId="0" xfId="1"/>
    <xf numFmtId="11" fontId="2" fillId="0" borderId="0" xfId="1" applyNumberFormat="1"/>
    <xf numFmtId="0" fontId="2" fillId="0" borderId="0" xfId="1" applyFont="1"/>
    <xf numFmtId="11" fontId="2" fillId="0" borderId="0" xfId="1" applyNumberFormat="1" applyAlignment="1">
      <alignment horizontal="left"/>
    </xf>
    <xf numFmtId="0" fontId="2" fillId="0" borderId="0" xfId="1" applyAlignment="1">
      <alignment horizontal="center"/>
    </xf>
    <xf numFmtId="0" fontId="2" fillId="0" borderId="0" xfId="1" applyAlignment="1">
      <alignment horizontal="left"/>
    </xf>
    <xf numFmtId="165" fontId="2" fillId="0" borderId="0" xfId="1" applyNumberFormat="1" applyAlignment="1">
      <alignment horizontal="center"/>
    </xf>
    <xf numFmtId="164" fontId="2" fillId="0" borderId="0" xfId="1" applyNumberFormat="1" applyAlignment="1">
      <alignment horizontal="center"/>
    </xf>
    <xf numFmtId="11" fontId="2" fillId="0" borderId="0" xfId="1" applyNumberFormat="1" applyAlignment="1">
      <alignment horizontal="center"/>
    </xf>
    <xf numFmtId="0" fontId="2" fillId="0" borderId="0" xfId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1" applyNumberForma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Stress Relaxation at 60% Strain</a:t>
            </a:r>
          </a:p>
        </c:rich>
      </c:tx>
      <c:layout>
        <c:manualLayout>
          <c:xMode val="edge"/>
          <c:yMode val="edge"/>
          <c:x val="0.25680314759238743"/>
          <c:y val="3.27869727282187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44235199157631"/>
          <c:y val="0.18852509318725769"/>
          <c:w val="0.81122583709648222"/>
          <c:h val="0.6256847295635074"/>
        </c:manualLayout>
      </c:layout>
      <c:scatterChart>
        <c:scatterStyle val="lineMarker"/>
        <c:varyColors val="0"/>
        <c:ser>
          <c:idx val="0"/>
          <c:order val="0"/>
          <c:tx>
            <c:v>Sample 1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'Test Data'!$A$2:$A$50</c:f>
              <c:numCache>
                <c:formatCode>0.0000</c:formatCode>
                <c:ptCount val="49"/>
                <c:pt idx="0">
                  <c:v>1E-4</c:v>
                </c:pt>
                <c:pt idx="1">
                  <c:v>1E-3</c:v>
                </c:pt>
                <c:pt idx="2">
                  <c:v>2E-3</c:v>
                </c:pt>
                <c:pt idx="3">
                  <c:v>0.01</c:v>
                </c:pt>
                <c:pt idx="4">
                  <c:v>0.02</c:v>
                </c:pt>
                <c:pt idx="5">
                  <c:v>0.03</c:v>
                </c:pt>
                <c:pt idx="6">
                  <c:v>0.04</c:v>
                </c:pt>
                <c:pt idx="7">
                  <c:v>0.05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0.09</c:v>
                </c:pt>
                <c:pt idx="12">
                  <c:v>0.1</c:v>
                </c:pt>
                <c:pt idx="13">
                  <c:v>0.19900000000000001</c:v>
                </c:pt>
                <c:pt idx="14">
                  <c:v>0.29899999999999999</c:v>
                </c:pt>
                <c:pt idx="15">
                  <c:v>0.39800000000000002</c:v>
                </c:pt>
                <c:pt idx="16">
                  <c:v>0.498</c:v>
                </c:pt>
                <c:pt idx="17">
                  <c:v>0.60099999999999998</c:v>
                </c:pt>
                <c:pt idx="18">
                  <c:v>0.70099999999999996</c:v>
                </c:pt>
                <c:pt idx="19">
                  <c:v>0.80100000000000005</c:v>
                </c:pt>
                <c:pt idx="20">
                  <c:v>0.90100000000000002</c:v>
                </c:pt>
                <c:pt idx="21">
                  <c:v>1.0009999999999999</c:v>
                </c:pt>
                <c:pt idx="22">
                  <c:v>1.9910000000000001</c:v>
                </c:pt>
                <c:pt idx="23">
                  <c:v>2.9910000000000001</c:v>
                </c:pt>
                <c:pt idx="24">
                  <c:v>3.9809999999999999</c:v>
                </c:pt>
                <c:pt idx="25">
                  <c:v>4.9809999999999999</c:v>
                </c:pt>
                <c:pt idx="26">
                  <c:v>5.9710000000000001</c:v>
                </c:pt>
                <c:pt idx="27">
                  <c:v>6.9710000000000001</c:v>
                </c:pt>
                <c:pt idx="28">
                  <c:v>7.9610000000000003</c:v>
                </c:pt>
                <c:pt idx="29">
                  <c:v>8.9610000000000003</c:v>
                </c:pt>
                <c:pt idx="30">
                  <c:v>9.9510000000000005</c:v>
                </c:pt>
                <c:pt idx="31">
                  <c:v>19.900998999999999</c:v>
                </c:pt>
                <c:pt idx="32">
                  <c:v>29.850999999999999</c:v>
                </c:pt>
                <c:pt idx="33">
                  <c:v>39.800998999999997</c:v>
                </c:pt>
                <c:pt idx="34">
                  <c:v>49.750999</c:v>
                </c:pt>
                <c:pt idx="35">
                  <c:v>59.701000000000001</c:v>
                </c:pt>
                <c:pt idx="36">
                  <c:v>69.651000999999994</c:v>
                </c:pt>
                <c:pt idx="37">
                  <c:v>79.600998000000004</c:v>
                </c:pt>
                <c:pt idx="38">
                  <c:v>89.551002999999994</c:v>
                </c:pt>
                <c:pt idx="39">
                  <c:v>99.500998999999993</c:v>
                </c:pt>
                <c:pt idx="40">
                  <c:v>199.00100699999999</c:v>
                </c:pt>
                <c:pt idx="41">
                  <c:v>298.50100700000002</c:v>
                </c:pt>
                <c:pt idx="42">
                  <c:v>398.00100700000002</c:v>
                </c:pt>
                <c:pt idx="43">
                  <c:v>497.50100700000002</c:v>
                </c:pt>
                <c:pt idx="44">
                  <c:v>597.00097700000003</c:v>
                </c:pt>
                <c:pt idx="45">
                  <c:v>696.50097700000003</c:v>
                </c:pt>
                <c:pt idx="46">
                  <c:v>796.00097700000003</c:v>
                </c:pt>
                <c:pt idx="47">
                  <c:v>895.50097700000003</c:v>
                </c:pt>
                <c:pt idx="48">
                  <c:v>975.091003</c:v>
                </c:pt>
              </c:numCache>
            </c:numRef>
          </c:xVal>
          <c:yVal>
            <c:numRef>
              <c:f>'Test Data'!$B$2:$B$50</c:f>
              <c:numCache>
                <c:formatCode>0.000</c:formatCode>
                <c:ptCount val="49"/>
                <c:pt idx="0">
                  <c:v>1</c:v>
                </c:pt>
                <c:pt idx="1">
                  <c:v>0.86056338028169022</c:v>
                </c:pt>
                <c:pt idx="2">
                  <c:v>0.81971830985915495</c:v>
                </c:pt>
                <c:pt idx="3">
                  <c:v>0.73239436619718312</c:v>
                </c:pt>
                <c:pt idx="4">
                  <c:v>0.69668521126760563</c:v>
                </c:pt>
                <c:pt idx="5">
                  <c:v>0.67354084507042256</c:v>
                </c:pt>
                <c:pt idx="6">
                  <c:v>0.66069647887323946</c:v>
                </c:pt>
                <c:pt idx="7">
                  <c:v>0.65020633802816907</c:v>
                </c:pt>
                <c:pt idx="8">
                  <c:v>0.64083802816901414</c:v>
                </c:pt>
                <c:pt idx="9">
                  <c:v>0.63391478873239437</c:v>
                </c:pt>
                <c:pt idx="10">
                  <c:v>0.6277563380281691</c:v>
                </c:pt>
                <c:pt idx="11">
                  <c:v>0.62237112676056339</c:v>
                </c:pt>
                <c:pt idx="12">
                  <c:v>0.61768098591549292</c:v>
                </c:pt>
                <c:pt idx="13">
                  <c:v>0.58761056338028173</c:v>
                </c:pt>
                <c:pt idx="14">
                  <c:v>0.57041478873239437</c:v>
                </c:pt>
                <c:pt idx="15">
                  <c:v>0.55876690140845076</c:v>
                </c:pt>
                <c:pt idx="16">
                  <c:v>0.55000211267605637</c:v>
                </c:pt>
                <c:pt idx="17">
                  <c:v>0.54238380281690146</c:v>
                </c:pt>
                <c:pt idx="18">
                  <c:v>0.53650422535211262</c:v>
                </c:pt>
                <c:pt idx="19">
                  <c:v>0.53135563380281692</c:v>
                </c:pt>
                <c:pt idx="20">
                  <c:v>0.52711901408450701</c:v>
                </c:pt>
                <c:pt idx="21">
                  <c:v>0.52330633802816906</c:v>
                </c:pt>
                <c:pt idx="22">
                  <c:v>0.49841126760563387</c:v>
                </c:pt>
                <c:pt idx="23">
                  <c:v>0.48507253521126764</c:v>
                </c:pt>
                <c:pt idx="24">
                  <c:v>0.47588169014084508</c:v>
                </c:pt>
                <c:pt idx="25">
                  <c:v>0.46898591549295776</c:v>
                </c:pt>
                <c:pt idx="26">
                  <c:v>0.46321760563380288</c:v>
                </c:pt>
                <c:pt idx="27">
                  <c:v>0.45878450704225354</c:v>
                </c:pt>
                <c:pt idx="28">
                  <c:v>0.45488028169014089</c:v>
                </c:pt>
                <c:pt idx="29">
                  <c:v>0.45142464788732395</c:v>
                </c:pt>
                <c:pt idx="30">
                  <c:v>0.44831478873239439</c:v>
                </c:pt>
                <c:pt idx="31">
                  <c:v>0.42861267605633807</c:v>
                </c:pt>
                <c:pt idx="32">
                  <c:v>0.41765845070422536</c:v>
                </c:pt>
                <c:pt idx="33">
                  <c:v>0.41028732394366202</c:v>
                </c:pt>
                <c:pt idx="34">
                  <c:v>0.40485704225352115</c:v>
                </c:pt>
                <c:pt idx="35">
                  <c:v>0.40037746478873243</c:v>
                </c:pt>
                <c:pt idx="36">
                  <c:v>0.39653802816901412</c:v>
                </c:pt>
                <c:pt idx="37">
                  <c:v>0.39352253521126762</c:v>
                </c:pt>
                <c:pt idx="38">
                  <c:v>0.3906992957746479</c:v>
                </c:pt>
                <c:pt idx="39">
                  <c:v>0.38822112676056342</c:v>
                </c:pt>
                <c:pt idx="40">
                  <c:v>0.3730647887323944</c:v>
                </c:pt>
                <c:pt idx="41">
                  <c:v>0.36397042253521128</c:v>
                </c:pt>
                <c:pt idx="42">
                  <c:v>0.35804718309859151</c:v>
                </c:pt>
                <c:pt idx="43">
                  <c:v>0.35306267605633807</c:v>
                </c:pt>
                <c:pt idx="44">
                  <c:v>0.34914718309859155</c:v>
                </c:pt>
                <c:pt idx="45">
                  <c:v>0.34568239436619719</c:v>
                </c:pt>
                <c:pt idx="46">
                  <c:v>0.34264929577464792</c:v>
                </c:pt>
                <c:pt idx="47">
                  <c:v>0.34015140845070424</c:v>
                </c:pt>
                <c:pt idx="48">
                  <c:v>0.33826478873239435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88384"/>
        <c:axId val="189458304"/>
      </c:scatterChart>
      <c:valAx>
        <c:axId val="188288384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(secs)</a:t>
                </a:r>
              </a:p>
            </c:rich>
          </c:tx>
          <c:layout>
            <c:manualLayout>
              <c:xMode val="edge"/>
              <c:yMode val="edge"/>
              <c:x val="0.44727965441588013"/>
              <c:y val="0.89890950229866351"/>
            </c:manualLayout>
          </c:layout>
          <c:overlay val="0"/>
          <c:spPr>
            <a:noFill/>
            <a:ln w="25400">
              <a:noFill/>
            </a:ln>
          </c:spPr>
        </c:title>
        <c:numFmt formatCode="0.E+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458304"/>
        <c:crosses val="autoZero"/>
        <c:crossBetween val="midCat"/>
      </c:valAx>
      <c:valAx>
        <c:axId val="189458304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Stress Normalized</a:t>
                </a:r>
              </a:p>
            </c:rich>
          </c:tx>
          <c:layout>
            <c:manualLayout>
              <c:xMode val="edge"/>
              <c:yMode val="edge"/>
              <c:x val="2.721092954621324E-2"/>
              <c:y val="0.338798718191593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28838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068143581499087"/>
          <c:y val="0.25683128637104669"/>
          <c:w val="0.12755123224787457"/>
          <c:h val="6.010945000173433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Stress Relaxation at 60% Strain</a:t>
            </a:r>
          </a:p>
        </c:rich>
      </c:tx>
      <c:layout>
        <c:manualLayout>
          <c:xMode val="edge"/>
          <c:yMode val="edge"/>
          <c:x val="0.25680314759238743"/>
          <c:y val="3.27869727282187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31537129287411"/>
          <c:y val="0.18852509318725769"/>
          <c:w val="0.79535290231578193"/>
          <c:h val="0.6256847295635074"/>
        </c:manualLayout>
      </c:layout>
      <c:scatterChart>
        <c:scatterStyle val="lineMarker"/>
        <c:varyColors val="0"/>
        <c:ser>
          <c:idx val="0"/>
          <c:order val="0"/>
          <c:tx>
            <c:v>Sample 1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'Test Data'!$A$2:$A$50</c:f>
              <c:numCache>
                <c:formatCode>0.0000</c:formatCode>
                <c:ptCount val="49"/>
                <c:pt idx="0">
                  <c:v>1E-4</c:v>
                </c:pt>
                <c:pt idx="1">
                  <c:v>1E-3</c:v>
                </c:pt>
                <c:pt idx="2">
                  <c:v>2E-3</c:v>
                </c:pt>
                <c:pt idx="3">
                  <c:v>0.01</c:v>
                </c:pt>
                <c:pt idx="4">
                  <c:v>0.02</c:v>
                </c:pt>
                <c:pt idx="5">
                  <c:v>0.03</c:v>
                </c:pt>
                <c:pt idx="6">
                  <c:v>0.04</c:v>
                </c:pt>
                <c:pt idx="7">
                  <c:v>0.05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0.09</c:v>
                </c:pt>
                <c:pt idx="12">
                  <c:v>0.1</c:v>
                </c:pt>
                <c:pt idx="13">
                  <c:v>0.19900000000000001</c:v>
                </c:pt>
                <c:pt idx="14">
                  <c:v>0.29899999999999999</c:v>
                </c:pt>
                <c:pt idx="15">
                  <c:v>0.39800000000000002</c:v>
                </c:pt>
                <c:pt idx="16">
                  <c:v>0.498</c:v>
                </c:pt>
                <c:pt idx="17">
                  <c:v>0.60099999999999998</c:v>
                </c:pt>
                <c:pt idx="18">
                  <c:v>0.70099999999999996</c:v>
                </c:pt>
                <c:pt idx="19">
                  <c:v>0.80100000000000005</c:v>
                </c:pt>
                <c:pt idx="20">
                  <c:v>0.90100000000000002</c:v>
                </c:pt>
                <c:pt idx="21">
                  <c:v>1.0009999999999999</c:v>
                </c:pt>
                <c:pt idx="22">
                  <c:v>1.9910000000000001</c:v>
                </c:pt>
                <c:pt idx="23">
                  <c:v>2.9910000000000001</c:v>
                </c:pt>
                <c:pt idx="24">
                  <c:v>3.9809999999999999</c:v>
                </c:pt>
                <c:pt idx="25">
                  <c:v>4.9809999999999999</c:v>
                </c:pt>
                <c:pt idx="26">
                  <c:v>5.9710000000000001</c:v>
                </c:pt>
                <c:pt idx="27">
                  <c:v>6.9710000000000001</c:v>
                </c:pt>
                <c:pt idx="28">
                  <c:v>7.9610000000000003</c:v>
                </c:pt>
                <c:pt idx="29">
                  <c:v>8.9610000000000003</c:v>
                </c:pt>
                <c:pt idx="30">
                  <c:v>9.9510000000000005</c:v>
                </c:pt>
                <c:pt idx="31">
                  <c:v>19.900998999999999</c:v>
                </c:pt>
                <c:pt idx="32">
                  <c:v>29.850999999999999</c:v>
                </c:pt>
                <c:pt idx="33">
                  <c:v>39.800998999999997</c:v>
                </c:pt>
                <c:pt idx="34">
                  <c:v>49.750999</c:v>
                </c:pt>
                <c:pt idx="35">
                  <c:v>59.701000000000001</c:v>
                </c:pt>
                <c:pt idx="36">
                  <c:v>69.651000999999994</c:v>
                </c:pt>
                <c:pt idx="37">
                  <c:v>79.600998000000004</c:v>
                </c:pt>
                <c:pt idx="38">
                  <c:v>89.551002999999994</c:v>
                </c:pt>
                <c:pt idx="39">
                  <c:v>99.500998999999993</c:v>
                </c:pt>
                <c:pt idx="40">
                  <c:v>199.00100699999999</c:v>
                </c:pt>
                <c:pt idx="41">
                  <c:v>298.50100700000002</c:v>
                </c:pt>
                <c:pt idx="42">
                  <c:v>398.00100700000002</c:v>
                </c:pt>
                <c:pt idx="43">
                  <c:v>497.50100700000002</c:v>
                </c:pt>
                <c:pt idx="44">
                  <c:v>597.00097700000003</c:v>
                </c:pt>
                <c:pt idx="45">
                  <c:v>696.50097700000003</c:v>
                </c:pt>
                <c:pt idx="46">
                  <c:v>796.00097700000003</c:v>
                </c:pt>
                <c:pt idx="47">
                  <c:v>895.50097700000003</c:v>
                </c:pt>
                <c:pt idx="48">
                  <c:v>975.091003</c:v>
                </c:pt>
              </c:numCache>
            </c:numRef>
          </c:xVal>
          <c:yVal>
            <c:numRef>
              <c:f>'Test Data'!$B$2:$B$50</c:f>
              <c:numCache>
                <c:formatCode>0.000</c:formatCode>
                <c:ptCount val="49"/>
                <c:pt idx="0">
                  <c:v>1</c:v>
                </c:pt>
                <c:pt idx="1">
                  <c:v>0.86056338028169022</c:v>
                </c:pt>
                <c:pt idx="2">
                  <c:v>0.81971830985915495</c:v>
                </c:pt>
                <c:pt idx="3">
                  <c:v>0.73239436619718312</c:v>
                </c:pt>
                <c:pt idx="4">
                  <c:v>0.69668521126760563</c:v>
                </c:pt>
                <c:pt idx="5">
                  <c:v>0.67354084507042256</c:v>
                </c:pt>
                <c:pt idx="6">
                  <c:v>0.66069647887323946</c:v>
                </c:pt>
                <c:pt idx="7">
                  <c:v>0.65020633802816907</c:v>
                </c:pt>
                <c:pt idx="8">
                  <c:v>0.64083802816901414</c:v>
                </c:pt>
                <c:pt idx="9">
                  <c:v>0.63391478873239437</c:v>
                </c:pt>
                <c:pt idx="10">
                  <c:v>0.6277563380281691</c:v>
                </c:pt>
                <c:pt idx="11">
                  <c:v>0.62237112676056339</c:v>
                </c:pt>
                <c:pt idx="12">
                  <c:v>0.61768098591549292</c:v>
                </c:pt>
                <c:pt idx="13">
                  <c:v>0.58761056338028173</c:v>
                </c:pt>
                <c:pt idx="14">
                  <c:v>0.57041478873239437</c:v>
                </c:pt>
                <c:pt idx="15">
                  <c:v>0.55876690140845076</c:v>
                </c:pt>
                <c:pt idx="16">
                  <c:v>0.55000211267605637</c:v>
                </c:pt>
                <c:pt idx="17">
                  <c:v>0.54238380281690146</c:v>
                </c:pt>
                <c:pt idx="18">
                  <c:v>0.53650422535211262</c:v>
                </c:pt>
                <c:pt idx="19">
                  <c:v>0.53135563380281692</c:v>
                </c:pt>
                <c:pt idx="20">
                  <c:v>0.52711901408450701</c:v>
                </c:pt>
                <c:pt idx="21">
                  <c:v>0.52330633802816906</c:v>
                </c:pt>
                <c:pt idx="22">
                  <c:v>0.49841126760563387</c:v>
                </c:pt>
                <c:pt idx="23">
                  <c:v>0.48507253521126764</c:v>
                </c:pt>
                <c:pt idx="24">
                  <c:v>0.47588169014084508</c:v>
                </c:pt>
                <c:pt idx="25">
                  <c:v>0.46898591549295776</c:v>
                </c:pt>
                <c:pt idx="26">
                  <c:v>0.46321760563380288</c:v>
                </c:pt>
                <c:pt idx="27">
                  <c:v>0.45878450704225354</c:v>
                </c:pt>
                <c:pt idx="28">
                  <c:v>0.45488028169014089</c:v>
                </c:pt>
                <c:pt idx="29">
                  <c:v>0.45142464788732395</c:v>
                </c:pt>
                <c:pt idx="30">
                  <c:v>0.44831478873239439</c:v>
                </c:pt>
                <c:pt idx="31">
                  <c:v>0.42861267605633807</c:v>
                </c:pt>
                <c:pt idx="32">
                  <c:v>0.41765845070422536</c:v>
                </c:pt>
                <c:pt idx="33">
                  <c:v>0.41028732394366202</c:v>
                </c:pt>
                <c:pt idx="34">
                  <c:v>0.40485704225352115</c:v>
                </c:pt>
                <c:pt idx="35">
                  <c:v>0.40037746478873243</c:v>
                </c:pt>
                <c:pt idx="36">
                  <c:v>0.39653802816901412</c:v>
                </c:pt>
                <c:pt idx="37">
                  <c:v>0.39352253521126762</c:v>
                </c:pt>
                <c:pt idx="38">
                  <c:v>0.3906992957746479</c:v>
                </c:pt>
                <c:pt idx="39">
                  <c:v>0.38822112676056342</c:v>
                </c:pt>
                <c:pt idx="40">
                  <c:v>0.3730647887323944</c:v>
                </c:pt>
                <c:pt idx="41">
                  <c:v>0.36397042253521128</c:v>
                </c:pt>
                <c:pt idx="42">
                  <c:v>0.35804718309859151</c:v>
                </c:pt>
                <c:pt idx="43">
                  <c:v>0.35306267605633807</c:v>
                </c:pt>
                <c:pt idx="44">
                  <c:v>0.34914718309859155</c:v>
                </c:pt>
                <c:pt idx="45">
                  <c:v>0.34568239436619719</c:v>
                </c:pt>
                <c:pt idx="46">
                  <c:v>0.34264929577464792</c:v>
                </c:pt>
                <c:pt idx="47">
                  <c:v>0.34015140845070424</c:v>
                </c:pt>
                <c:pt idx="48">
                  <c:v>0.33826478873239435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61120"/>
        <c:axId val="190280064"/>
      </c:scatterChart>
      <c:valAx>
        <c:axId val="190261120"/>
        <c:scaling>
          <c:orientation val="minMax"/>
          <c:max val="100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(secs)</a:t>
                </a:r>
              </a:p>
            </c:rich>
          </c:tx>
          <c:layout>
            <c:manualLayout>
              <c:xMode val="edge"/>
              <c:yMode val="edge"/>
              <c:x val="0.44727965441588013"/>
              <c:y val="0.89890950229866351"/>
            </c:manualLayout>
          </c:layout>
          <c:overlay val="0"/>
          <c:spPr>
            <a:noFill/>
            <a:ln w="25400">
              <a:noFill/>
            </a:ln>
          </c:spPr>
        </c:title>
        <c:numFmt formatCode="0.E+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0280064"/>
        <c:crosses val="autoZero"/>
        <c:crossBetween val="midCat"/>
      </c:valAx>
      <c:valAx>
        <c:axId val="190280064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Stress Normalized</a:t>
                </a:r>
              </a:p>
            </c:rich>
          </c:tx>
          <c:layout>
            <c:manualLayout>
              <c:xMode val="edge"/>
              <c:yMode val="edge"/>
              <c:x val="2.721092954621324E-2"/>
              <c:y val="0.3387987181915935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026112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068143581499087"/>
          <c:y val="0.25683128637104669"/>
          <c:w val="0.12755123224787457"/>
          <c:h val="6.010945000173433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39216069065747E-2"/>
          <c:y val="6.5163066756409468E-2"/>
          <c:w val="0.83985700960933607"/>
          <c:h val="0.76858997888421843"/>
        </c:manualLayout>
      </c:layout>
      <c:scatterChart>
        <c:scatterStyle val="lineMarker"/>
        <c:varyColors val="0"/>
        <c:ser>
          <c:idx val="0"/>
          <c:order val="0"/>
          <c:tx>
            <c:v>Prony Series Relaxation</c:v>
          </c:tx>
          <c:spPr>
            <a:ln w="28575">
              <a:noFill/>
            </a:ln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'Prony Representation w 1 term'!$B$19:$B$58</c:f>
              <c:numCache>
                <c:formatCode>0.0E+00</c:formatCode>
                <c:ptCount val="40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1E-4</c:v>
                </c:pt>
                <c:pt idx="4">
                  <c:v>2.0000000000000001E-4</c:v>
                </c:pt>
                <c:pt idx="5">
                  <c:v>2.9999999999999997E-4</c:v>
                </c:pt>
                <c:pt idx="6">
                  <c:v>1E-3</c:v>
                </c:pt>
                <c:pt idx="7">
                  <c:v>2E-3</c:v>
                </c:pt>
                <c:pt idx="8">
                  <c:v>3.0000000000000001E-3</c:v>
                </c:pt>
                <c:pt idx="9">
                  <c:v>4.0000000000000001E-3</c:v>
                </c:pt>
                <c:pt idx="10">
                  <c:v>5.0000000000000001E-3</c:v>
                </c:pt>
                <c:pt idx="11">
                  <c:v>6.3E-3</c:v>
                </c:pt>
                <c:pt idx="12">
                  <c:v>7.4999999999999997E-3</c:v>
                </c:pt>
                <c:pt idx="13">
                  <c:v>0.01</c:v>
                </c:pt>
                <c:pt idx="14">
                  <c:v>0.02</c:v>
                </c:pt>
                <c:pt idx="15">
                  <c:v>0.03</c:v>
                </c:pt>
                <c:pt idx="16">
                  <c:v>0.04</c:v>
                </c:pt>
                <c:pt idx="17">
                  <c:v>0.05</c:v>
                </c:pt>
                <c:pt idx="18">
                  <c:v>0.06</c:v>
                </c:pt>
                <c:pt idx="19">
                  <c:v>0.1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10</c:v>
                </c:pt>
                <c:pt idx="32">
                  <c:v>20</c:v>
                </c:pt>
                <c:pt idx="33">
                  <c:v>30</c:v>
                </c:pt>
                <c:pt idx="34">
                  <c:v>40</c:v>
                </c:pt>
                <c:pt idx="35">
                  <c:v>50</c:v>
                </c:pt>
                <c:pt idx="36">
                  <c:v>60</c:v>
                </c:pt>
                <c:pt idx="37">
                  <c:v>100</c:v>
                </c:pt>
                <c:pt idx="38">
                  <c:v>1000</c:v>
                </c:pt>
                <c:pt idx="39">
                  <c:v>10000</c:v>
                </c:pt>
              </c:numCache>
            </c:numRef>
          </c:xVal>
          <c:yVal>
            <c:numRef>
              <c:f>'Prony Representation w 1 term'!$F$19:$F$58</c:f>
              <c:numCache>
                <c:formatCode>0.00E+00</c:formatCode>
                <c:ptCount val="40"/>
                <c:pt idx="0">
                  <c:v>0.99800996674983367</c:v>
                </c:pt>
                <c:pt idx="1">
                  <c:v>0.99603973466135109</c:v>
                </c:pt>
                <c:pt idx="2">
                  <c:v>0.99408910670970163</c:v>
                </c:pt>
                <c:pt idx="3">
                  <c:v>0.98096748360719188</c:v>
                </c:pt>
                <c:pt idx="4">
                  <c:v>0.96374615061559632</c:v>
                </c:pt>
                <c:pt idx="5">
                  <c:v>0.94816364413634358</c:v>
                </c:pt>
                <c:pt idx="6">
                  <c:v>0.87357588823428844</c:v>
                </c:pt>
                <c:pt idx="7">
                  <c:v>0.8270670566473225</c:v>
                </c:pt>
                <c:pt idx="8">
                  <c:v>0.80995741367357277</c:v>
                </c:pt>
                <c:pt idx="9">
                  <c:v>0.80366312777774684</c:v>
                </c:pt>
                <c:pt idx="10">
                  <c:v>0.8013475893998171</c:v>
                </c:pt>
                <c:pt idx="11">
                  <c:v>0.80036726095540578</c:v>
                </c:pt>
                <c:pt idx="12">
                  <c:v>0.80011061687402951</c:v>
                </c:pt>
                <c:pt idx="13">
                  <c:v>0.8000090799859525</c:v>
                </c:pt>
                <c:pt idx="14">
                  <c:v>0.80000000041223074</c:v>
                </c:pt>
                <c:pt idx="15">
                  <c:v>0.8000000000000187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</c:numCache>
            </c:numRef>
          </c:yVal>
          <c:smooth val="0"/>
        </c:ser>
        <c:ser>
          <c:idx val="2"/>
          <c:order val="1"/>
          <c:tx>
            <c:v>Relaxtion Test Data</c:v>
          </c:tx>
          <c:spPr>
            <a:ln w="28575">
              <a:noFill/>
            </a:ln>
          </c:spPr>
          <c:marker>
            <c:symbol val="triangle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'Test Data'!$A$2:$A$50</c:f>
              <c:numCache>
                <c:formatCode>0.0000</c:formatCode>
                <c:ptCount val="49"/>
                <c:pt idx="0">
                  <c:v>1E-4</c:v>
                </c:pt>
                <c:pt idx="1">
                  <c:v>1E-3</c:v>
                </c:pt>
                <c:pt idx="2">
                  <c:v>2E-3</c:v>
                </c:pt>
                <c:pt idx="3">
                  <c:v>0.01</c:v>
                </c:pt>
                <c:pt idx="4">
                  <c:v>0.02</c:v>
                </c:pt>
                <c:pt idx="5">
                  <c:v>0.03</c:v>
                </c:pt>
                <c:pt idx="6">
                  <c:v>0.04</c:v>
                </c:pt>
                <c:pt idx="7">
                  <c:v>0.05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0.09</c:v>
                </c:pt>
                <c:pt idx="12">
                  <c:v>0.1</c:v>
                </c:pt>
                <c:pt idx="13">
                  <c:v>0.19900000000000001</c:v>
                </c:pt>
                <c:pt idx="14">
                  <c:v>0.29899999999999999</c:v>
                </c:pt>
                <c:pt idx="15">
                  <c:v>0.39800000000000002</c:v>
                </c:pt>
                <c:pt idx="16">
                  <c:v>0.498</c:v>
                </c:pt>
                <c:pt idx="17">
                  <c:v>0.60099999999999998</c:v>
                </c:pt>
                <c:pt idx="18">
                  <c:v>0.70099999999999996</c:v>
                </c:pt>
                <c:pt idx="19">
                  <c:v>0.80100000000000005</c:v>
                </c:pt>
                <c:pt idx="20">
                  <c:v>0.90100000000000002</c:v>
                </c:pt>
                <c:pt idx="21">
                  <c:v>1.0009999999999999</c:v>
                </c:pt>
                <c:pt idx="22">
                  <c:v>1.9910000000000001</c:v>
                </c:pt>
                <c:pt idx="23">
                  <c:v>2.9910000000000001</c:v>
                </c:pt>
                <c:pt idx="24">
                  <c:v>3.9809999999999999</c:v>
                </c:pt>
                <c:pt idx="25">
                  <c:v>4.9809999999999999</c:v>
                </c:pt>
                <c:pt idx="26">
                  <c:v>5.9710000000000001</c:v>
                </c:pt>
                <c:pt idx="27">
                  <c:v>6.9710000000000001</c:v>
                </c:pt>
                <c:pt idx="28">
                  <c:v>7.9610000000000003</c:v>
                </c:pt>
                <c:pt idx="29">
                  <c:v>8.9610000000000003</c:v>
                </c:pt>
                <c:pt idx="30">
                  <c:v>9.9510000000000005</c:v>
                </c:pt>
                <c:pt idx="31">
                  <c:v>19.900998999999999</c:v>
                </c:pt>
                <c:pt idx="32">
                  <c:v>29.850999999999999</c:v>
                </c:pt>
                <c:pt idx="33">
                  <c:v>39.800998999999997</c:v>
                </c:pt>
                <c:pt idx="34">
                  <c:v>49.750999</c:v>
                </c:pt>
                <c:pt idx="35">
                  <c:v>59.701000000000001</c:v>
                </c:pt>
                <c:pt idx="36">
                  <c:v>69.651000999999994</c:v>
                </c:pt>
                <c:pt idx="37">
                  <c:v>79.600998000000004</c:v>
                </c:pt>
                <c:pt idx="38">
                  <c:v>89.551002999999994</c:v>
                </c:pt>
                <c:pt idx="39">
                  <c:v>99.500998999999993</c:v>
                </c:pt>
                <c:pt idx="40">
                  <c:v>199.00100699999999</c:v>
                </c:pt>
                <c:pt idx="41">
                  <c:v>298.50100700000002</c:v>
                </c:pt>
                <c:pt idx="42">
                  <c:v>398.00100700000002</c:v>
                </c:pt>
                <c:pt idx="43">
                  <c:v>497.50100700000002</c:v>
                </c:pt>
                <c:pt idx="44">
                  <c:v>597.00097700000003</c:v>
                </c:pt>
                <c:pt idx="45">
                  <c:v>696.50097700000003</c:v>
                </c:pt>
                <c:pt idx="46">
                  <c:v>796.00097700000003</c:v>
                </c:pt>
                <c:pt idx="47">
                  <c:v>895.50097700000003</c:v>
                </c:pt>
                <c:pt idx="48">
                  <c:v>975.091003</c:v>
                </c:pt>
              </c:numCache>
            </c:numRef>
          </c:xVal>
          <c:yVal>
            <c:numRef>
              <c:f>'Test Data'!$B$2:$B$50</c:f>
              <c:numCache>
                <c:formatCode>0.000</c:formatCode>
                <c:ptCount val="49"/>
                <c:pt idx="0">
                  <c:v>1</c:v>
                </c:pt>
                <c:pt idx="1">
                  <c:v>0.86056338028169022</c:v>
                </c:pt>
                <c:pt idx="2">
                  <c:v>0.81971830985915495</c:v>
                </c:pt>
                <c:pt idx="3">
                  <c:v>0.73239436619718312</c:v>
                </c:pt>
                <c:pt idx="4">
                  <c:v>0.69668521126760563</c:v>
                </c:pt>
                <c:pt idx="5">
                  <c:v>0.67354084507042256</c:v>
                </c:pt>
                <c:pt idx="6">
                  <c:v>0.66069647887323946</c:v>
                </c:pt>
                <c:pt idx="7">
                  <c:v>0.65020633802816907</c:v>
                </c:pt>
                <c:pt idx="8">
                  <c:v>0.64083802816901414</c:v>
                </c:pt>
                <c:pt idx="9">
                  <c:v>0.63391478873239437</c:v>
                </c:pt>
                <c:pt idx="10">
                  <c:v>0.6277563380281691</c:v>
                </c:pt>
                <c:pt idx="11">
                  <c:v>0.62237112676056339</c:v>
                </c:pt>
                <c:pt idx="12">
                  <c:v>0.61768098591549292</c:v>
                </c:pt>
                <c:pt idx="13">
                  <c:v>0.58761056338028173</c:v>
                </c:pt>
                <c:pt idx="14">
                  <c:v>0.57041478873239437</c:v>
                </c:pt>
                <c:pt idx="15">
                  <c:v>0.55876690140845076</c:v>
                </c:pt>
                <c:pt idx="16">
                  <c:v>0.55000211267605637</c:v>
                </c:pt>
                <c:pt idx="17">
                  <c:v>0.54238380281690146</c:v>
                </c:pt>
                <c:pt idx="18">
                  <c:v>0.53650422535211262</c:v>
                </c:pt>
                <c:pt idx="19">
                  <c:v>0.53135563380281692</c:v>
                </c:pt>
                <c:pt idx="20">
                  <c:v>0.52711901408450701</c:v>
                </c:pt>
                <c:pt idx="21">
                  <c:v>0.52330633802816906</c:v>
                </c:pt>
                <c:pt idx="22">
                  <c:v>0.49841126760563387</c:v>
                </c:pt>
                <c:pt idx="23">
                  <c:v>0.48507253521126764</c:v>
                </c:pt>
                <c:pt idx="24">
                  <c:v>0.47588169014084508</c:v>
                </c:pt>
                <c:pt idx="25">
                  <c:v>0.46898591549295776</c:v>
                </c:pt>
                <c:pt idx="26">
                  <c:v>0.46321760563380288</c:v>
                </c:pt>
                <c:pt idx="27">
                  <c:v>0.45878450704225354</c:v>
                </c:pt>
                <c:pt idx="28">
                  <c:v>0.45488028169014089</c:v>
                </c:pt>
                <c:pt idx="29">
                  <c:v>0.45142464788732395</c:v>
                </c:pt>
                <c:pt idx="30">
                  <c:v>0.44831478873239439</c:v>
                </c:pt>
                <c:pt idx="31">
                  <c:v>0.42861267605633807</c:v>
                </c:pt>
                <c:pt idx="32">
                  <c:v>0.41765845070422536</c:v>
                </c:pt>
                <c:pt idx="33">
                  <c:v>0.41028732394366202</c:v>
                </c:pt>
                <c:pt idx="34">
                  <c:v>0.40485704225352115</c:v>
                </c:pt>
                <c:pt idx="35">
                  <c:v>0.40037746478873243</c:v>
                </c:pt>
                <c:pt idx="36">
                  <c:v>0.39653802816901412</c:v>
                </c:pt>
                <c:pt idx="37">
                  <c:v>0.39352253521126762</c:v>
                </c:pt>
                <c:pt idx="38">
                  <c:v>0.3906992957746479</c:v>
                </c:pt>
                <c:pt idx="39">
                  <c:v>0.38822112676056342</c:v>
                </c:pt>
                <c:pt idx="40">
                  <c:v>0.3730647887323944</c:v>
                </c:pt>
                <c:pt idx="41">
                  <c:v>0.36397042253521128</c:v>
                </c:pt>
                <c:pt idx="42">
                  <c:v>0.35804718309859151</c:v>
                </c:pt>
                <c:pt idx="43">
                  <c:v>0.35306267605633807</c:v>
                </c:pt>
                <c:pt idx="44">
                  <c:v>0.34914718309859155</c:v>
                </c:pt>
                <c:pt idx="45">
                  <c:v>0.34568239436619719</c:v>
                </c:pt>
                <c:pt idx="46">
                  <c:v>0.34264929577464792</c:v>
                </c:pt>
                <c:pt idx="47">
                  <c:v>0.34015140845070424</c:v>
                </c:pt>
                <c:pt idx="48">
                  <c:v>0.33826478873239435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06560"/>
        <c:axId val="190054784"/>
      </c:scatterChart>
      <c:valAx>
        <c:axId val="190306560"/>
        <c:scaling>
          <c:logBase val="10"/>
          <c:orientation val="minMax"/>
          <c:min val="1E-4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/>
                  <a:t>Time (secs)</a:t>
                </a:r>
              </a:p>
            </c:rich>
          </c:tx>
          <c:layout>
            <c:manualLayout>
              <c:xMode val="edge"/>
              <c:yMode val="edge"/>
              <c:x val="0.45514951953319882"/>
              <c:y val="0.9147890724185791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0054784"/>
        <c:crosses val="autoZero"/>
        <c:crossBetween val="midCat"/>
      </c:valAx>
      <c:valAx>
        <c:axId val="190054784"/>
        <c:scaling>
          <c:orientation val="minMax"/>
          <c:max val="1"/>
          <c:min val="0.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/>
                  <a:t>Normalized Stress</a:t>
                </a:r>
              </a:p>
            </c:rich>
          </c:tx>
          <c:layout>
            <c:manualLayout>
              <c:xMode val="edge"/>
              <c:yMode val="edge"/>
              <c:x val="2.823920265780731E-2"/>
              <c:y val="0.2982463440004894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030656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9733715103793849E-2"/>
          <c:y val="0.54970918108920597"/>
          <c:w val="0.27806581202143121"/>
          <c:h val="0.1879701879370341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348157156622614E-2"/>
          <c:y val="0.10622328172281217"/>
          <c:w val="0.91534454822569133"/>
          <c:h val="0.72483250527624821"/>
        </c:manualLayout>
      </c:layout>
      <c:scatterChart>
        <c:scatterStyle val="lineMarker"/>
        <c:varyColors val="0"/>
        <c:ser>
          <c:idx val="0"/>
          <c:order val="0"/>
          <c:tx>
            <c:v>1 Term Prony Series</c:v>
          </c:tx>
          <c:spPr>
            <a:ln w="28575">
              <a:noFill/>
            </a:ln>
          </c:spPr>
          <c:xVal>
            <c:numRef>
              <c:f>'Prony Representation w 1 term'!$B$19:$B$58</c:f>
              <c:numCache>
                <c:formatCode>0.0E+00</c:formatCode>
                <c:ptCount val="40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1E-4</c:v>
                </c:pt>
                <c:pt idx="4">
                  <c:v>2.0000000000000001E-4</c:v>
                </c:pt>
                <c:pt idx="5">
                  <c:v>2.9999999999999997E-4</c:v>
                </c:pt>
                <c:pt idx="6">
                  <c:v>1E-3</c:v>
                </c:pt>
                <c:pt idx="7">
                  <c:v>2E-3</c:v>
                </c:pt>
                <c:pt idx="8">
                  <c:v>3.0000000000000001E-3</c:v>
                </c:pt>
                <c:pt idx="9">
                  <c:v>4.0000000000000001E-3</c:v>
                </c:pt>
                <c:pt idx="10">
                  <c:v>5.0000000000000001E-3</c:v>
                </c:pt>
                <c:pt idx="11">
                  <c:v>6.3E-3</c:v>
                </c:pt>
                <c:pt idx="12">
                  <c:v>7.4999999999999997E-3</c:v>
                </c:pt>
                <c:pt idx="13">
                  <c:v>0.01</c:v>
                </c:pt>
                <c:pt idx="14">
                  <c:v>0.02</c:v>
                </c:pt>
                <c:pt idx="15">
                  <c:v>0.03</c:v>
                </c:pt>
                <c:pt idx="16">
                  <c:v>0.04</c:v>
                </c:pt>
                <c:pt idx="17">
                  <c:v>0.05</c:v>
                </c:pt>
                <c:pt idx="18">
                  <c:v>0.06</c:v>
                </c:pt>
                <c:pt idx="19">
                  <c:v>0.1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10</c:v>
                </c:pt>
                <c:pt idx="32">
                  <c:v>20</c:v>
                </c:pt>
                <c:pt idx="33">
                  <c:v>30</c:v>
                </c:pt>
                <c:pt idx="34">
                  <c:v>40</c:v>
                </c:pt>
                <c:pt idx="35">
                  <c:v>50</c:v>
                </c:pt>
                <c:pt idx="36">
                  <c:v>60</c:v>
                </c:pt>
                <c:pt idx="37">
                  <c:v>100</c:v>
                </c:pt>
                <c:pt idx="38">
                  <c:v>1000</c:v>
                </c:pt>
                <c:pt idx="39">
                  <c:v>10000</c:v>
                </c:pt>
              </c:numCache>
            </c:numRef>
          </c:xVal>
          <c:yVal>
            <c:numRef>
              <c:f>'Prony Representation w 1 term'!$F$19:$F$58</c:f>
              <c:numCache>
                <c:formatCode>0.00E+00</c:formatCode>
                <c:ptCount val="40"/>
                <c:pt idx="0">
                  <c:v>0.99800996674983367</c:v>
                </c:pt>
                <c:pt idx="1">
                  <c:v>0.99603973466135109</c:v>
                </c:pt>
                <c:pt idx="2">
                  <c:v>0.99408910670970163</c:v>
                </c:pt>
                <c:pt idx="3">
                  <c:v>0.98096748360719188</c:v>
                </c:pt>
                <c:pt idx="4">
                  <c:v>0.96374615061559632</c:v>
                </c:pt>
                <c:pt idx="5">
                  <c:v>0.94816364413634358</c:v>
                </c:pt>
                <c:pt idx="6">
                  <c:v>0.87357588823428844</c:v>
                </c:pt>
                <c:pt idx="7">
                  <c:v>0.8270670566473225</c:v>
                </c:pt>
                <c:pt idx="8">
                  <c:v>0.80995741367357277</c:v>
                </c:pt>
                <c:pt idx="9">
                  <c:v>0.80366312777774684</c:v>
                </c:pt>
                <c:pt idx="10">
                  <c:v>0.8013475893998171</c:v>
                </c:pt>
                <c:pt idx="11">
                  <c:v>0.80036726095540578</c:v>
                </c:pt>
                <c:pt idx="12">
                  <c:v>0.80011061687402951</c:v>
                </c:pt>
                <c:pt idx="13">
                  <c:v>0.8000090799859525</c:v>
                </c:pt>
                <c:pt idx="14">
                  <c:v>0.80000000041223074</c:v>
                </c:pt>
                <c:pt idx="15">
                  <c:v>0.8000000000000187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</c:numCache>
            </c:numRef>
          </c:yVal>
          <c:smooth val="0"/>
        </c:ser>
        <c:ser>
          <c:idx val="1"/>
          <c:order val="1"/>
          <c:tx>
            <c:v>Tau Indicator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'Prony Representation w 1 term'!$I$8:$I$9</c:f>
              <c:numCache>
                <c:formatCode>General</c:formatCode>
                <c:ptCount val="2"/>
                <c:pt idx="0">
                  <c:v>1E-3</c:v>
                </c:pt>
                <c:pt idx="1">
                  <c:v>1E-3</c:v>
                </c:pt>
              </c:numCache>
            </c:numRef>
          </c:xVal>
          <c:yVal>
            <c:numRef>
              <c:f>'Prony Representation w 1 term'!$J$8:$J$9</c:f>
              <c:numCache>
                <c:formatCode>0.00E+00</c:formatCode>
                <c:ptCount val="2"/>
                <c:pt idx="0">
                  <c:v>0.6</c:v>
                </c:pt>
                <c:pt idx="1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09952"/>
        <c:axId val="190116224"/>
      </c:scatterChart>
      <c:valAx>
        <c:axId val="190109952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Time (secs)</a:t>
                </a:r>
              </a:p>
            </c:rich>
          </c:tx>
          <c:layout/>
          <c:overlay val="0"/>
        </c:title>
        <c:numFmt formatCode="0.E+0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90116224"/>
        <c:crosses val="autoZero"/>
        <c:crossBetween val="midCat"/>
      </c:valAx>
      <c:valAx>
        <c:axId val="190116224"/>
        <c:scaling>
          <c:orientation val="minMax"/>
          <c:max val="1"/>
          <c:min val="0.4"/>
        </c:scaling>
        <c:delete val="0"/>
        <c:axPos val="l"/>
        <c:majorGridlines/>
        <c:numFmt formatCode="#,##0.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90109952"/>
        <c:crosses val="autoZero"/>
        <c:crossBetween val="midCat"/>
        <c:majorUnit val="0.2"/>
      </c:valAx>
    </c:plotArea>
    <c:legend>
      <c:legendPos val="r"/>
      <c:layout>
        <c:manualLayout>
          <c:xMode val="edge"/>
          <c:yMode val="edge"/>
          <c:x val="0.13417270973732423"/>
          <c:y val="0.70582773483589778"/>
          <c:w val="0.26696398747119804"/>
          <c:h val="0.10414457367141033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63455149501661"/>
          <c:y val="6.5163066756409468E-2"/>
          <c:w val="0.81561461794019929"/>
          <c:h val="0.76190662669032616"/>
        </c:manualLayout>
      </c:layout>
      <c:scatterChart>
        <c:scatterStyle val="lineMarker"/>
        <c:varyColors val="0"/>
        <c:ser>
          <c:idx val="0"/>
          <c:order val="0"/>
          <c:tx>
            <c:v>Prony Series Relaxation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'Prony Representation w 7 terms'!$B$13:$B$52</c:f>
              <c:numCache>
                <c:formatCode>0.0E+00</c:formatCode>
                <c:ptCount val="40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1E-4</c:v>
                </c:pt>
                <c:pt idx="4">
                  <c:v>2.0000000000000001E-4</c:v>
                </c:pt>
                <c:pt idx="5">
                  <c:v>2.9999999999999997E-4</c:v>
                </c:pt>
                <c:pt idx="6">
                  <c:v>1E-3</c:v>
                </c:pt>
                <c:pt idx="7">
                  <c:v>2E-3</c:v>
                </c:pt>
                <c:pt idx="8">
                  <c:v>3.0000000000000001E-3</c:v>
                </c:pt>
                <c:pt idx="9">
                  <c:v>4.0000000000000001E-3</c:v>
                </c:pt>
                <c:pt idx="10">
                  <c:v>5.0000000000000001E-3</c:v>
                </c:pt>
                <c:pt idx="11">
                  <c:v>6.3E-3</c:v>
                </c:pt>
                <c:pt idx="12">
                  <c:v>7.4999999999999997E-3</c:v>
                </c:pt>
                <c:pt idx="13">
                  <c:v>0.01</c:v>
                </c:pt>
                <c:pt idx="14">
                  <c:v>0.02</c:v>
                </c:pt>
                <c:pt idx="15">
                  <c:v>0.03</c:v>
                </c:pt>
                <c:pt idx="16">
                  <c:v>0.04</c:v>
                </c:pt>
                <c:pt idx="17">
                  <c:v>0.05</c:v>
                </c:pt>
                <c:pt idx="18">
                  <c:v>0.06</c:v>
                </c:pt>
                <c:pt idx="19">
                  <c:v>0.1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10</c:v>
                </c:pt>
                <c:pt idx="32">
                  <c:v>20</c:v>
                </c:pt>
                <c:pt idx="33">
                  <c:v>30</c:v>
                </c:pt>
                <c:pt idx="34">
                  <c:v>40</c:v>
                </c:pt>
                <c:pt idx="35">
                  <c:v>50</c:v>
                </c:pt>
                <c:pt idx="36">
                  <c:v>60</c:v>
                </c:pt>
                <c:pt idx="37">
                  <c:v>100</c:v>
                </c:pt>
                <c:pt idx="38">
                  <c:v>1000</c:v>
                </c:pt>
                <c:pt idx="39">
                  <c:v>10000</c:v>
                </c:pt>
              </c:numCache>
            </c:numRef>
          </c:xVal>
          <c:yVal>
            <c:numRef>
              <c:f>'Prony Representation w 7 terms'!$L$13:$L$52</c:f>
              <c:numCache>
                <c:formatCode>0.00E+00</c:formatCode>
                <c:ptCount val="40"/>
                <c:pt idx="0">
                  <c:v>0.99799996478521036</c:v>
                </c:pt>
                <c:pt idx="1">
                  <c:v>0.99601882682515974</c:v>
                </c:pt>
                <c:pt idx="2">
                  <c:v>0.99405639887105868</c:v>
                </c:pt>
                <c:pt idx="3">
                  <c:v>0.98082794094900161</c:v>
                </c:pt>
                <c:pt idx="4">
                  <c:v>0.96338505387368778</c:v>
                </c:pt>
                <c:pt idx="5">
                  <c:v>0.94750752544156835</c:v>
                </c:pt>
                <c:pt idx="6">
                  <c:v>0.86936127914948191</c:v>
                </c:pt>
                <c:pt idx="7">
                  <c:v>0.8154328044991126</c:v>
                </c:pt>
                <c:pt idx="8">
                  <c:v>0.79015831102650669</c:v>
                </c:pt>
                <c:pt idx="9">
                  <c:v>0.77582277317481751</c:v>
                </c:pt>
                <c:pt idx="10">
                  <c:v>0.76587614350241473</c:v>
                </c:pt>
                <c:pt idx="11">
                  <c:v>0.75570185070801754</c:v>
                </c:pt>
                <c:pt idx="12">
                  <c:v>0.74767713672942215</c:v>
                </c:pt>
                <c:pt idx="13">
                  <c:v>0.73337871178893643</c:v>
                </c:pt>
                <c:pt idx="14">
                  <c:v>0.69536778191952053</c:v>
                </c:pt>
                <c:pt idx="15">
                  <c:v>0.67396699780403013</c:v>
                </c:pt>
                <c:pt idx="16">
                  <c:v>0.66001981721726066</c:v>
                </c:pt>
                <c:pt idx="17">
                  <c:v>0.64968628668165485</c:v>
                </c:pt>
                <c:pt idx="18">
                  <c:v>0.64131937600747813</c:v>
                </c:pt>
                <c:pt idx="19">
                  <c:v>0.61733333769687282</c:v>
                </c:pt>
                <c:pt idx="20">
                  <c:v>0.58589902505551983</c:v>
                </c:pt>
                <c:pt idx="21">
                  <c:v>0.56984493922789414</c:v>
                </c:pt>
                <c:pt idx="22">
                  <c:v>0.55887866143081744</c:v>
                </c:pt>
                <c:pt idx="23">
                  <c:v>0.55016343038007731</c:v>
                </c:pt>
                <c:pt idx="24">
                  <c:v>0.54281774957420981</c:v>
                </c:pt>
                <c:pt idx="25">
                  <c:v>0.52192682212089769</c:v>
                </c:pt>
                <c:pt idx="26">
                  <c:v>0.4972097333061325</c:v>
                </c:pt>
                <c:pt idx="27">
                  <c:v>0.48490555622269993</c:v>
                </c:pt>
                <c:pt idx="28">
                  <c:v>0.47612547922928794</c:v>
                </c:pt>
                <c:pt idx="29">
                  <c:v>0.46905616513299164</c:v>
                </c:pt>
                <c:pt idx="30">
                  <c:v>0.46316706721033851</c:v>
                </c:pt>
                <c:pt idx="31">
                  <c:v>0.44712896879746211</c:v>
                </c:pt>
                <c:pt idx="32">
                  <c:v>0.42850255102148982</c:v>
                </c:pt>
                <c:pt idx="33">
                  <c:v>0.41818948696664748</c:v>
                </c:pt>
                <c:pt idx="34">
                  <c:v>0.41056504583482378</c:v>
                </c:pt>
                <c:pt idx="35">
                  <c:v>0.40458487917768082</c:v>
                </c:pt>
                <c:pt idx="36">
                  <c:v>0.39979973469357333</c:v>
                </c:pt>
                <c:pt idx="37">
                  <c:v>0.38766566585179241</c:v>
                </c:pt>
                <c:pt idx="38">
                  <c:v>0.3383888951137477</c:v>
                </c:pt>
                <c:pt idx="39">
                  <c:v>0.33250970000196389</c:v>
                </c:pt>
              </c:numCache>
            </c:numRef>
          </c:yVal>
          <c:smooth val="0"/>
        </c:ser>
        <c:ser>
          <c:idx val="2"/>
          <c:order val="1"/>
          <c:tx>
            <c:v>Relaxation Test Data</c:v>
          </c:tx>
          <c:spPr>
            <a:ln w="28575">
              <a:noFill/>
            </a:ln>
          </c:spPr>
          <c:marker>
            <c:symbol val="triangle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'Test Data'!$A$2:$A$50</c:f>
              <c:numCache>
                <c:formatCode>0.0000</c:formatCode>
                <c:ptCount val="49"/>
                <c:pt idx="0">
                  <c:v>1E-4</c:v>
                </c:pt>
                <c:pt idx="1">
                  <c:v>1E-3</c:v>
                </c:pt>
                <c:pt idx="2">
                  <c:v>2E-3</c:v>
                </c:pt>
                <c:pt idx="3">
                  <c:v>0.01</c:v>
                </c:pt>
                <c:pt idx="4">
                  <c:v>0.02</c:v>
                </c:pt>
                <c:pt idx="5">
                  <c:v>0.03</c:v>
                </c:pt>
                <c:pt idx="6">
                  <c:v>0.04</c:v>
                </c:pt>
                <c:pt idx="7">
                  <c:v>0.05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0.09</c:v>
                </c:pt>
                <c:pt idx="12">
                  <c:v>0.1</c:v>
                </c:pt>
                <c:pt idx="13">
                  <c:v>0.19900000000000001</c:v>
                </c:pt>
                <c:pt idx="14">
                  <c:v>0.29899999999999999</c:v>
                </c:pt>
                <c:pt idx="15">
                  <c:v>0.39800000000000002</c:v>
                </c:pt>
                <c:pt idx="16">
                  <c:v>0.498</c:v>
                </c:pt>
                <c:pt idx="17">
                  <c:v>0.60099999999999998</c:v>
                </c:pt>
                <c:pt idx="18">
                  <c:v>0.70099999999999996</c:v>
                </c:pt>
                <c:pt idx="19">
                  <c:v>0.80100000000000005</c:v>
                </c:pt>
                <c:pt idx="20">
                  <c:v>0.90100000000000002</c:v>
                </c:pt>
                <c:pt idx="21">
                  <c:v>1.0009999999999999</c:v>
                </c:pt>
                <c:pt idx="22">
                  <c:v>1.9910000000000001</c:v>
                </c:pt>
                <c:pt idx="23">
                  <c:v>2.9910000000000001</c:v>
                </c:pt>
                <c:pt idx="24">
                  <c:v>3.9809999999999999</c:v>
                </c:pt>
                <c:pt idx="25">
                  <c:v>4.9809999999999999</c:v>
                </c:pt>
                <c:pt idx="26">
                  <c:v>5.9710000000000001</c:v>
                </c:pt>
                <c:pt idx="27">
                  <c:v>6.9710000000000001</c:v>
                </c:pt>
                <c:pt idx="28">
                  <c:v>7.9610000000000003</c:v>
                </c:pt>
                <c:pt idx="29">
                  <c:v>8.9610000000000003</c:v>
                </c:pt>
                <c:pt idx="30">
                  <c:v>9.9510000000000005</c:v>
                </c:pt>
                <c:pt idx="31">
                  <c:v>19.900998999999999</c:v>
                </c:pt>
                <c:pt idx="32">
                  <c:v>29.850999999999999</c:v>
                </c:pt>
                <c:pt idx="33">
                  <c:v>39.800998999999997</c:v>
                </c:pt>
                <c:pt idx="34">
                  <c:v>49.750999</c:v>
                </c:pt>
                <c:pt idx="35">
                  <c:v>59.701000000000001</c:v>
                </c:pt>
                <c:pt idx="36">
                  <c:v>69.651000999999994</c:v>
                </c:pt>
                <c:pt idx="37">
                  <c:v>79.600998000000004</c:v>
                </c:pt>
                <c:pt idx="38">
                  <c:v>89.551002999999994</c:v>
                </c:pt>
                <c:pt idx="39">
                  <c:v>99.500998999999993</c:v>
                </c:pt>
                <c:pt idx="40">
                  <c:v>199.00100699999999</c:v>
                </c:pt>
                <c:pt idx="41">
                  <c:v>298.50100700000002</c:v>
                </c:pt>
                <c:pt idx="42">
                  <c:v>398.00100700000002</c:v>
                </c:pt>
                <c:pt idx="43">
                  <c:v>497.50100700000002</c:v>
                </c:pt>
                <c:pt idx="44">
                  <c:v>597.00097700000003</c:v>
                </c:pt>
                <c:pt idx="45">
                  <c:v>696.50097700000003</c:v>
                </c:pt>
                <c:pt idx="46">
                  <c:v>796.00097700000003</c:v>
                </c:pt>
                <c:pt idx="47">
                  <c:v>895.50097700000003</c:v>
                </c:pt>
                <c:pt idx="48">
                  <c:v>975.091003</c:v>
                </c:pt>
              </c:numCache>
            </c:numRef>
          </c:xVal>
          <c:yVal>
            <c:numRef>
              <c:f>'Test Data'!$B$2:$B$50</c:f>
              <c:numCache>
                <c:formatCode>0.000</c:formatCode>
                <c:ptCount val="49"/>
                <c:pt idx="0">
                  <c:v>1</c:v>
                </c:pt>
                <c:pt idx="1">
                  <c:v>0.86056338028169022</c:v>
                </c:pt>
                <c:pt idx="2">
                  <c:v>0.81971830985915495</c:v>
                </c:pt>
                <c:pt idx="3">
                  <c:v>0.73239436619718312</c:v>
                </c:pt>
                <c:pt idx="4">
                  <c:v>0.69668521126760563</c:v>
                </c:pt>
                <c:pt idx="5">
                  <c:v>0.67354084507042256</c:v>
                </c:pt>
                <c:pt idx="6">
                  <c:v>0.66069647887323946</c:v>
                </c:pt>
                <c:pt idx="7">
                  <c:v>0.65020633802816907</c:v>
                </c:pt>
                <c:pt idx="8">
                  <c:v>0.64083802816901414</c:v>
                </c:pt>
                <c:pt idx="9">
                  <c:v>0.63391478873239437</c:v>
                </c:pt>
                <c:pt idx="10">
                  <c:v>0.6277563380281691</c:v>
                </c:pt>
                <c:pt idx="11">
                  <c:v>0.62237112676056339</c:v>
                </c:pt>
                <c:pt idx="12">
                  <c:v>0.61768098591549292</c:v>
                </c:pt>
                <c:pt idx="13">
                  <c:v>0.58761056338028173</c:v>
                </c:pt>
                <c:pt idx="14">
                  <c:v>0.57041478873239437</c:v>
                </c:pt>
                <c:pt idx="15">
                  <c:v>0.55876690140845076</c:v>
                </c:pt>
                <c:pt idx="16">
                  <c:v>0.55000211267605637</c:v>
                </c:pt>
                <c:pt idx="17">
                  <c:v>0.54238380281690146</c:v>
                </c:pt>
                <c:pt idx="18">
                  <c:v>0.53650422535211262</c:v>
                </c:pt>
                <c:pt idx="19">
                  <c:v>0.53135563380281692</c:v>
                </c:pt>
                <c:pt idx="20">
                  <c:v>0.52711901408450701</c:v>
                </c:pt>
                <c:pt idx="21">
                  <c:v>0.52330633802816906</c:v>
                </c:pt>
                <c:pt idx="22">
                  <c:v>0.49841126760563387</c:v>
                </c:pt>
                <c:pt idx="23">
                  <c:v>0.48507253521126764</c:v>
                </c:pt>
                <c:pt idx="24">
                  <c:v>0.47588169014084508</c:v>
                </c:pt>
                <c:pt idx="25">
                  <c:v>0.46898591549295776</c:v>
                </c:pt>
                <c:pt idx="26">
                  <c:v>0.46321760563380288</c:v>
                </c:pt>
                <c:pt idx="27">
                  <c:v>0.45878450704225354</c:v>
                </c:pt>
                <c:pt idx="28">
                  <c:v>0.45488028169014089</c:v>
                </c:pt>
                <c:pt idx="29">
                  <c:v>0.45142464788732395</c:v>
                </c:pt>
                <c:pt idx="30">
                  <c:v>0.44831478873239439</c:v>
                </c:pt>
                <c:pt idx="31">
                  <c:v>0.42861267605633807</c:v>
                </c:pt>
                <c:pt idx="32">
                  <c:v>0.41765845070422536</c:v>
                </c:pt>
                <c:pt idx="33">
                  <c:v>0.41028732394366202</c:v>
                </c:pt>
                <c:pt idx="34">
                  <c:v>0.40485704225352115</c:v>
                </c:pt>
                <c:pt idx="35">
                  <c:v>0.40037746478873243</c:v>
                </c:pt>
                <c:pt idx="36">
                  <c:v>0.39653802816901412</c:v>
                </c:pt>
                <c:pt idx="37">
                  <c:v>0.39352253521126762</c:v>
                </c:pt>
                <c:pt idx="38">
                  <c:v>0.3906992957746479</c:v>
                </c:pt>
                <c:pt idx="39">
                  <c:v>0.38822112676056342</c:v>
                </c:pt>
                <c:pt idx="40">
                  <c:v>0.3730647887323944</c:v>
                </c:pt>
                <c:pt idx="41">
                  <c:v>0.36397042253521128</c:v>
                </c:pt>
                <c:pt idx="42">
                  <c:v>0.35804718309859151</c:v>
                </c:pt>
                <c:pt idx="43">
                  <c:v>0.35306267605633807</c:v>
                </c:pt>
                <c:pt idx="44">
                  <c:v>0.34914718309859155</c:v>
                </c:pt>
                <c:pt idx="45">
                  <c:v>0.34568239436619719</c:v>
                </c:pt>
                <c:pt idx="46">
                  <c:v>0.34264929577464792</c:v>
                </c:pt>
                <c:pt idx="47">
                  <c:v>0.34015140845070424</c:v>
                </c:pt>
                <c:pt idx="48">
                  <c:v>0.33826478873239435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10208"/>
        <c:axId val="190512512"/>
      </c:scatterChart>
      <c:valAx>
        <c:axId val="190510208"/>
        <c:scaling>
          <c:logBase val="10"/>
          <c:orientation val="minMax"/>
          <c:min val="1E-4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(secs)</a:t>
                </a:r>
              </a:p>
            </c:rich>
          </c:tx>
          <c:layout>
            <c:manualLayout>
              <c:xMode val="edge"/>
              <c:yMode val="edge"/>
              <c:x val="0.45514950166112955"/>
              <c:y val="0.9047640097619376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0512512"/>
        <c:crosses val="autoZero"/>
        <c:crossBetween val="midCat"/>
      </c:valAx>
      <c:valAx>
        <c:axId val="190512512"/>
        <c:scaling>
          <c:orientation val="minMax"/>
          <c:max val="1"/>
          <c:min val="0.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Normalized Stress</a:t>
                </a:r>
              </a:p>
            </c:rich>
          </c:tx>
          <c:layout>
            <c:manualLayout>
              <c:xMode val="edge"/>
              <c:yMode val="edge"/>
              <c:x val="2.823920265780731E-2"/>
              <c:y val="0.29824640341010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05102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067552602436322"/>
          <c:y val="0.6399347449989804"/>
          <c:w val="0.2718715393133998"/>
          <c:h val="0.14452824975825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63455149501661"/>
          <c:y val="6.5163066756409468E-2"/>
          <c:w val="0.81561461794019929"/>
          <c:h val="0.78864010419750163"/>
        </c:manualLayout>
      </c:layout>
      <c:scatterChart>
        <c:scatterStyle val="lineMarker"/>
        <c:varyColors val="0"/>
        <c:ser>
          <c:idx val="0"/>
          <c:order val="0"/>
          <c:tx>
            <c:v>Prony Series Relaxation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'Prony Representation w 7 terms'!$B$13:$B$52</c:f>
              <c:numCache>
                <c:formatCode>0.0E+00</c:formatCode>
                <c:ptCount val="40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1E-4</c:v>
                </c:pt>
                <c:pt idx="4">
                  <c:v>2.0000000000000001E-4</c:v>
                </c:pt>
                <c:pt idx="5">
                  <c:v>2.9999999999999997E-4</c:v>
                </c:pt>
                <c:pt idx="6">
                  <c:v>1E-3</c:v>
                </c:pt>
                <c:pt idx="7">
                  <c:v>2E-3</c:v>
                </c:pt>
                <c:pt idx="8">
                  <c:v>3.0000000000000001E-3</c:v>
                </c:pt>
                <c:pt idx="9">
                  <c:v>4.0000000000000001E-3</c:v>
                </c:pt>
                <c:pt idx="10">
                  <c:v>5.0000000000000001E-3</c:v>
                </c:pt>
                <c:pt idx="11">
                  <c:v>6.3E-3</c:v>
                </c:pt>
                <c:pt idx="12">
                  <c:v>7.4999999999999997E-3</c:v>
                </c:pt>
                <c:pt idx="13">
                  <c:v>0.01</c:v>
                </c:pt>
                <c:pt idx="14">
                  <c:v>0.02</c:v>
                </c:pt>
                <c:pt idx="15">
                  <c:v>0.03</c:v>
                </c:pt>
                <c:pt idx="16">
                  <c:v>0.04</c:v>
                </c:pt>
                <c:pt idx="17">
                  <c:v>0.05</c:v>
                </c:pt>
                <c:pt idx="18">
                  <c:v>0.06</c:v>
                </c:pt>
                <c:pt idx="19">
                  <c:v>0.1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10</c:v>
                </c:pt>
                <c:pt idx="32">
                  <c:v>20</c:v>
                </c:pt>
                <c:pt idx="33">
                  <c:v>30</c:v>
                </c:pt>
                <c:pt idx="34">
                  <c:v>40</c:v>
                </c:pt>
                <c:pt idx="35">
                  <c:v>50</c:v>
                </c:pt>
                <c:pt idx="36">
                  <c:v>60</c:v>
                </c:pt>
                <c:pt idx="37">
                  <c:v>100</c:v>
                </c:pt>
                <c:pt idx="38">
                  <c:v>1000</c:v>
                </c:pt>
                <c:pt idx="39">
                  <c:v>10000</c:v>
                </c:pt>
              </c:numCache>
            </c:numRef>
          </c:xVal>
          <c:yVal>
            <c:numRef>
              <c:f>'Prony Representation w 7 terms'!$L$13:$L$52</c:f>
              <c:numCache>
                <c:formatCode>0.00E+00</c:formatCode>
                <c:ptCount val="40"/>
                <c:pt idx="0">
                  <c:v>0.99799996478521036</c:v>
                </c:pt>
                <c:pt idx="1">
                  <c:v>0.99601882682515974</c:v>
                </c:pt>
                <c:pt idx="2">
                  <c:v>0.99405639887105868</c:v>
                </c:pt>
                <c:pt idx="3">
                  <c:v>0.98082794094900161</c:v>
                </c:pt>
                <c:pt idx="4">
                  <c:v>0.96338505387368778</c:v>
                </c:pt>
                <c:pt idx="5">
                  <c:v>0.94750752544156835</c:v>
                </c:pt>
                <c:pt idx="6">
                  <c:v>0.86936127914948191</c:v>
                </c:pt>
                <c:pt idx="7">
                  <c:v>0.8154328044991126</c:v>
                </c:pt>
                <c:pt idx="8">
                  <c:v>0.79015831102650669</c:v>
                </c:pt>
                <c:pt idx="9">
                  <c:v>0.77582277317481751</c:v>
                </c:pt>
                <c:pt idx="10">
                  <c:v>0.76587614350241473</c:v>
                </c:pt>
                <c:pt idx="11">
                  <c:v>0.75570185070801754</c:v>
                </c:pt>
                <c:pt idx="12">
                  <c:v>0.74767713672942215</c:v>
                </c:pt>
                <c:pt idx="13">
                  <c:v>0.73337871178893643</c:v>
                </c:pt>
                <c:pt idx="14">
                  <c:v>0.69536778191952053</c:v>
                </c:pt>
                <c:pt idx="15">
                  <c:v>0.67396699780403013</c:v>
                </c:pt>
                <c:pt idx="16">
                  <c:v>0.66001981721726066</c:v>
                </c:pt>
                <c:pt idx="17">
                  <c:v>0.64968628668165485</c:v>
                </c:pt>
                <c:pt idx="18">
                  <c:v>0.64131937600747813</c:v>
                </c:pt>
                <c:pt idx="19">
                  <c:v>0.61733333769687282</c:v>
                </c:pt>
                <c:pt idx="20">
                  <c:v>0.58589902505551983</c:v>
                </c:pt>
                <c:pt idx="21">
                  <c:v>0.56984493922789414</c:v>
                </c:pt>
                <c:pt idx="22">
                  <c:v>0.55887866143081744</c:v>
                </c:pt>
                <c:pt idx="23">
                  <c:v>0.55016343038007731</c:v>
                </c:pt>
                <c:pt idx="24">
                  <c:v>0.54281774957420981</c:v>
                </c:pt>
                <c:pt idx="25">
                  <c:v>0.52192682212089769</c:v>
                </c:pt>
                <c:pt idx="26">
                  <c:v>0.4972097333061325</c:v>
                </c:pt>
                <c:pt idx="27">
                  <c:v>0.48490555622269993</c:v>
                </c:pt>
                <c:pt idx="28">
                  <c:v>0.47612547922928794</c:v>
                </c:pt>
                <c:pt idx="29">
                  <c:v>0.46905616513299164</c:v>
                </c:pt>
                <c:pt idx="30">
                  <c:v>0.46316706721033851</c:v>
                </c:pt>
                <c:pt idx="31">
                  <c:v>0.44712896879746211</c:v>
                </c:pt>
                <c:pt idx="32">
                  <c:v>0.42850255102148982</c:v>
                </c:pt>
                <c:pt idx="33">
                  <c:v>0.41818948696664748</c:v>
                </c:pt>
                <c:pt idx="34">
                  <c:v>0.41056504583482378</c:v>
                </c:pt>
                <c:pt idx="35">
                  <c:v>0.40458487917768082</c:v>
                </c:pt>
                <c:pt idx="36">
                  <c:v>0.39979973469357333</c:v>
                </c:pt>
                <c:pt idx="37">
                  <c:v>0.38766566585179241</c:v>
                </c:pt>
                <c:pt idx="38">
                  <c:v>0.3383888951137477</c:v>
                </c:pt>
                <c:pt idx="39">
                  <c:v>0.33250970000196389</c:v>
                </c:pt>
              </c:numCache>
            </c:numRef>
          </c:yVal>
          <c:smooth val="0"/>
        </c:ser>
        <c:ser>
          <c:idx val="2"/>
          <c:order val="1"/>
          <c:tx>
            <c:v>Relaxation Test Data</c:v>
          </c:tx>
          <c:spPr>
            <a:ln w="28575">
              <a:noFill/>
            </a:ln>
          </c:spPr>
          <c:marker>
            <c:symbol val="triangle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'Test Data'!$A$2:$A$50</c:f>
              <c:numCache>
                <c:formatCode>0.0000</c:formatCode>
                <c:ptCount val="49"/>
                <c:pt idx="0">
                  <c:v>1E-4</c:v>
                </c:pt>
                <c:pt idx="1">
                  <c:v>1E-3</c:v>
                </c:pt>
                <c:pt idx="2">
                  <c:v>2E-3</c:v>
                </c:pt>
                <c:pt idx="3">
                  <c:v>0.01</c:v>
                </c:pt>
                <c:pt idx="4">
                  <c:v>0.02</c:v>
                </c:pt>
                <c:pt idx="5">
                  <c:v>0.03</c:v>
                </c:pt>
                <c:pt idx="6">
                  <c:v>0.04</c:v>
                </c:pt>
                <c:pt idx="7">
                  <c:v>0.05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0.09</c:v>
                </c:pt>
                <c:pt idx="12">
                  <c:v>0.1</c:v>
                </c:pt>
                <c:pt idx="13">
                  <c:v>0.19900000000000001</c:v>
                </c:pt>
                <c:pt idx="14">
                  <c:v>0.29899999999999999</c:v>
                </c:pt>
                <c:pt idx="15">
                  <c:v>0.39800000000000002</c:v>
                </c:pt>
                <c:pt idx="16">
                  <c:v>0.498</c:v>
                </c:pt>
                <c:pt idx="17">
                  <c:v>0.60099999999999998</c:v>
                </c:pt>
                <c:pt idx="18">
                  <c:v>0.70099999999999996</c:v>
                </c:pt>
                <c:pt idx="19">
                  <c:v>0.80100000000000005</c:v>
                </c:pt>
                <c:pt idx="20">
                  <c:v>0.90100000000000002</c:v>
                </c:pt>
                <c:pt idx="21">
                  <c:v>1.0009999999999999</c:v>
                </c:pt>
                <c:pt idx="22">
                  <c:v>1.9910000000000001</c:v>
                </c:pt>
                <c:pt idx="23">
                  <c:v>2.9910000000000001</c:v>
                </c:pt>
                <c:pt idx="24">
                  <c:v>3.9809999999999999</c:v>
                </c:pt>
                <c:pt idx="25">
                  <c:v>4.9809999999999999</c:v>
                </c:pt>
                <c:pt idx="26">
                  <c:v>5.9710000000000001</c:v>
                </c:pt>
                <c:pt idx="27">
                  <c:v>6.9710000000000001</c:v>
                </c:pt>
                <c:pt idx="28">
                  <c:v>7.9610000000000003</c:v>
                </c:pt>
                <c:pt idx="29">
                  <c:v>8.9610000000000003</c:v>
                </c:pt>
                <c:pt idx="30">
                  <c:v>9.9510000000000005</c:v>
                </c:pt>
                <c:pt idx="31">
                  <c:v>19.900998999999999</c:v>
                </c:pt>
                <c:pt idx="32">
                  <c:v>29.850999999999999</c:v>
                </c:pt>
                <c:pt idx="33">
                  <c:v>39.800998999999997</c:v>
                </c:pt>
                <c:pt idx="34">
                  <c:v>49.750999</c:v>
                </c:pt>
                <c:pt idx="35">
                  <c:v>59.701000000000001</c:v>
                </c:pt>
                <c:pt idx="36">
                  <c:v>69.651000999999994</c:v>
                </c:pt>
                <c:pt idx="37">
                  <c:v>79.600998000000004</c:v>
                </c:pt>
                <c:pt idx="38">
                  <c:v>89.551002999999994</c:v>
                </c:pt>
                <c:pt idx="39">
                  <c:v>99.500998999999993</c:v>
                </c:pt>
                <c:pt idx="40">
                  <c:v>199.00100699999999</c:v>
                </c:pt>
                <c:pt idx="41">
                  <c:v>298.50100700000002</c:v>
                </c:pt>
                <c:pt idx="42">
                  <c:v>398.00100700000002</c:v>
                </c:pt>
                <c:pt idx="43">
                  <c:v>497.50100700000002</c:v>
                </c:pt>
                <c:pt idx="44">
                  <c:v>597.00097700000003</c:v>
                </c:pt>
                <c:pt idx="45">
                  <c:v>696.50097700000003</c:v>
                </c:pt>
                <c:pt idx="46">
                  <c:v>796.00097700000003</c:v>
                </c:pt>
                <c:pt idx="47">
                  <c:v>895.50097700000003</c:v>
                </c:pt>
                <c:pt idx="48">
                  <c:v>975.091003</c:v>
                </c:pt>
              </c:numCache>
            </c:numRef>
          </c:xVal>
          <c:yVal>
            <c:numRef>
              <c:f>'Test Data'!$B$2:$B$50</c:f>
              <c:numCache>
                <c:formatCode>0.000</c:formatCode>
                <c:ptCount val="49"/>
                <c:pt idx="0">
                  <c:v>1</c:v>
                </c:pt>
                <c:pt idx="1">
                  <c:v>0.86056338028169022</c:v>
                </c:pt>
                <c:pt idx="2">
                  <c:v>0.81971830985915495</c:v>
                </c:pt>
                <c:pt idx="3">
                  <c:v>0.73239436619718312</c:v>
                </c:pt>
                <c:pt idx="4">
                  <c:v>0.69668521126760563</c:v>
                </c:pt>
                <c:pt idx="5">
                  <c:v>0.67354084507042256</c:v>
                </c:pt>
                <c:pt idx="6">
                  <c:v>0.66069647887323946</c:v>
                </c:pt>
                <c:pt idx="7">
                  <c:v>0.65020633802816907</c:v>
                </c:pt>
                <c:pt idx="8">
                  <c:v>0.64083802816901414</c:v>
                </c:pt>
                <c:pt idx="9">
                  <c:v>0.63391478873239437</c:v>
                </c:pt>
                <c:pt idx="10">
                  <c:v>0.6277563380281691</c:v>
                </c:pt>
                <c:pt idx="11">
                  <c:v>0.62237112676056339</c:v>
                </c:pt>
                <c:pt idx="12">
                  <c:v>0.61768098591549292</c:v>
                </c:pt>
                <c:pt idx="13">
                  <c:v>0.58761056338028173</c:v>
                </c:pt>
                <c:pt idx="14">
                  <c:v>0.57041478873239437</c:v>
                </c:pt>
                <c:pt idx="15">
                  <c:v>0.55876690140845076</c:v>
                </c:pt>
                <c:pt idx="16">
                  <c:v>0.55000211267605637</c:v>
                </c:pt>
                <c:pt idx="17">
                  <c:v>0.54238380281690146</c:v>
                </c:pt>
                <c:pt idx="18">
                  <c:v>0.53650422535211262</c:v>
                </c:pt>
                <c:pt idx="19">
                  <c:v>0.53135563380281692</c:v>
                </c:pt>
                <c:pt idx="20">
                  <c:v>0.52711901408450701</c:v>
                </c:pt>
                <c:pt idx="21">
                  <c:v>0.52330633802816906</c:v>
                </c:pt>
                <c:pt idx="22">
                  <c:v>0.49841126760563387</c:v>
                </c:pt>
                <c:pt idx="23">
                  <c:v>0.48507253521126764</c:v>
                </c:pt>
                <c:pt idx="24">
                  <c:v>0.47588169014084508</c:v>
                </c:pt>
                <c:pt idx="25">
                  <c:v>0.46898591549295776</c:v>
                </c:pt>
                <c:pt idx="26">
                  <c:v>0.46321760563380288</c:v>
                </c:pt>
                <c:pt idx="27">
                  <c:v>0.45878450704225354</c:v>
                </c:pt>
                <c:pt idx="28">
                  <c:v>0.45488028169014089</c:v>
                </c:pt>
                <c:pt idx="29">
                  <c:v>0.45142464788732395</c:v>
                </c:pt>
                <c:pt idx="30">
                  <c:v>0.44831478873239439</c:v>
                </c:pt>
                <c:pt idx="31">
                  <c:v>0.42861267605633807</c:v>
                </c:pt>
                <c:pt idx="32">
                  <c:v>0.41765845070422536</c:v>
                </c:pt>
                <c:pt idx="33">
                  <c:v>0.41028732394366202</c:v>
                </c:pt>
                <c:pt idx="34">
                  <c:v>0.40485704225352115</c:v>
                </c:pt>
                <c:pt idx="35">
                  <c:v>0.40037746478873243</c:v>
                </c:pt>
                <c:pt idx="36">
                  <c:v>0.39653802816901412</c:v>
                </c:pt>
                <c:pt idx="37">
                  <c:v>0.39352253521126762</c:v>
                </c:pt>
                <c:pt idx="38">
                  <c:v>0.3906992957746479</c:v>
                </c:pt>
                <c:pt idx="39">
                  <c:v>0.38822112676056342</c:v>
                </c:pt>
                <c:pt idx="40">
                  <c:v>0.3730647887323944</c:v>
                </c:pt>
                <c:pt idx="41">
                  <c:v>0.36397042253521128</c:v>
                </c:pt>
                <c:pt idx="42">
                  <c:v>0.35804718309859151</c:v>
                </c:pt>
                <c:pt idx="43">
                  <c:v>0.35306267605633807</c:v>
                </c:pt>
                <c:pt idx="44">
                  <c:v>0.34914718309859155</c:v>
                </c:pt>
                <c:pt idx="45">
                  <c:v>0.34568239436619719</c:v>
                </c:pt>
                <c:pt idx="46">
                  <c:v>0.34264929577464792</c:v>
                </c:pt>
                <c:pt idx="47">
                  <c:v>0.34015140845070424</c:v>
                </c:pt>
                <c:pt idx="48">
                  <c:v>0.33826478873239435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56800"/>
        <c:axId val="190158720"/>
      </c:scatterChart>
      <c:valAx>
        <c:axId val="190156800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(secs)</a:t>
                </a:r>
              </a:p>
            </c:rich>
          </c:tx>
          <c:layout>
            <c:manualLayout>
              <c:xMode val="edge"/>
              <c:yMode val="edge"/>
              <c:x val="0.45514950166112955"/>
              <c:y val="0.914789072418579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0158720"/>
        <c:crosses val="autoZero"/>
        <c:crossBetween val="midCat"/>
      </c:valAx>
      <c:valAx>
        <c:axId val="190158720"/>
        <c:scaling>
          <c:orientation val="minMax"/>
          <c:max val="1"/>
          <c:min val="0.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Normalized Stress</a:t>
                </a:r>
              </a:p>
            </c:rich>
          </c:tx>
          <c:layout>
            <c:manualLayout>
              <c:xMode val="edge"/>
              <c:yMode val="edge"/>
              <c:x val="1.7165005537098561E-2"/>
              <c:y val="0.29824640341010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015680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693244739756367"/>
          <c:y val="0.1720984876890389"/>
          <c:w val="0.31838316722037652"/>
          <c:h val="0.151211624862681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Scroll" dx="15" fmlaLink="$H$8" horiz="1" max="6" page="0" val="0"/>
</file>

<file path=xl/ctrlProps/ctrlProp2.xml><?xml version="1.0" encoding="utf-8"?>
<formControlPr xmlns="http://schemas.microsoft.com/office/spreadsheetml/2009/9/main" objectType="Scroll" dx="15" fmlaLink="$L$2" horiz="1" max="6" page="0" val="0"/>
</file>

<file path=xl/ctrlProps/ctrlProp3.xml><?xml version="1.0" encoding="utf-8"?>
<formControlPr xmlns="http://schemas.microsoft.com/office/spreadsheetml/2009/9/main" objectType="Scroll" dx="15" fmlaLink="$E$2" horiz="1" max="20" page="2" val="19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15</xdr:col>
      <xdr:colOff>17982</xdr:colOff>
      <xdr:row>37</xdr:row>
      <xdr:rowOff>75483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23850"/>
          <a:ext cx="8552382" cy="574285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85725</xdr:colOff>
          <xdr:row>40</xdr:row>
          <xdr:rowOff>142875</xdr:rowOff>
        </xdr:from>
        <xdr:to>
          <xdr:col>10</xdr:col>
          <xdr:colOff>600075</xdr:colOff>
          <xdr:row>46</xdr:row>
          <xdr:rowOff>152400</xdr:rowOff>
        </xdr:to>
        <xdr:sp macro="" textlink="">
          <xdr:nvSpPr>
            <xdr:cNvPr id="21505" name="Object 4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19050</xdr:rowOff>
    </xdr:from>
    <xdr:to>
      <xdr:col>12</xdr:col>
      <xdr:colOff>152400</xdr:colOff>
      <xdr:row>22</xdr:row>
      <xdr:rowOff>104775</xdr:rowOff>
    </xdr:to>
    <xdr:graphicFrame macro="">
      <xdr:nvGraphicFramePr>
        <xdr:cNvPr id="112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</xdr:colOff>
      <xdr:row>23</xdr:row>
      <xdr:rowOff>114300</xdr:rowOff>
    </xdr:from>
    <xdr:to>
      <xdr:col>12</xdr:col>
      <xdr:colOff>142875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29</xdr:row>
      <xdr:rowOff>28575</xdr:rowOff>
    </xdr:from>
    <xdr:to>
      <xdr:col>17</xdr:col>
      <xdr:colOff>180975</xdr:colOff>
      <xdr:row>52</xdr:row>
      <xdr:rowOff>104775</xdr:rowOff>
    </xdr:to>
    <xdr:graphicFrame macro="">
      <xdr:nvGraphicFramePr>
        <xdr:cNvPr id="1945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52386</xdr:colOff>
      <xdr:row>1</xdr:row>
      <xdr:rowOff>66674</xdr:rowOff>
    </xdr:from>
    <xdr:to>
      <xdr:col>20</xdr:col>
      <xdr:colOff>466725</xdr:colOff>
      <xdr:row>28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6</xdr:row>
          <xdr:rowOff>152400</xdr:rowOff>
        </xdr:from>
        <xdr:to>
          <xdr:col>7</xdr:col>
          <xdr:colOff>0</xdr:colOff>
          <xdr:row>8</xdr:row>
          <xdr:rowOff>9525</xdr:rowOff>
        </xdr:to>
        <xdr:sp macro="" textlink="">
          <xdr:nvSpPr>
            <xdr:cNvPr id="19466" name="Scroll Bar 10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285750</xdr:colOff>
          <xdr:row>1</xdr:row>
          <xdr:rowOff>9525</xdr:rowOff>
        </xdr:from>
        <xdr:to>
          <xdr:col>4</xdr:col>
          <xdr:colOff>485775</xdr:colOff>
          <xdr:row>4</xdr:row>
          <xdr:rowOff>152400</xdr:rowOff>
        </xdr:to>
        <xdr:sp macro="" textlink="">
          <xdr:nvSpPr>
            <xdr:cNvPr id="19467" name="Object 4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247650</xdr:colOff>
      <xdr:row>1</xdr:row>
      <xdr:rowOff>76200</xdr:rowOff>
    </xdr:from>
    <xdr:to>
      <xdr:col>20</xdr:col>
      <xdr:colOff>666750</xdr:colOff>
      <xdr:row>25</xdr:row>
      <xdr:rowOff>152400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</xdr:row>
          <xdr:rowOff>0</xdr:rowOff>
        </xdr:from>
        <xdr:to>
          <xdr:col>11</xdr:col>
          <xdr:colOff>85725</xdr:colOff>
          <xdr:row>2</xdr:row>
          <xdr:rowOff>0</xdr:rowOff>
        </xdr:to>
        <xdr:sp macro="" textlink="">
          <xdr:nvSpPr>
            <xdr:cNvPr id="20481" name="Scroll Bar 1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0</xdr:row>
          <xdr:rowOff>152400</xdr:rowOff>
        </xdr:from>
        <xdr:to>
          <xdr:col>4</xdr:col>
          <xdr:colOff>438150</xdr:colOff>
          <xdr:row>2</xdr:row>
          <xdr:rowOff>9525</xdr:rowOff>
        </xdr:to>
        <xdr:sp macro="" textlink="">
          <xdr:nvSpPr>
            <xdr:cNvPr id="20482" name="Scroll Bar 2" hidden="1">
              <a:extLst>
                <a:ext uri="{63B3BB69-23CF-44E3-9099-C40C66FF867C}">
                  <a14:compatExt spid="_x0000_s204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12</xdr:col>
      <xdr:colOff>247650</xdr:colOff>
      <xdr:row>27</xdr:row>
      <xdr:rowOff>123825</xdr:rowOff>
    </xdr:from>
    <xdr:to>
      <xdr:col>20</xdr:col>
      <xdr:colOff>666750</xdr:colOff>
      <xdr:row>51</xdr:row>
      <xdr:rowOff>38100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F40"/>
  <sheetViews>
    <sheetView tabSelected="1" workbookViewId="0">
      <selection activeCell="R26" sqref="R26"/>
    </sheetView>
  </sheetViews>
  <sheetFormatPr defaultRowHeight="12.75" x14ac:dyDescent="0.2"/>
  <sheetData>
    <row r="40" spans="6:6" s="26" customFormat="1" ht="19.5" customHeight="1" x14ac:dyDescent="0.35">
      <c r="F40" s="26" t="s">
        <v>32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shapeId="21505" r:id="rId3">
          <objectPr defaultSize="0" autoPict="0" r:id="rId4">
            <anchor moveWithCells="1" sizeWithCells="1">
              <from>
                <xdr:col>4</xdr:col>
                <xdr:colOff>85725</xdr:colOff>
                <xdr:row>40</xdr:row>
                <xdr:rowOff>142875</xdr:rowOff>
              </from>
              <to>
                <xdr:col>10</xdr:col>
                <xdr:colOff>600075</xdr:colOff>
                <xdr:row>46</xdr:row>
                <xdr:rowOff>152400</xdr:rowOff>
              </to>
            </anchor>
          </objectPr>
        </oleObject>
      </mc:Choice>
      <mc:Fallback>
        <oleObject shapeId="2150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activeCell="B2" sqref="B2:B50"/>
    </sheetView>
  </sheetViews>
  <sheetFormatPr defaultRowHeight="12.75" x14ac:dyDescent="0.2"/>
  <cols>
    <col min="1" max="1" width="10.140625" customWidth="1"/>
    <col min="2" max="2" width="10.7109375" customWidth="1"/>
  </cols>
  <sheetData>
    <row r="1" spans="1:2" ht="26.25" customHeight="1" x14ac:dyDescent="0.2">
      <c r="A1" s="27" t="s">
        <v>11</v>
      </c>
      <c r="B1" s="27" t="s">
        <v>12</v>
      </c>
    </row>
    <row r="2" spans="1:2" x14ac:dyDescent="0.2">
      <c r="A2" s="8">
        <v>1E-4</v>
      </c>
      <c r="B2" s="7">
        <v>1</v>
      </c>
    </row>
    <row r="3" spans="1:2" x14ac:dyDescent="0.2">
      <c r="A3" s="8">
        <v>1E-3</v>
      </c>
      <c r="B3" s="7">
        <v>0.86056338028169022</v>
      </c>
    </row>
    <row r="4" spans="1:2" x14ac:dyDescent="0.2">
      <c r="A4" s="8">
        <v>2E-3</v>
      </c>
      <c r="B4" s="7">
        <v>0.81971830985915495</v>
      </c>
    </row>
    <row r="5" spans="1:2" x14ac:dyDescent="0.2">
      <c r="A5" s="8">
        <v>0.01</v>
      </c>
      <c r="B5" s="7">
        <v>0.73239436619718312</v>
      </c>
    </row>
    <row r="6" spans="1:2" x14ac:dyDescent="0.2">
      <c r="A6" s="8">
        <v>0.02</v>
      </c>
      <c r="B6" s="7">
        <v>0.69668521126760563</v>
      </c>
    </row>
    <row r="7" spans="1:2" x14ac:dyDescent="0.2">
      <c r="A7" s="8">
        <v>0.03</v>
      </c>
      <c r="B7" s="7">
        <v>0.67354084507042256</v>
      </c>
    </row>
    <row r="8" spans="1:2" x14ac:dyDescent="0.2">
      <c r="A8" s="8">
        <v>0.04</v>
      </c>
      <c r="B8" s="7">
        <v>0.66069647887323946</v>
      </c>
    </row>
    <row r="9" spans="1:2" x14ac:dyDescent="0.2">
      <c r="A9" s="8">
        <v>0.05</v>
      </c>
      <c r="B9" s="7">
        <v>0.65020633802816907</v>
      </c>
    </row>
    <row r="10" spans="1:2" x14ac:dyDescent="0.2">
      <c r="A10" s="8">
        <v>0.06</v>
      </c>
      <c r="B10" s="7">
        <v>0.64083802816901414</v>
      </c>
    </row>
    <row r="11" spans="1:2" x14ac:dyDescent="0.2">
      <c r="A11" s="8">
        <v>7.0000000000000007E-2</v>
      </c>
      <c r="B11" s="7">
        <v>0.63391478873239437</v>
      </c>
    </row>
    <row r="12" spans="1:2" x14ac:dyDescent="0.2">
      <c r="A12" s="8">
        <v>0.08</v>
      </c>
      <c r="B12" s="7">
        <v>0.6277563380281691</v>
      </c>
    </row>
    <row r="13" spans="1:2" x14ac:dyDescent="0.2">
      <c r="A13" s="8">
        <v>0.09</v>
      </c>
      <c r="B13" s="7">
        <v>0.62237112676056339</v>
      </c>
    </row>
    <row r="14" spans="1:2" x14ac:dyDescent="0.2">
      <c r="A14" s="8">
        <v>0.1</v>
      </c>
      <c r="B14" s="7">
        <v>0.61768098591549292</v>
      </c>
    </row>
    <row r="15" spans="1:2" x14ac:dyDescent="0.2">
      <c r="A15" s="8">
        <v>0.19900000000000001</v>
      </c>
      <c r="B15" s="7">
        <v>0.58761056338028173</v>
      </c>
    </row>
    <row r="16" spans="1:2" x14ac:dyDescent="0.2">
      <c r="A16" s="8">
        <v>0.29899999999999999</v>
      </c>
      <c r="B16" s="7">
        <v>0.57041478873239437</v>
      </c>
    </row>
    <row r="17" spans="1:2" x14ac:dyDescent="0.2">
      <c r="A17" s="8">
        <v>0.39800000000000002</v>
      </c>
      <c r="B17" s="7">
        <v>0.55876690140845076</v>
      </c>
    </row>
    <row r="18" spans="1:2" x14ac:dyDescent="0.2">
      <c r="A18" s="8">
        <v>0.498</v>
      </c>
      <c r="B18" s="7">
        <v>0.55000211267605637</v>
      </c>
    </row>
    <row r="19" spans="1:2" x14ac:dyDescent="0.2">
      <c r="A19" s="8">
        <v>0.60099999999999998</v>
      </c>
      <c r="B19" s="7">
        <v>0.54238380281690146</v>
      </c>
    </row>
    <row r="20" spans="1:2" x14ac:dyDescent="0.2">
      <c r="A20" s="8">
        <v>0.70099999999999996</v>
      </c>
      <c r="B20" s="7">
        <v>0.53650422535211262</v>
      </c>
    </row>
    <row r="21" spans="1:2" x14ac:dyDescent="0.2">
      <c r="A21" s="8">
        <v>0.80100000000000005</v>
      </c>
      <c r="B21" s="7">
        <v>0.53135563380281692</v>
      </c>
    </row>
    <row r="22" spans="1:2" x14ac:dyDescent="0.2">
      <c r="A22" s="8">
        <v>0.90100000000000002</v>
      </c>
      <c r="B22" s="7">
        <v>0.52711901408450701</v>
      </c>
    </row>
    <row r="23" spans="1:2" x14ac:dyDescent="0.2">
      <c r="A23" s="8">
        <v>1.0009999999999999</v>
      </c>
      <c r="B23" s="7">
        <v>0.52330633802816906</v>
      </c>
    </row>
    <row r="24" spans="1:2" x14ac:dyDescent="0.2">
      <c r="A24" s="8">
        <v>1.9910000000000001</v>
      </c>
      <c r="B24" s="7">
        <v>0.49841126760563387</v>
      </c>
    </row>
    <row r="25" spans="1:2" x14ac:dyDescent="0.2">
      <c r="A25" s="8">
        <v>2.9910000000000001</v>
      </c>
      <c r="B25" s="7">
        <v>0.48507253521126764</v>
      </c>
    </row>
    <row r="26" spans="1:2" x14ac:dyDescent="0.2">
      <c r="A26" s="8">
        <v>3.9809999999999999</v>
      </c>
      <c r="B26" s="7">
        <v>0.47588169014084508</v>
      </c>
    </row>
    <row r="27" spans="1:2" x14ac:dyDescent="0.2">
      <c r="A27" s="8">
        <v>4.9809999999999999</v>
      </c>
      <c r="B27" s="7">
        <v>0.46898591549295776</v>
      </c>
    </row>
    <row r="28" spans="1:2" x14ac:dyDescent="0.2">
      <c r="A28" s="8">
        <v>5.9710000000000001</v>
      </c>
      <c r="B28" s="7">
        <v>0.46321760563380288</v>
      </c>
    </row>
    <row r="29" spans="1:2" x14ac:dyDescent="0.2">
      <c r="A29" s="8">
        <v>6.9710000000000001</v>
      </c>
      <c r="B29" s="7">
        <v>0.45878450704225354</v>
      </c>
    </row>
    <row r="30" spans="1:2" x14ac:dyDescent="0.2">
      <c r="A30" s="8">
        <v>7.9610000000000003</v>
      </c>
      <c r="B30" s="7">
        <v>0.45488028169014089</v>
      </c>
    </row>
    <row r="31" spans="1:2" x14ac:dyDescent="0.2">
      <c r="A31" s="8">
        <v>8.9610000000000003</v>
      </c>
      <c r="B31" s="7">
        <v>0.45142464788732395</v>
      </c>
    </row>
    <row r="32" spans="1:2" x14ac:dyDescent="0.2">
      <c r="A32" s="8">
        <v>9.9510000000000005</v>
      </c>
      <c r="B32" s="7">
        <v>0.44831478873239439</v>
      </c>
    </row>
    <row r="33" spans="1:2" x14ac:dyDescent="0.2">
      <c r="A33" s="8">
        <v>19.900998999999999</v>
      </c>
      <c r="B33" s="7">
        <v>0.42861267605633807</v>
      </c>
    </row>
    <row r="34" spans="1:2" x14ac:dyDescent="0.2">
      <c r="A34" s="8">
        <v>29.850999999999999</v>
      </c>
      <c r="B34" s="7">
        <v>0.41765845070422536</v>
      </c>
    </row>
    <row r="35" spans="1:2" x14ac:dyDescent="0.2">
      <c r="A35" s="8">
        <v>39.800998999999997</v>
      </c>
      <c r="B35" s="7">
        <v>0.41028732394366202</v>
      </c>
    </row>
    <row r="36" spans="1:2" x14ac:dyDescent="0.2">
      <c r="A36" s="8">
        <v>49.750999</v>
      </c>
      <c r="B36" s="7">
        <v>0.40485704225352115</v>
      </c>
    </row>
    <row r="37" spans="1:2" x14ac:dyDescent="0.2">
      <c r="A37" s="8">
        <v>59.701000000000001</v>
      </c>
      <c r="B37" s="7">
        <v>0.40037746478873243</v>
      </c>
    </row>
    <row r="38" spans="1:2" x14ac:dyDescent="0.2">
      <c r="A38" s="8">
        <v>69.651000999999994</v>
      </c>
      <c r="B38" s="7">
        <v>0.39653802816901412</v>
      </c>
    </row>
    <row r="39" spans="1:2" x14ac:dyDescent="0.2">
      <c r="A39" s="8">
        <v>79.600998000000004</v>
      </c>
      <c r="B39" s="7">
        <v>0.39352253521126762</v>
      </c>
    </row>
    <row r="40" spans="1:2" x14ac:dyDescent="0.2">
      <c r="A40" s="8">
        <v>89.551002999999994</v>
      </c>
      <c r="B40" s="7">
        <v>0.3906992957746479</v>
      </c>
    </row>
    <row r="41" spans="1:2" x14ac:dyDescent="0.2">
      <c r="A41" s="8">
        <v>99.500998999999993</v>
      </c>
      <c r="B41" s="7">
        <v>0.38822112676056342</v>
      </c>
    </row>
    <row r="42" spans="1:2" x14ac:dyDescent="0.2">
      <c r="A42" s="8">
        <v>199.00100699999999</v>
      </c>
      <c r="B42" s="7">
        <v>0.3730647887323944</v>
      </c>
    </row>
    <row r="43" spans="1:2" x14ac:dyDescent="0.2">
      <c r="A43" s="8">
        <v>298.50100700000002</v>
      </c>
      <c r="B43" s="7">
        <v>0.36397042253521128</v>
      </c>
    </row>
    <row r="44" spans="1:2" x14ac:dyDescent="0.2">
      <c r="A44" s="8">
        <v>398.00100700000002</v>
      </c>
      <c r="B44" s="7">
        <v>0.35804718309859151</v>
      </c>
    </row>
    <row r="45" spans="1:2" x14ac:dyDescent="0.2">
      <c r="A45" s="8">
        <v>497.50100700000002</v>
      </c>
      <c r="B45" s="7">
        <v>0.35306267605633807</v>
      </c>
    </row>
    <row r="46" spans="1:2" x14ac:dyDescent="0.2">
      <c r="A46" s="8">
        <v>597.00097700000003</v>
      </c>
      <c r="B46" s="7">
        <v>0.34914718309859155</v>
      </c>
    </row>
    <row r="47" spans="1:2" x14ac:dyDescent="0.2">
      <c r="A47" s="8">
        <v>696.50097700000003</v>
      </c>
      <c r="B47" s="7">
        <v>0.34568239436619719</v>
      </c>
    </row>
    <row r="48" spans="1:2" x14ac:dyDescent="0.2">
      <c r="A48" s="8">
        <v>796.00097700000003</v>
      </c>
      <c r="B48" s="7">
        <v>0.34264929577464792</v>
      </c>
    </row>
    <row r="49" spans="1:2" x14ac:dyDescent="0.2">
      <c r="A49" s="8">
        <v>895.50097700000003</v>
      </c>
      <c r="B49" s="7">
        <v>0.34015140845070424</v>
      </c>
    </row>
    <row r="50" spans="1:2" x14ac:dyDescent="0.2">
      <c r="A50" s="8">
        <v>975.091003</v>
      </c>
      <c r="B50" s="7">
        <v>0.33826478873239435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A248"/>
  <sheetViews>
    <sheetView workbookViewId="0">
      <selection activeCell="B8" sqref="B8"/>
    </sheetView>
  </sheetViews>
  <sheetFormatPr defaultRowHeight="12.75" x14ac:dyDescent="0.2"/>
  <cols>
    <col min="1" max="1" width="9.85546875" customWidth="1"/>
    <col min="3" max="3" width="8.7109375" customWidth="1"/>
    <col min="4" max="4" width="9.5703125" bestFit="1" customWidth="1"/>
    <col min="11" max="11" width="8.140625" customWidth="1"/>
    <col min="14" max="14" width="12.140625" customWidth="1"/>
    <col min="18" max="18" width="12.7109375" customWidth="1"/>
    <col min="21" max="21" width="11.28515625" customWidth="1"/>
    <col min="24" max="24" width="9.5703125" customWidth="1"/>
  </cols>
  <sheetData>
    <row r="2" spans="1:27" x14ac:dyDescent="0.2">
      <c r="A2" s="6"/>
      <c r="C2" s="6"/>
      <c r="K2" s="11"/>
      <c r="L2" s="11"/>
      <c r="N2" s="6"/>
      <c r="O2" s="6"/>
    </row>
    <row r="3" spans="1:27" x14ac:dyDescent="0.2">
      <c r="A3" s="6"/>
      <c r="C3" s="6"/>
      <c r="K3" s="11"/>
      <c r="L3" s="11"/>
      <c r="N3" s="6"/>
      <c r="O3" s="6"/>
    </row>
    <row r="4" spans="1:27" x14ac:dyDescent="0.2">
      <c r="C4" s="6"/>
    </row>
    <row r="5" spans="1:27" ht="15" customHeight="1" x14ac:dyDescent="0.2">
      <c r="C5" s="6"/>
      <c r="O5" s="6"/>
    </row>
    <row r="6" spans="1:27" ht="15" customHeight="1" x14ac:dyDescent="0.3">
      <c r="B6" s="9" t="s">
        <v>31</v>
      </c>
      <c r="C6" s="6"/>
      <c r="O6" s="6"/>
    </row>
    <row r="7" spans="1:27" x14ac:dyDescent="0.2">
      <c r="C7" s="6"/>
      <c r="Z7" s="6"/>
    </row>
    <row r="8" spans="1:27" x14ac:dyDescent="0.2">
      <c r="A8" s="24" t="s">
        <v>19</v>
      </c>
      <c r="B8" s="3">
        <v>0.2</v>
      </c>
      <c r="C8" s="10" t="s">
        <v>0</v>
      </c>
      <c r="D8" s="1">
        <f>10^(H8-3)</f>
        <v>1E-3</v>
      </c>
      <c r="H8" s="13">
        <v>0</v>
      </c>
      <c r="I8">
        <f>Tau_1</f>
        <v>1E-3</v>
      </c>
      <c r="J8" s="1">
        <v>0.6</v>
      </c>
      <c r="Z8" s="6"/>
    </row>
    <row r="9" spans="1:27" x14ac:dyDescent="0.2">
      <c r="A9" s="24" t="s">
        <v>20</v>
      </c>
      <c r="B9" s="3">
        <v>0</v>
      </c>
      <c r="C9" s="10" t="s">
        <v>1</v>
      </c>
      <c r="D9" s="1">
        <v>0.01</v>
      </c>
      <c r="F9" s="9"/>
      <c r="I9">
        <f>Tau_1</f>
        <v>1E-3</v>
      </c>
      <c r="J9" s="1">
        <v>1</v>
      </c>
      <c r="Z9" s="6"/>
    </row>
    <row r="10" spans="1:27" x14ac:dyDescent="0.2">
      <c r="A10" s="24" t="s">
        <v>21</v>
      </c>
      <c r="B10" s="3">
        <v>0</v>
      </c>
      <c r="C10" s="10" t="s">
        <v>2</v>
      </c>
      <c r="D10" s="1">
        <v>0.1</v>
      </c>
      <c r="F10" s="9"/>
      <c r="J10" s="1"/>
      <c r="Z10" s="6"/>
    </row>
    <row r="11" spans="1:27" x14ac:dyDescent="0.2">
      <c r="A11" s="24" t="s">
        <v>22</v>
      </c>
      <c r="B11" s="3">
        <v>0</v>
      </c>
      <c r="C11" s="10" t="s">
        <v>3</v>
      </c>
      <c r="D11" s="2">
        <v>1</v>
      </c>
      <c r="F11" s="9"/>
      <c r="J11" s="1"/>
      <c r="Z11" s="6"/>
    </row>
    <row r="12" spans="1:27" x14ac:dyDescent="0.2">
      <c r="A12" s="24" t="s">
        <v>23</v>
      </c>
      <c r="B12" s="3">
        <v>0</v>
      </c>
      <c r="C12" s="10" t="s">
        <v>4</v>
      </c>
      <c r="D12" s="2">
        <v>10</v>
      </c>
      <c r="F12" s="9"/>
      <c r="J12" s="1"/>
      <c r="Z12" s="6"/>
      <c r="AA12" s="6"/>
    </row>
    <row r="13" spans="1:27" x14ac:dyDescent="0.2">
      <c r="A13" s="24" t="s">
        <v>24</v>
      </c>
      <c r="B13" s="3">
        <v>0</v>
      </c>
      <c r="C13" s="10" t="s">
        <v>9</v>
      </c>
      <c r="D13" s="2">
        <v>100</v>
      </c>
      <c r="F13" s="9"/>
      <c r="J13" s="1"/>
      <c r="Z13" s="6"/>
      <c r="AA13" s="6"/>
    </row>
    <row r="14" spans="1:27" x14ac:dyDescent="0.2">
      <c r="A14" s="24" t="s">
        <v>25</v>
      </c>
      <c r="B14" s="3">
        <v>0</v>
      </c>
      <c r="C14" s="10" t="s">
        <v>8</v>
      </c>
      <c r="D14" s="2">
        <v>1000</v>
      </c>
      <c r="J14" s="1"/>
      <c r="Z14" s="6"/>
      <c r="AA14" s="6"/>
    </row>
    <row r="15" spans="1:27" x14ac:dyDescent="0.2">
      <c r="B15" s="1"/>
      <c r="D15" s="2"/>
      <c r="J15" s="1"/>
      <c r="Z15" s="6"/>
      <c r="AA15" s="6"/>
    </row>
    <row r="16" spans="1:27" x14ac:dyDescent="0.2">
      <c r="A16" s="12" t="s">
        <v>10</v>
      </c>
      <c r="B16" s="7">
        <f>SUM(B8:B14)</f>
        <v>0.2</v>
      </c>
      <c r="Z16" s="6"/>
      <c r="AA16" s="6"/>
    </row>
    <row r="17" spans="2:27" x14ac:dyDescent="0.2">
      <c r="B17" s="7"/>
      <c r="Z17" s="6"/>
      <c r="AA17" s="6"/>
    </row>
    <row r="18" spans="2:27" x14ac:dyDescent="0.2">
      <c r="B18" s="3" t="s">
        <v>5</v>
      </c>
      <c r="D18" t="s">
        <v>6</v>
      </c>
      <c r="F18" s="3" t="s">
        <v>7</v>
      </c>
      <c r="G18" s="3"/>
      <c r="Z18" s="6"/>
      <c r="AA18" s="6"/>
    </row>
    <row r="19" spans="2:27" x14ac:dyDescent="0.2">
      <c r="B19" s="4">
        <v>1.0000000000000001E-5</v>
      </c>
      <c r="D19" s="4">
        <f>G_1*(1-EXP(-B19/Tau_1))</f>
        <v>1.9900332501663789E-3</v>
      </c>
      <c r="F19" s="5">
        <f>1-D19</f>
        <v>0.99800996674983367</v>
      </c>
      <c r="Z19" s="6"/>
      <c r="AA19" s="6"/>
    </row>
    <row r="20" spans="2:27" x14ac:dyDescent="0.2">
      <c r="B20" s="4">
        <v>2.0000000000000002E-5</v>
      </c>
      <c r="D20" s="4">
        <f t="shared" ref="D20:D58" si="0">G_1*(1-EXP(-B20/Tau_1))</f>
        <v>3.9602653386489493E-3</v>
      </c>
      <c r="F20" s="5">
        <f t="shared" ref="F20:F58" si="1">1-D20</f>
        <v>0.99603973466135109</v>
      </c>
      <c r="Z20" s="6"/>
      <c r="AA20" s="6"/>
    </row>
    <row r="21" spans="2:27" x14ac:dyDescent="0.2">
      <c r="B21" s="4">
        <v>3.0000000000000001E-5</v>
      </c>
      <c r="D21" s="4">
        <f t="shared" si="0"/>
        <v>5.9108932902983691E-3</v>
      </c>
      <c r="F21" s="5">
        <f t="shared" si="1"/>
        <v>0.99408910670970163</v>
      </c>
      <c r="AA21" s="6"/>
    </row>
    <row r="22" spans="2:27" x14ac:dyDescent="0.2">
      <c r="B22" s="4">
        <v>1E-4</v>
      </c>
      <c r="D22" s="4">
        <f t="shared" si="0"/>
        <v>1.9032516392808098E-2</v>
      </c>
      <c r="F22" s="5">
        <f t="shared" si="1"/>
        <v>0.98096748360719188</v>
      </c>
      <c r="G22" s="6"/>
    </row>
    <row r="23" spans="2:27" x14ac:dyDescent="0.2">
      <c r="B23" s="4">
        <v>2.0000000000000001E-4</v>
      </c>
      <c r="D23" s="4">
        <f t="shared" si="0"/>
        <v>3.6253849384403639E-2</v>
      </c>
      <c r="F23" s="5">
        <f t="shared" si="1"/>
        <v>0.96374615061559632</v>
      </c>
      <c r="G23" s="6"/>
    </row>
    <row r="24" spans="2:27" x14ac:dyDescent="0.2">
      <c r="B24" s="4">
        <v>2.9999999999999997E-4</v>
      </c>
      <c r="D24" s="4">
        <f t="shared" si="0"/>
        <v>5.1836355863656425E-2</v>
      </c>
      <c r="F24" s="5">
        <f t="shared" si="1"/>
        <v>0.94816364413634358</v>
      </c>
      <c r="G24" s="6"/>
    </row>
    <row r="25" spans="2:27" x14ac:dyDescent="0.2">
      <c r="B25" s="4">
        <v>1E-3</v>
      </c>
      <c r="D25" s="4">
        <f t="shared" si="0"/>
        <v>0.12642411176571153</v>
      </c>
      <c r="F25" s="5">
        <f t="shared" si="1"/>
        <v>0.87357588823428844</v>
      </c>
      <c r="G25" s="6"/>
    </row>
    <row r="26" spans="2:27" x14ac:dyDescent="0.2">
      <c r="B26" s="4">
        <v>2E-3</v>
      </c>
      <c r="D26" s="4">
        <f t="shared" si="0"/>
        <v>0.17293294335267748</v>
      </c>
      <c r="F26" s="5">
        <f t="shared" si="1"/>
        <v>0.8270670566473225</v>
      </c>
      <c r="G26" s="6"/>
    </row>
    <row r="27" spans="2:27" x14ac:dyDescent="0.2">
      <c r="B27" s="4">
        <v>3.0000000000000001E-3</v>
      </c>
      <c r="D27" s="4">
        <f t="shared" si="0"/>
        <v>0.19004258632642723</v>
      </c>
      <c r="F27" s="5">
        <f t="shared" si="1"/>
        <v>0.80995741367357277</v>
      </c>
      <c r="G27" s="6"/>
    </row>
    <row r="28" spans="2:27" x14ac:dyDescent="0.2">
      <c r="B28" s="4">
        <v>4.0000000000000001E-3</v>
      </c>
      <c r="D28" s="4">
        <f t="shared" si="0"/>
        <v>0.19633687222225316</v>
      </c>
      <c r="F28" s="5">
        <f t="shared" si="1"/>
        <v>0.80366312777774684</v>
      </c>
      <c r="G28" s="6"/>
    </row>
    <row r="29" spans="2:27" x14ac:dyDescent="0.2">
      <c r="B29" s="4">
        <v>5.0000000000000001E-3</v>
      </c>
      <c r="D29" s="4">
        <f t="shared" si="0"/>
        <v>0.1986524106001829</v>
      </c>
      <c r="F29" s="5">
        <f t="shared" si="1"/>
        <v>0.8013475893998171</v>
      </c>
      <c r="G29" s="6"/>
    </row>
    <row r="30" spans="2:27" x14ac:dyDescent="0.2">
      <c r="B30" s="4">
        <v>6.3E-3</v>
      </c>
      <c r="D30" s="4">
        <f t="shared" si="0"/>
        <v>0.19963273904459422</v>
      </c>
      <c r="F30" s="5">
        <f t="shared" si="1"/>
        <v>0.80036726095540578</v>
      </c>
      <c r="G30" s="6"/>
    </row>
    <row r="31" spans="2:27" x14ac:dyDescent="0.2">
      <c r="B31" s="4">
        <v>7.4999999999999997E-3</v>
      </c>
      <c r="D31" s="4">
        <f t="shared" si="0"/>
        <v>0.19988938312597046</v>
      </c>
      <c r="F31" s="5">
        <f t="shared" si="1"/>
        <v>0.80011061687402951</v>
      </c>
      <c r="G31" s="6"/>
    </row>
    <row r="32" spans="2:27" x14ac:dyDescent="0.2">
      <c r="B32" s="4">
        <v>0.01</v>
      </c>
      <c r="D32" s="4">
        <f t="shared" si="0"/>
        <v>0.1999909200140475</v>
      </c>
      <c r="F32" s="5">
        <f t="shared" si="1"/>
        <v>0.8000090799859525</v>
      </c>
      <c r="G32" s="6"/>
    </row>
    <row r="33" spans="2:7" x14ac:dyDescent="0.2">
      <c r="B33" s="4">
        <v>0.02</v>
      </c>
      <c r="D33" s="4">
        <f t="shared" si="0"/>
        <v>0.19999999958776929</v>
      </c>
      <c r="F33" s="5">
        <f t="shared" si="1"/>
        <v>0.80000000041223074</v>
      </c>
      <c r="G33" s="6"/>
    </row>
    <row r="34" spans="2:7" x14ac:dyDescent="0.2">
      <c r="B34" s="4">
        <v>0.03</v>
      </c>
      <c r="D34" s="4">
        <f t="shared" si="0"/>
        <v>0.1999999999999813</v>
      </c>
      <c r="F34" s="5">
        <f t="shared" si="1"/>
        <v>0.8000000000000187</v>
      </c>
      <c r="G34" s="6"/>
    </row>
    <row r="35" spans="2:7" x14ac:dyDescent="0.2">
      <c r="B35" s="4">
        <v>0.04</v>
      </c>
      <c r="D35" s="4">
        <f t="shared" si="0"/>
        <v>0.2</v>
      </c>
      <c r="F35" s="5">
        <f t="shared" si="1"/>
        <v>0.8</v>
      </c>
      <c r="G35" s="6"/>
    </row>
    <row r="36" spans="2:7" x14ac:dyDescent="0.2">
      <c r="B36" s="4">
        <v>0.05</v>
      </c>
      <c r="D36" s="4">
        <f t="shared" si="0"/>
        <v>0.2</v>
      </c>
      <c r="F36" s="5">
        <f t="shared" si="1"/>
        <v>0.8</v>
      </c>
      <c r="G36" s="6"/>
    </row>
    <row r="37" spans="2:7" x14ac:dyDescent="0.2">
      <c r="B37" s="4">
        <v>0.06</v>
      </c>
      <c r="D37" s="4">
        <f t="shared" si="0"/>
        <v>0.2</v>
      </c>
      <c r="F37" s="5">
        <f t="shared" si="1"/>
        <v>0.8</v>
      </c>
      <c r="G37" s="6"/>
    </row>
    <row r="38" spans="2:7" x14ac:dyDescent="0.2">
      <c r="B38" s="4">
        <v>0.1</v>
      </c>
      <c r="D38" s="4">
        <f t="shared" si="0"/>
        <v>0.2</v>
      </c>
      <c r="F38" s="5">
        <f t="shared" si="1"/>
        <v>0.8</v>
      </c>
      <c r="G38" s="6"/>
    </row>
    <row r="39" spans="2:7" x14ac:dyDescent="0.2">
      <c r="B39" s="4">
        <v>0.2</v>
      </c>
      <c r="D39" s="4">
        <f t="shared" si="0"/>
        <v>0.2</v>
      </c>
      <c r="F39" s="5">
        <f t="shared" si="1"/>
        <v>0.8</v>
      </c>
      <c r="G39" s="6"/>
    </row>
    <row r="40" spans="2:7" x14ac:dyDescent="0.2">
      <c r="B40" s="4">
        <v>0.3</v>
      </c>
      <c r="D40" s="4">
        <f t="shared" si="0"/>
        <v>0.2</v>
      </c>
      <c r="F40" s="5">
        <f t="shared" si="1"/>
        <v>0.8</v>
      </c>
      <c r="G40" s="6"/>
    </row>
    <row r="41" spans="2:7" x14ac:dyDescent="0.2">
      <c r="B41" s="4">
        <v>0.4</v>
      </c>
      <c r="D41" s="4">
        <f t="shared" si="0"/>
        <v>0.2</v>
      </c>
      <c r="F41" s="5">
        <f t="shared" si="1"/>
        <v>0.8</v>
      </c>
      <c r="G41" s="6"/>
    </row>
    <row r="42" spans="2:7" x14ac:dyDescent="0.2">
      <c r="B42" s="4">
        <v>0.5</v>
      </c>
      <c r="D42" s="4">
        <f t="shared" si="0"/>
        <v>0.2</v>
      </c>
      <c r="F42" s="5">
        <f t="shared" si="1"/>
        <v>0.8</v>
      </c>
      <c r="G42" s="6"/>
    </row>
    <row r="43" spans="2:7" x14ac:dyDescent="0.2">
      <c r="B43" s="4">
        <v>0.6</v>
      </c>
      <c r="D43" s="4">
        <f t="shared" si="0"/>
        <v>0.2</v>
      </c>
      <c r="F43" s="5">
        <f t="shared" si="1"/>
        <v>0.8</v>
      </c>
      <c r="G43" s="6"/>
    </row>
    <row r="44" spans="2:7" x14ac:dyDescent="0.2">
      <c r="B44" s="4">
        <v>1</v>
      </c>
      <c r="D44" s="4">
        <f t="shared" si="0"/>
        <v>0.2</v>
      </c>
      <c r="F44" s="5">
        <f t="shared" si="1"/>
        <v>0.8</v>
      </c>
      <c r="G44" s="6"/>
    </row>
    <row r="45" spans="2:7" x14ac:dyDescent="0.2">
      <c r="B45" s="4">
        <v>2</v>
      </c>
      <c r="D45" s="4">
        <f t="shared" si="0"/>
        <v>0.2</v>
      </c>
      <c r="F45" s="5">
        <f t="shared" si="1"/>
        <v>0.8</v>
      </c>
      <c r="G45" s="6"/>
    </row>
    <row r="46" spans="2:7" x14ac:dyDescent="0.2">
      <c r="B46" s="4">
        <v>3</v>
      </c>
      <c r="D46" s="4">
        <f t="shared" si="0"/>
        <v>0.2</v>
      </c>
      <c r="F46" s="5">
        <f t="shared" si="1"/>
        <v>0.8</v>
      </c>
      <c r="G46" s="6"/>
    </row>
    <row r="47" spans="2:7" x14ac:dyDescent="0.2">
      <c r="B47" s="4">
        <v>4</v>
      </c>
      <c r="D47" s="4">
        <f t="shared" si="0"/>
        <v>0.2</v>
      </c>
      <c r="F47" s="5">
        <f t="shared" si="1"/>
        <v>0.8</v>
      </c>
      <c r="G47" s="6"/>
    </row>
    <row r="48" spans="2:7" x14ac:dyDescent="0.2">
      <c r="B48" s="4">
        <v>5</v>
      </c>
      <c r="D48" s="4">
        <f t="shared" si="0"/>
        <v>0.2</v>
      </c>
      <c r="F48" s="5">
        <f t="shared" si="1"/>
        <v>0.8</v>
      </c>
      <c r="G48" s="6"/>
    </row>
    <row r="49" spans="2:7" x14ac:dyDescent="0.2">
      <c r="B49" s="4">
        <v>6</v>
      </c>
      <c r="D49" s="4">
        <f t="shared" si="0"/>
        <v>0.2</v>
      </c>
      <c r="F49" s="5">
        <f t="shared" si="1"/>
        <v>0.8</v>
      </c>
      <c r="G49" s="6"/>
    </row>
    <row r="50" spans="2:7" x14ac:dyDescent="0.2">
      <c r="B50" s="4">
        <v>10</v>
      </c>
      <c r="D50" s="4">
        <f t="shared" si="0"/>
        <v>0.2</v>
      </c>
      <c r="F50" s="5">
        <f t="shared" si="1"/>
        <v>0.8</v>
      </c>
      <c r="G50" s="6"/>
    </row>
    <row r="51" spans="2:7" x14ac:dyDescent="0.2">
      <c r="B51" s="4">
        <v>20</v>
      </c>
      <c r="D51" s="4">
        <f t="shared" si="0"/>
        <v>0.2</v>
      </c>
      <c r="F51" s="5">
        <f t="shared" si="1"/>
        <v>0.8</v>
      </c>
      <c r="G51" s="6"/>
    </row>
    <row r="52" spans="2:7" x14ac:dyDescent="0.2">
      <c r="B52" s="4">
        <v>30</v>
      </c>
      <c r="D52" s="4">
        <f t="shared" si="0"/>
        <v>0.2</v>
      </c>
      <c r="F52" s="5">
        <f t="shared" si="1"/>
        <v>0.8</v>
      </c>
      <c r="G52" s="6"/>
    </row>
    <row r="53" spans="2:7" x14ac:dyDescent="0.2">
      <c r="B53" s="4">
        <v>40</v>
      </c>
      <c r="D53" s="4">
        <f t="shared" si="0"/>
        <v>0.2</v>
      </c>
      <c r="F53" s="5">
        <f t="shared" si="1"/>
        <v>0.8</v>
      </c>
      <c r="G53" s="6"/>
    </row>
    <row r="54" spans="2:7" x14ac:dyDescent="0.2">
      <c r="B54" s="4">
        <v>50</v>
      </c>
      <c r="D54" s="4">
        <f t="shared" si="0"/>
        <v>0.2</v>
      </c>
      <c r="F54" s="5">
        <f t="shared" si="1"/>
        <v>0.8</v>
      </c>
      <c r="G54" s="6"/>
    </row>
    <row r="55" spans="2:7" x14ac:dyDescent="0.2">
      <c r="B55" s="4">
        <v>60</v>
      </c>
      <c r="D55" s="4">
        <f t="shared" si="0"/>
        <v>0.2</v>
      </c>
      <c r="F55" s="5">
        <f t="shared" si="1"/>
        <v>0.8</v>
      </c>
      <c r="G55" s="6"/>
    </row>
    <row r="56" spans="2:7" x14ac:dyDescent="0.2">
      <c r="B56" s="4">
        <v>100</v>
      </c>
      <c r="D56" s="4">
        <f t="shared" si="0"/>
        <v>0.2</v>
      </c>
      <c r="F56" s="5">
        <f t="shared" si="1"/>
        <v>0.8</v>
      </c>
      <c r="G56" s="6"/>
    </row>
    <row r="57" spans="2:7" x14ac:dyDescent="0.2">
      <c r="B57" s="4">
        <v>1000</v>
      </c>
      <c r="D57" s="4">
        <f t="shared" si="0"/>
        <v>0.2</v>
      </c>
      <c r="F57" s="5">
        <f t="shared" si="1"/>
        <v>0.8</v>
      </c>
      <c r="G57" s="6"/>
    </row>
    <row r="58" spans="2:7" x14ac:dyDescent="0.2">
      <c r="B58" s="4">
        <v>10000</v>
      </c>
      <c r="D58" s="4">
        <f t="shared" si="0"/>
        <v>0.2</v>
      </c>
      <c r="F58" s="5">
        <f t="shared" si="1"/>
        <v>0.8</v>
      </c>
    </row>
    <row r="85" spans="3:3" x14ac:dyDescent="0.2">
      <c r="C85" s="6"/>
    </row>
    <row r="86" spans="3:3" x14ac:dyDescent="0.2">
      <c r="C86" s="6"/>
    </row>
    <row r="87" spans="3:3" x14ac:dyDescent="0.2">
      <c r="C87" s="6"/>
    </row>
    <row r="88" spans="3:3" x14ac:dyDescent="0.2">
      <c r="C88" s="6"/>
    </row>
    <row r="89" spans="3:3" x14ac:dyDescent="0.2">
      <c r="C89" s="6"/>
    </row>
    <row r="90" spans="3:3" x14ac:dyDescent="0.2">
      <c r="C90" s="6"/>
    </row>
    <row r="91" spans="3:3" x14ac:dyDescent="0.2">
      <c r="C91" s="6"/>
    </row>
    <row r="92" spans="3:3" x14ac:dyDescent="0.2">
      <c r="C92" s="6"/>
    </row>
    <row r="93" spans="3:3" x14ac:dyDescent="0.2">
      <c r="C93" s="6"/>
    </row>
    <row r="94" spans="3:3" x14ac:dyDescent="0.2">
      <c r="C94" s="6"/>
    </row>
    <row r="95" spans="3:3" x14ac:dyDescent="0.2">
      <c r="C95" s="6"/>
    </row>
    <row r="96" spans="3:3" x14ac:dyDescent="0.2">
      <c r="C96" s="6"/>
    </row>
    <row r="97" spans="3:3" x14ac:dyDescent="0.2">
      <c r="C97" s="6"/>
    </row>
    <row r="98" spans="3:3" x14ac:dyDescent="0.2">
      <c r="C98" s="6"/>
    </row>
    <row r="99" spans="3:3" x14ac:dyDescent="0.2">
      <c r="C99" s="6"/>
    </row>
    <row r="100" spans="3:3" x14ac:dyDescent="0.2">
      <c r="C100" s="6"/>
    </row>
    <row r="101" spans="3:3" x14ac:dyDescent="0.2">
      <c r="C101" s="6"/>
    </row>
    <row r="102" spans="3:3" x14ac:dyDescent="0.2">
      <c r="C102" s="6"/>
    </row>
    <row r="103" spans="3:3" x14ac:dyDescent="0.2">
      <c r="C103" s="6"/>
    </row>
    <row r="104" spans="3:3" x14ac:dyDescent="0.2">
      <c r="C104" s="6"/>
    </row>
    <row r="105" spans="3:3" x14ac:dyDescent="0.2">
      <c r="C105" s="6"/>
    </row>
    <row r="106" spans="3:3" x14ac:dyDescent="0.2">
      <c r="C106" s="6"/>
    </row>
    <row r="107" spans="3:3" x14ac:dyDescent="0.2">
      <c r="C107" s="6"/>
    </row>
    <row r="108" spans="3:3" x14ac:dyDescent="0.2">
      <c r="C108" s="6"/>
    </row>
    <row r="109" spans="3:3" x14ac:dyDescent="0.2">
      <c r="C109" s="6"/>
    </row>
    <row r="110" spans="3:3" x14ac:dyDescent="0.2">
      <c r="C110" s="6"/>
    </row>
    <row r="111" spans="3:3" x14ac:dyDescent="0.2">
      <c r="C111" s="6"/>
    </row>
    <row r="112" spans="3:3" x14ac:dyDescent="0.2">
      <c r="C112" s="6"/>
    </row>
    <row r="113" spans="3:3" x14ac:dyDescent="0.2">
      <c r="C113" s="6"/>
    </row>
    <row r="114" spans="3:3" x14ac:dyDescent="0.2">
      <c r="C114" s="6"/>
    </row>
    <row r="115" spans="3:3" x14ac:dyDescent="0.2">
      <c r="C115" s="6"/>
    </row>
    <row r="116" spans="3:3" x14ac:dyDescent="0.2">
      <c r="C116" s="6"/>
    </row>
    <row r="117" spans="3:3" x14ac:dyDescent="0.2">
      <c r="C117" s="6"/>
    </row>
    <row r="118" spans="3:3" x14ac:dyDescent="0.2">
      <c r="C118" s="6"/>
    </row>
    <row r="119" spans="3:3" x14ac:dyDescent="0.2">
      <c r="C119" s="6"/>
    </row>
    <row r="120" spans="3:3" x14ac:dyDescent="0.2">
      <c r="C120" s="6"/>
    </row>
    <row r="121" spans="3:3" x14ac:dyDescent="0.2">
      <c r="C121" s="6"/>
    </row>
    <row r="122" spans="3:3" x14ac:dyDescent="0.2">
      <c r="C122" s="6"/>
    </row>
    <row r="123" spans="3:3" x14ac:dyDescent="0.2">
      <c r="C123" s="6"/>
    </row>
    <row r="124" spans="3:3" x14ac:dyDescent="0.2">
      <c r="C124" s="6"/>
    </row>
    <row r="125" spans="3:3" x14ac:dyDescent="0.2">
      <c r="C125" s="6"/>
    </row>
    <row r="126" spans="3:3" x14ac:dyDescent="0.2">
      <c r="C126" s="6"/>
    </row>
    <row r="127" spans="3:3" x14ac:dyDescent="0.2">
      <c r="C127" s="6"/>
    </row>
    <row r="128" spans="3:3" x14ac:dyDescent="0.2">
      <c r="C128" s="6"/>
    </row>
    <row r="129" spans="3:3" x14ac:dyDescent="0.2">
      <c r="C129" s="6"/>
    </row>
    <row r="130" spans="3:3" x14ac:dyDescent="0.2">
      <c r="C130" s="6"/>
    </row>
    <row r="131" spans="3:3" x14ac:dyDescent="0.2">
      <c r="C131" s="6"/>
    </row>
    <row r="132" spans="3:3" x14ac:dyDescent="0.2">
      <c r="C132" s="6"/>
    </row>
    <row r="133" spans="3:3" x14ac:dyDescent="0.2">
      <c r="C133" s="6"/>
    </row>
    <row r="134" spans="3:3" x14ac:dyDescent="0.2">
      <c r="C134" s="6"/>
    </row>
    <row r="135" spans="3:3" x14ac:dyDescent="0.2">
      <c r="C135" s="6"/>
    </row>
    <row r="136" spans="3:3" x14ac:dyDescent="0.2">
      <c r="C136" s="6"/>
    </row>
    <row r="137" spans="3:3" x14ac:dyDescent="0.2">
      <c r="C137" s="6"/>
    </row>
    <row r="138" spans="3:3" x14ac:dyDescent="0.2">
      <c r="C138" s="6"/>
    </row>
    <row r="139" spans="3:3" x14ac:dyDescent="0.2">
      <c r="C139" s="6"/>
    </row>
    <row r="140" spans="3:3" x14ac:dyDescent="0.2">
      <c r="C140" s="6"/>
    </row>
    <row r="141" spans="3:3" x14ac:dyDescent="0.2">
      <c r="C141" s="6"/>
    </row>
    <row r="142" spans="3:3" x14ac:dyDescent="0.2">
      <c r="C142" s="6"/>
    </row>
    <row r="143" spans="3:3" x14ac:dyDescent="0.2">
      <c r="C143" s="6"/>
    </row>
    <row r="144" spans="3:3" x14ac:dyDescent="0.2">
      <c r="C144" s="6"/>
    </row>
    <row r="145" spans="3:3" x14ac:dyDescent="0.2">
      <c r="C145" s="6"/>
    </row>
    <row r="146" spans="3:3" x14ac:dyDescent="0.2">
      <c r="C146" s="6"/>
    </row>
    <row r="147" spans="3:3" x14ac:dyDescent="0.2">
      <c r="C147" s="6"/>
    </row>
    <row r="148" spans="3:3" x14ac:dyDescent="0.2">
      <c r="C148" s="6"/>
    </row>
    <row r="149" spans="3:3" x14ac:dyDescent="0.2">
      <c r="C149" s="6"/>
    </row>
    <row r="150" spans="3:3" x14ac:dyDescent="0.2">
      <c r="C150" s="6"/>
    </row>
    <row r="151" spans="3:3" x14ac:dyDescent="0.2">
      <c r="C151" s="6"/>
    </row>
    <row r="152" spans="3:3" x14ac:dyDescent="0.2">
      <c r="C152" s="6"/>
    </row>
    <row r="153" spans="3:3" x14ac:dyDescent="0.2">
      <c r="C153" s="6"/>
    </row>
    <row r="154" spans="3:3" x14ac:dyDescent="0.2">
      <c r="C154" s="6"/>
    </row>
    <row r="155" spans="3:3" x14ac:dyDescent="0.2">
      <c r="C155" s="6"/>
    </row>
    <row r="156" spans="3:3" x14ac:dyDescent="0.2">
      <c r="C156" s="6"/>
    </row>
    <row r="157" spans="3:3" x14ac:dyDescent="0.2">
      <c r="C157" s="6"/>
    </row>
    <row r="158" spans="3:3" x14ac:dyDescent="0.2">
      <c r="C158" s="6"/>
    </row>
    <row r="159" spans="3:3" x14ac:dyDescent="0.2">
      <c r="C159" s="6"/>
    </row>
    <row r="160" spans="3:3" x14ac:dyDescent="0.2">
      <c r="C160" s="6"/>
    </row>
    <row r="161" spans="3:3" x14ac:dyDescent="0.2">
      <c r="C161" s="6"/>
    </row>
    <row r="162" spans="3:3" x14ac:dyDescent="0.2">
      <c r="C162" s="6"/>
    </row>
    <row r="163" spans="3:3" x14ac:dyDescent="0.2">
      <c r="C163" s="6"/>
    </row>
    <row r="164" spans="3:3" x14ac:dyDescent="0.2">
      <c r="C164" s="6"/>
    </row>
    <row r="165" spans="3:3" x14ac:dyDescent="0.2">
      <c r="C165" s="6"/>
    </row>
    <row r="166" spans="3:3" x14ac:dyDescent="0.2">
      <c r="C166" s="6"/>
    </row>
    <row r="167" spans="3:3" x14ac:dyDescent="0.2">
      <c r="C167" s="6"/>
    </row>
    <row r="168" spans="3:3" x14ac:dyDescent="0.2">
      <c r="C168" s="6"/>
    </row>
    <row r="169" spans="3:3" x14ac:dyDescent="0.2">
      <c r="C169" s="6"/>
    </row>
    <row r="170" spans="3:3" x14ac:dyDescent="0.2">
      <c r="C170" s="6"/>
    </row>
    <row r="171" spans="3:3" x14ac:dyDescent="0.2">
      <c r="C171" s="6"/>
    </row>
    <row r="172" spans="3:3" x14ac:dyDescent="0.2">
      <c r="C172" s="6"/>
    </row>
    <row r="173" spans="3:3" x14ac:dyDescent="0.2">
      <c r="C173" s="6"/>
    </row>
    <row r="174" spans="3:3" x14ac:dyDescent="0.2">
      <c r="C174" s="6"/>
    </row>
    <row r="175" spans="3:3" x14ac:dyDescent="0.2">
      <c r="C175" s="6"/>
    </row>
    <row r="176" spans="3:3" x14ac:dyDescent="0.2">
      <c r="C176" s="6"/>
    </row>
    <row r="177" spans="3:3" x14ac:dyDescent="0.2">
      <c r="C177" s="6"/>
    </row>
    <row r="178" spans="3:3" x14ac:dyDescent="0.2">
      <c r="C178" s="6"/>
    </row>
    <row r="179" spans="3:3" x14ac:dyDescent="0.2">
      <c r="C179" s="6"/>
    </row>
    <row r="180" spans="3:3" x14ac:dyDescent="0.2">
      <c r="C180" s="6"/>
    </row>
    <row r="181" spans="3:3" x14ac:dyDescent="0.2">
      <c r="C181" s="6"/>
    </row>
    <row r="182" spans="3:3" x14ac:dyDescent="0.2">
      <c r="C182" s="6"/>
    </row>
    <row r="183" spans="3:3" x14ac:dyDescent="0.2">
      <c r="C183" s="6"/>
    </row>
    <row r="184" spans="3:3" x14ac:dyDescent="0.2">
      <c r="C184" s="6"/>
    </row>
    <row r="185" spans="3:3" x14ac:dyDescent="0.2">
      <c r="C185" s="6"/>
    </row>
    <row r="186" spans="3:3" x14ac:dyDescent="0.2">
      <c r="C186" s="6"/>
    </row>
    <row r="187" spans="3:3" x14ac:dyDescent="0.2">
      <c r="C187" s="6"/>
    </row>
    <row r="188" spans="3:3" x14ac:dyDescent="0.2">
      <c r="C188" s="6"/>
    </row>
    <row r="189" spans="3:3" x14ac:dyDescent="0.2">
      <c r="C189" s="6"/>
    </row>
    <row r="190" spans="3:3" x14ac:dyDescent="0.2">
      <c r="C190" s="6"/>
    </row>
    <row r="191" spans="3:3" x14ac:dyDescent="0.2">
      <c r="C191" s="6"/>
    </row>
    <row r="192" spans="3:3" x14ac:dyDescent="0.2">
      <c r="C192" s="6"/>
    </row>
    <row r="193" spans="3:3" x14ac:dyDescent="0.2">
      <c r="C193" s="6"/>
    </row>
    <row r="194" spans="3:3" x14ac:dyDescent="0.2">
      <c r="C194" s="6"/>
    </row>
    <row r="195" spans="3:3" x14ac:dyDescent="0.2">
      <c r="C195" s="6"/>
    </row>
    <row r="196" spans="3:3" x14ac:dyDescent="0.2">
      <c r="C196" s="6"/>
    </row>
    <row r="197" spans="3:3" x14ac:dyDescent="0.2">
      <c r="C197" s="6"/>
    </row>
    <row r="198" spans="3:3" x14ac:dyDescent="0.2">
      <c r="C198" s="6"/>
    </row>
    <row r="199" spans="3:3" x14ac:dyDescent="0.2">
      <c r="C199" s="6"/>
    </row>
    <row r="200" spans="3:3" x14ac:dyDescent="0.2">
      <c r="C200" s="6"/>
    </row>
    <row r="201" spans="3:3" x14ac:dyDescent="0.2">
      <c r="C201" s="6"/>
    </row>
    <row r="202" spans="3:3" x14ac:dyDescent="0.2">
      <c r="C202" s="6"/>
    </row>
    <row r="203" spans="3:3" x14ac:dyDescent="0.2">
      <c r="C203" s="6"/>
    </row>
    <row r="204" spans="3:3" x14ac:dyDescent="0.2">
      <c r="C204" s="6"/>
    </row>
    <row r="205" spans="3:3" x14ac:dyDescent="0.2">
      <c r="C205" s="6"/>
    </row>
    <row r="206" spans="3:3" x14ac:dyDescent="0.2">
      <c r="C206" s="6"/>
    </row>
    <row r="207" spans="3:3" x14ac:dyDescent="0.2">
      <c r="C207" s="6"/>
    </row>
    <row r="208" spans="3:3" x14ac:dyDescent="0.2">
      <c r="C208" s="6"/>
    </row>
    <row r="209" spans="3:3" x14ac:dyDescent="0.2">
      <c r="C209" s="6"/>
    </row>
    <row r="210" spans="3:3" x14ac:dyDescent="0.2">
      <c r="C210" s="6"/>
    </row>
    <row r="211" spans="3:3" x14ac:dyDescent="0.2">
      <c r="C211" s="6"/>
    </row>
    <row r="212" spans="3:3" x14ac:dyDescent="0.2">
      <c r="C212" s="6"/>
    </row>
    <row r="213" spans="3:3" x14ac:dyDescent="0.2">
      <c r="C213" s="6"/>
    </row>
    <row r="214" spans="3:3" x14ac:dyDescent="0.2">
      <c r="C214" s="6"/>
    </row>
    <row r="215" spans="3:3" x14ac:dyDescent="0.2">
      <c r="C215" s="6"/>
    </row>
    <row r="216" spans="3:3" x14ac:dyDescent="0.2">
      <c r="C216" s="6"/>
    </row>
    <row r="217" spans="3:3" x14ac:dyDescent="0.2">
      <c r="C217" s="6"/>
    </row>
    <row r="218" spans="3:3" x14ac:dyDescent="0.2">
      <c r="C218" s="6"/>
    </row>
    <row r="219" spans="3:3" x14ac:dyDescent="0.2">
      <c r="C219" s="6"/>
    </row>
    <row r="220" spans="3:3" x14ac:dyDescent="0.2">
      <c r="C220" s="6"/>
    </row>
    <row r="221" spans="3:3" x14ac:dyDescent="0.2">
      <c r="C221" s="6"/>
    </row>
    <row r="222" spans="3:3" x14ac:dyDescent="0.2">
      <c r="C222" s="6"/>
    </row>
    <row r="223" spans="3:3" x14ac:dyDescent="0.2">
      <c r="C223" s="6"/>
    </row>
    <row r="224" spans="3:3" x14ac:dyDescent="0.2">
      <c r="C224" s="6"/>
    </row>
    <row r="225" spans="3:3" x14ac:dyDescent="0.2">
      <c r="C225" s="6"/>
    </row>
    <row r="226" spans="3:3" x14ac:dyDescent="0.2">
      <c r="C226" s="6"/>
    </row>
    <row r="227" spans="3:3" x14ac:dyDescent="0.2">
      <c r="C227" s="6"/>
    </row>
    <row r="228" spans="3:3" x14ac:dyDescent="0.2">
      <c r="C228" s="6"/>
    </row>
    <row r="229" spans="3:3" x14ac:dyDescent="0.2">
      <c r="C229" s="6"/>
    </row>
    <row r="230" spans="3:3" x14ac:dyDescent="0.2">
      <c r="C230" s="6"/>
    </row>
    <row r="231" spans="3:3" x14ac:dyDescent="0.2">
      <c r="C231" s="6"/>
    </row>
    <row r="232" spans="3:3" x14ac:dyDescent="0.2">
      <c r="C232" s="6"/>
    </row>
    <row r="233" spans="3:3" x14ac:dyDescent="0.2">
      <c r="C233" s="6"/>
    </row>
    <row r="234" spans="3:3" x14ac:dyDescent="0.2">
      <c r="C234" s="6"/>
    </row>
    <row r="235" spans="3:3" x14ac:dyDescent="0.2">
      <c r="C235" s="6"/>
    </row>
    <row r="236" spans="3:3" x14ac:dyDescent="0.2">
      <c r="C236" s="6"/>
    </row>
    <row r="237" spans="3:3" x14ac:dyDescent="0.2">
      <c r="C237" s="6"/>
    </row>
    <row r="238" spans="3:3" x14ac:dyDescent="0.2">
      <c r="C238" s="6"/>
    </row>
    <row r="239" spans="3:3" x14ac:dyDescent="0.2">
      <c r="C239" s="6"/>
    </row>
    <row r="240" spans="3:3" x14ac:dyDescent="0.2">
      <c r="C240" s="6"/>
    </row>
    <row r="241" spans="2:3" x14ac:dyDescent="0.2">
      <c r="C241" s="6"/>
    </row>
    <row r="242" spans="2:3" x14ac:dyDescent="0.2">
      <c r="C242" s="6"/>
    </row>
    <row r="243" spans="2:3" x14ac:dyDescent="0.2">
      <c r="C243" s="6"/>
    </row>
    <row r="244" spans="2:3" x14ac:dyDescent="0.2">
      <c r="C244" s="6"/>
    </row>
    <row r="245" spans="2:3" x14ac:dyDescent="0.2">
      <c r="C245" s="6"/>
    </row>
    <row r="246" spans="2:3" x14ac:dyDescent="0.2">
      <c r="C246" s="6"/>
    </row>
    <row r="248" spans="2:3" x14ac:dyDescent="0.2">
      <c r="B248" s="10"/>
      <c r="C248" s="6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9467" r:id="rId4">
          <objectPr defaultSize="0" autoPict="0" r:id="rId5">
            <anchor moveWithCells="1" sizeWithCells="1">
              <from>
                <xdr:col>0</xdr:col>
                <xdr:colOff>285750</xdr:colOff>
                <xdr:row>1</xdr:row>
                <xdr:rowOff>9525</xdr:rowOff>
              </from>
              <to>
                <xdr:col>4</xdr:col>
                <xdr:colOff>485775</xdr:colOff>
                <xdr:row>4</xdr:row>
                <xdr:rowOff>152400</xdr:rowOff>
              </to>
            </anchor>
          </objectPr>
        </oleObject>
      </mc:Choice>
      <mc:Fallback>
        <oleObject shapeId="19467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66" r:id="rId6" name="Scroll Bar 10">
              <controlPr locked="0" defaultSize="0" autoPict="0">
                <anchor moveWithCells="1">
                  <from>
                    <xdr:col>4</xdr:col>
                    <xdr:colOff>9525</xdr:colOff>
                    <xdr:row>6</xdr:row>
                    <xdr:rowOff>152400</xdr:rowOff>
                  </from>
                  <to>
                    <xdr:col>7</xdr:col>
                    <xdr:colOff>0</xdr:colOff>
                    <xdr:row>8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42"/>
  <sheetViews>
    <sheetView workbookViewId="0">
      <selection activeCell="H64" sqref="H64"/>
    </sheetView>
  </sheetViews>
  <sheetFormatPr defaultRowHeight="12.75" x14ac:dyDescent="0.2"/>
  <cols>
    <col min="1" max="1" width="10.5703125" style="14" customWidth="1"/>
    <col min="2" max="2" width="9.140625" style="14"/>
    <col min="3" max="3" width="4.7109375" style="14" customWidth="1"/>
    <col min="4" max="8" width="9.140625" style="14"/>
    <col min="9" max="9" width="8.7109375" style="14" customWidth="1"/>
    <col min="10" max="10" width="8.42578125" style="14" customWidth="1"/>
    <col min="11" max="11" width="4" style="14" customWidth="1"/>
    <col min="12" max="12" width="8.42578125" style="14" customWidth="1"/>
    <col min="13" max="13" width="9.140625" style="14"/>
    <col min="14" max="14" width="12.140625" style="14" customWidth="1"/>
    <col min="15" max="17" width="9.140625" style="14"/>
    <col min="18" max="18" width="12.7109375" style="14" customWidth="1"/>
    <col min="19" max="20" width="9.140625" style="14"/>
    <col min="21" max="21" width="11.28515625" style="14" customWidth="1"/>
    <col min="22" max="23" width="9.140625" style="14"/>
    <col min="24" max="24" width="9.5703125" style="14" customWidth="1"/>
    <col min="25" max="256" width="9.140625" style="14"/>
    <col min="257" max="257" width="10.5703125" style="14" customWidth="1"/>
    <col min="258" max="266" width="9.140625" style="14"/>
    <col min="267" max="267" width="8.140625" style="14" customWidth="1"/>
    <col min="268" max="269" width="9.140625" style="14"/>
    <col min="270" max="270" width="12.140625" style="14" customWidth="1"/>
    <col min="271" max="273" width="9.140625" style="14"/>
    <col min="274" max="274" width="12.7109375" style="14" customWidth="1"/>
    <col min="275" max="276" width="9.140625" style="14"/>
    <col min="277" max="277" width="11.28515625" style="14" customWidth="1"/>
    <col min="278" max="279" width="9.140625" style="14"/>
    <col min="280" max="280" width="9.5703125" style="14" customWidth="1"/>
    <col min="281" max="512" width="9.140625" style="14"/>
    <col min="513" max="513" width="10.5703125" style="14" customWidth="1"/>
    <col min="514" max="522" width="9.140625" style="14"/>
    <col min="523" max="523" width="8.140625" style="14" customWidth="1"/>
    <col min="524" max="525" width="9.140625" style="14"/>
    <col min="526" max="526" width="12.140625" style="14" customWidth="1"/>
    <col min="527" max="529" width="9.140625" style="14"/>
    <col min="530" max="530" width="12.7109375" style="14" customWidth="1"/>
    <col min="531" max="532" width="9.140625" style="14"/>
    <col min="533" max="533" width="11.28515625" style="14" customWidth="1"/>
    <col min="534" max="535" width="9.140625" style="14"/>
    <col min="536" max="536" width="9.5703125" style="14" customWidth="1"/>
    <col min="537" max="768" width="9.140625" style="14"/>
    <col min="769" max="769" width="10.5703125" style="14" customWidth="1"/>
    <col min="770" max="778" width="9.140625" style="14"/>
    <col min="779" max="779" width="8.140625" style="14" customWidth="1"/>
    <col min="780" max="781" width="9.140625" style="14"/>
    <col min="782" max="782" width="12.140625" style="14" customWidth="1"/>
    <col min="783" max="785" width="9.140625" style="14"/>
    <col min="786" max="786" width="12.7109375" style="14" customWidth="1"/>
    <col min="787" max="788" width="9.140625" style="14"/>
    <col min="789" max="789" width="11.28515625" style="14" customWidth="1"/>
    <col min="790" max="791" width="9.140625" style="14"/>
    <col min="792" max="792" width="9.5703125" style="14" customWidth="1"/>
    <col min="793" max="1024" width="9.140625" style="14"/>
    <col min="1025" max="1025" width="10.5703125" style="14" customWidth="1"/>
    <col min="1026" max="1034" width="9.140625" style="14"/>
    <col min="1035" max="1035" width="8.140625" style="14" customWidth="1"/>
    <col min="1036" max="1037" width="9.140625" style="14"/>
    <col min="1038" max="1038" width="12.140625" style="14" customWidth="1"/>
    <col min="1039" max="1041" width="9.140625" style="14"/>
    <col min="1042" max="1042" width="12.7109375" style="14" customWidth="1"/>
    <col min="1043" max="1044" width="9.140625" style="14"/>
    <col min="1045" max="1045" width="11.28515625" style="14" customWidth="1"/>
    <col min="1046" max="1047" width="9.140625" style="14"/>
    <col min="1048" max="1048" width="9.5703125" style="14" customWidth="1"/>
    <col min="1049" max="1280" width="9.140625" style="14"/>
    <col min="1281" max="1281" width="10.5703125" style="14" customWidth="1"/>
    <col min="1282" max="1290" width="9.140625" style="14"/>
    <col min="1291" max="1291" width="8.140625" style="14" customWidth="1"/>
    <col min="1292" max="1293" width="9.140625" style="14"/>
    <col min="1294" max="1294" width="12.140625" style="14" customWidth="1"/>
    <col min="1295" max="1297" width="9.140625" style="14"/>
    <col min="1298" max="1298" width="12.7109375" style="14" customWidth="1"/>
    <col min="1299" max="1300" width="9.140625" style="14"/>
    <col min="1301" max="1301" width="11.28515625" style="14" customWidth="1"/>
    <col min="1302" max="1303" width="9.140625" style="14"/>
    <col min="1304" max="1304" width="9.5703125" style="14" customWidth="1"/>
    <col min="1305" max="1536" width="9.140625" style="14"/>
    <col min="1537" max="1537" width="10.5703125" style="14" customWidth="1"/>
    <col min="1538" max="1546" width="9.140625" style="14"/>
    <col min="1547" max="1547" width="8.140625" style="14" customWidth="1"/>
    <col min="1548" max="1549" width="9.140625" style="14"/>
    <col min="1550" max="1550" width="12.140625" style="14" customWidth="1"/>
    <col min="1551" max="1553" width="9.140625" style="14"/>
    <col min="1554" max="1554" width="12.7109375" style="14" customWidth="1"/>
    <col min="1555" max="1556" width="9.140625" style="14"/>
    <col min="1557" max="1557" width="11.28515625" style="14" customWidth="1"/>
    <col min="1558" max="1559" width="9.140625" style="14"/>
    <col min="1560" max="1560" width="9.5703125" style="14" customWidth="1"/>
    <col min="1561" max="1792" width="9.140625" style="14"/>
    <col min="1793" max="1793" width="10.5703125" style="14" customWidth="1"/>
    <col min="1794" max="1802" width="9.140625" style="14"/>
    <col min="1803" max="1803" width="8.140625" style="14" customWidth="1"/>
    <col min="1804" max="1805" width="9.140625" style="14"/>
    <col min="1806" max="1806" width="12.140625" style="14" customWidth="1"/>
    <col min="1807" max="1809" width="9.140625" style="14"/>
    <col min="1810" max="1810" width="12.7109375" style="14" customWidth="1"/>
    <col min="1811" max="1812" width="9.140625" style="14"/>
    <col min="1813" max="1813" width="11.28515625" style="14" customWidth="1"/>
    <col min="1814" max="1815" width="9.140625" style="14"/>
    <col min="1816" max="1816" width="9.5703125" style="14" customWidth="1"/>
    <col min="1817" max="2048" width="9.140625" style="14"/>
    <col min="2049" max="2049" width="10.5703125" style="14" customWidth="1"/>
    <col min="2050" max="2058" width="9.140625" style="14"/>
    <col min="2059" max="2059" width="8.140625" style="14" customWidth="1"/>
    <col min="2060" max="2061" width="9.140625" style="14"/>
    <col min="2062" max="2062" width="12.140625" style="14" customWidth="1"/>
    <col min="2063" max="2065" width="9.140625" style="14"/>
    <col min="2066" max="2066" width="12.7109375" style="14" customWidth="1"/>
    <col min="2067" max="2068" width="9.140625" style="14"/>
    <col min="2069" max="2069" width="11.28515625" style="14" customWidth="1"/>
    <col min="2070" max="2071" width="9.140625" style="14"/>
    <col min="2072" max="2072" width="9.5703125" style="14" customWidth="1"/>
    <col min="2073" max="2304" width="9.140625" style="14"/>
    <col min="2305" max="2305" width="10.5703125" style="14" customWidth="1"/>
    <col min="2306" max="2314" width="9.140625" style="14"/>
    <col min="2315" max="2315" width="8.140625" style="14" customWidth="1"/>
    <col min="2316" max="2317" width="9.140625" style="14"/>
    <col min="2318" max="2318" width="12.140625" style="14" customWidth="1"/>
    <col min="2319" max="2321" width="9.140625" style="14"/>
    <col min="2322" max="2322" width="12.7109375" style="14" customWidth="1"/>
    <col min="2323" max="2324" width="9.140625" style="14"/>
    <col min="2325" max="2325" width="11.28515625" style="14" customWidth="1"/>
    <col min="2326" max="2327" width="9.140625" style="14"/>
    <col min="2328" max="2328" width="9.5703125" style="14" customWidth="1"/>
    <col min="2329" max="2560" width="9.140625" style="14"/>
    <col min="2561" max="2561" width="10.5703125" style="14" customWidth="1"/>
    <col min="2562" max="2570" width="9.140625" style="14"/>
    <col min="2571" max="2571" width="8.140625" style="14" customWidth="1"/>
    <col min="2572" max="2573" width="9.140625" style="14"/>
    <col min="2574" max="2574" width="12.140625" style="14" customWidth="1"/>
    <col min="2575" max="2577" width="9.140625" style="14"/>
    <col min="2578" max="2578" width="12.7109375" style="14" customWidth="1"/>
    <col min="2579" max="2580" width="9.140625" style="14"/>
    <col min="2581" max="2581" width="11.28515625" style="14" customWidth="1"/>
    <col min="2582" max="2583" width="9.140625" style="14"/>
    <col min="2584" max="2584" width="9.5703125" style="14" customWidth="1"/>
    <col min="2585" max="2816" width="9.140625" style="14"/>
    <col min="2817" max="2817" width="10.5703125" style="14" customWidth="1"/>
    <col min="2818" max="2826" width="9.140625" style="14"/>
    <col min="2827" max="2827" width="8.140625" style="14" customWidth="1"/>
    <col min="2828" max="2829" width="9.140625" style="14"/>
    <col min="2830" max="2830" width="12.140625" style="14" customWidth="1"/>
    <col min="2831" max="2833" width="9.140625" style="14"/>
    <col min="2834" max="2834" width="12.7109375" style="14" customWidth="1"/>
    <col min="2835" max="2836" width="9.140625" style="14"/>
    <col min="2837" max="2837" width="11.28515625" style="14" customWidth="1"/>
    <col min="2838" max="2839" width="9.140625" style="14"/>
    <col min="2840" max="2840" width="9.5703125" style="14" customWidth="1"/>
    <col min="2841" max="3072" width="9.140625" style="14"/>
    <col min="3073" max="3073" width="10.5703125" style="14" customWidth="1"/>
    <col min="3074" max="3082" width="9.140625" style="14"/>
    <col min="3083" max="3083" width="8.140625" style="14" customWidth="1"/>
    <col min="3084" max="3085" width="9.140625" style="14"/>
    <col min="3086" max="3086" width="12.140625" style="14" customWidth="1"/>
    <col min="3087" max="3089" width="9.140625" style="14"/>
    <col min="3090" max="3090" width="12.7109375" style="14" customWidth="1"/>
    <col min="3091" max="3092" width="9.140625" style="14"/>
    <col min="3093" max="3093" width="11.28515625" style="14" customWidth="1"/>
    <col min="3094" max="3095" width="9.140625" style="14"/>
    <col min="3096" max="3096" width="9.5703125" style="14" customWidth="1"/>
    <col min="3097" max="3328" width="9.140625" style="14"/>
    <col min="3329" max="3329" width="10.5703125" style="14" customWidth="1"/>
    <col min="3330" max="3338" width="9.140625" style="14"/>
    <col min="3339" max="3339" width="8.140625" style="14" customWidth="1"/>
    <col min="3340" max="3341" width="9.140625" style="14"/>
    <col min="3342" max="3342" width="12.140625" style="14" customWidth="1"/>
    <col min="3343" max="3345" width="9.140625" style="14"/>
    <col min="3346" max="3346" width="12.7109375" style="14" customWidth="1"/>
    <col min="3347" max="3348" width="9.140625" style="14"/>
    <col min="3349" max="3349" width="11.28515625" style="14" customWidth="1"/>
    <col min="3350" max="3351" width="9.140625" style="14"/>
    <col min="3352" max="3352" width="9.5703125" style="14" customWidth="1"/>
    <col min="3353" max="3584" width="9.140625" style="14"/>
    <col min="3585" max="3585" width="10.5703125" style="14" customWidth="1"/>
    <col min="3586" max="3594" width="9.140625" style="14"/>
    <col min="3595" max="3595" width="8.140625" style="14" customWidth="1"/>
    <col min="3596" max="3597" width="9.140625" style="14"/>
    <col min="3598" max="3598" width="12.140625" style="14" customWidth="1"/>
    <col min="3599" max="3601" width="9.140625" style="14"/>
    <col min="3602" max="3602" width="12.7109375" style="14" customWidth="1"/>
    <col min="3603" max="3604" width="9.140625" style="14"/>
    <col min="3605" max="3605" width="11.28515625" style="14" customWidth="1"/>
    <col min="3606" max="3607" width="9.140625" style="14"/>
    <col min="3608" max="3608" width="9.5703125" style="14" customWidth="1"/>
    <col min="3609" max="3840" width="9.140625" style="14"/>
    <col min="3841" max="3841" width="10.5703125" style="14" customWidth="1"/>
    <col min="3842" max="3850" width="9.140625" style="14"/>
    <col min="3851" max="3851" width="8.140625" style="14" customWidth="1"/>
    <col min="3852" max="3853" width="9.140625" style="14"/>
    <col min="3854" max="3854" width="12.140625" style="14" customWidth="1"/>
    <col min="3855" max="3857" width="9.140625" style="14"/>
    <col min="3858" max="3858" width="12.7109375" style="14" customWidth="1"/>
    <col min="3859" max="3860" width="9.140625" style="14"/>
    <col min="3861" max="3861" width="11.28515625" style="14" customWidth="1"/>
    <col min="3862" max="3863" width="9.140625" style="14"/>
    <col min="3864" max="3864" width="9.5703125" style="14" customWidth="1"/>
    <col min="3865" max="4096" width="9.140625" style="14"/>
    <col min="4097" max="4097" width="10.5703125" style="14" customWidth="1"/>
    <col min="4098" max="4106" width="9.140625" style="14"/>
    <col min="4107" max="4107" width="8.140625" style="14" customWidth="1"/>
    <col min="4108" max="4109" width="9.140625" style="14"/>
    <col min="4110" max="4110" width="12.140625" style="14" customWidth="1"/>
    <col min="4111" max="4113" width="9.140625" style="14"/>
    <col min="4114" max="4114" width="12.7109375" style="14" customWidth="1"/>
    <col min="4115" max="4116" width="9.140625" style="14"/>
    <col min="4117" max="4117" width="11.28515625" style="14" customWidth="1"/>
    <col min="4118" max="4119" width="9.140625" style="14"/>
    <col min="4120" max="4120" width="9.5703125" style="14" customWidth="1"/>
    <col min="4121" max="4352" width="9.140625" style="14"/>
    <col min="4353" max="4353" width="10.5703125" style="14" customWidth="1"/>
    <col min="4354" max="4362" width="9.140625" style="14"/>
    <col min="4363" max="4363" width="8.140625" style="14" customWidth="1"/>
    <col min="4364" max="4365" width="9.140625" style="14"/>
    <col min="4366" max="4366" width="12.140625" style="14" customWidth="1"/>
    <col min="4367" max="4369" width="9.140625" style="14"/>
    <col min="4370" max="4370" width="12.7109375" style="14" customWidth="1"/>
    <col min="4371" max="4372" width="9.140625" style="14"/>
    <col min="4373" max="4373" width="11.28515625" style="14" customWidth="1"/>
    <col min="4374" max="4375" width="9.140625" style="14"/>
    <col min="4376" max="4376" width="9.5703125" style="14" customWidth="1"/>
    <col min="4377" max="4608" width="9.140625" style="14"/>
    <col min="4609" max="4609" width="10.5703125" style="14" customWidth="1"/>
    <col min="4610" max="4618" width="9.140625" style="14"/>
    <col min="4619" max="4619" width="8.140625" style="14" customWidth="1"/>
    <col min="4620" max="4621" width="9.140625" style="14"/>
    <col min="4622" max="4622" width="12.140625" style="14" customWidth="1"/>
    <col min="4623" max="4625" width="9.140625" style="14"/>
    <col min="4626" max="4626" width="12.7109375" style="14" customWidth="1"/>
    <col min="4627" max="4628" width="9.140625" style="14"/>
    <col min="4629" max="4629" width="11.28515625" style="14" customWidth="1"/>
    <col min="4630" max="4631" width="9.140625" style="14"/>
    <col min="4632" max="4632" width="9.5703125" style="14" customWidth="1"/>
    <col min="4633" max="4864" width="9.140625" style="14"/>
    <col min="4865" max="4865" width="10.5703125" style="14" customWidth="1"/>
    <col min="4866" max="4874" width="9.140625" style="14"/>
    <col min="4875" max="4875" width="8.140625" style="14" customWidth="1"/>
    <col min="4876" max="4877" width="9.140625" style="14"/>
    <col min="4878" max="4878" width="12.140625" style="14" customWidth="1"/>
    <col min="4879" max="4881" width="9.140625" style="14"/>
    <col min="4882" max="4882" width="12.7109375" style="14" customWidth="1"/>
    <col min="4883" max="4884" width="9.140625" style="14"/>
    <col min="4885" max="4885" width="11.28515625" style="14" customWidth="1"/>
    <col min="4886" max="4887" width="9.140625" style="14"/>
    <col min="4888" max="4888" width="9.5703125" style="14" customWidth="1"/>
    <col min="4889" max="5120" width="9.140625" style="14"/>
    <col min="5121" max="5121" width="10.5703125" style="14" customWidth="1"/>
    <col min="5122" max="5130" width="9.140625" style="14"/>
    <col min="5131" max="5131" width="8.140625" style="14" customWidth="1"/>
    <col min="5132" max="5133" width="9.140625" style="14"/>
    <col min="5134" max="5134" width="12.140625" style="14" customWidth="1"/>
    <col min="5135" max="5137" width="9.140625" style="14"/>
    <col min="5138" max="5138" width="12.7109375" style="14" customWidth="1"/>
    <col min="5139" max="5140" width="9.140625" style="14"/>
    <col min="5141" max="5141" width="11.28515625" style="14" customWidth="1"/>
    <col min="5142" max="5143" width="9.140625" style="14"/>
    <col min="5144" max="5144" width="9.5703125" style="14" customWidth="1"/>
    <col min="5145" max="5376" width="9.140625" style="14"/>
    <col min="5377" max="5377" width="10.5703125" style="14" customWidth="1"/>
    <col min="5378" max="5386" width="9.140625" style="14"/>
    <col min="5387" max="5387" width="8.140625" style="14" customWidth="1"/>
    <col min="5388" max="5389" width="9.140625" style="14"/>
    <col min="5390" max="5390" width="12.140625" style="14" customWidth="1"/>
    <col min="5391" max="5393" width="9.140625" style="14"/>
    <col min="5394" max="5394" width="12.7109375" style="14" customWidth="1"/>
    <col min="5395" max="5396" width="9.140625" style="14"/>
    <col min="5397" max="5397" width="11.28515625" style="14" customWidth="1"/>
    <col min="5398" max="5399" width="9.140625" style="14"/>
    <col min="5400" max="5400" width="9.5703125" style="14" customWidth="1"/>
    <col min="5401" max="5632" width="9.140625" style="14"/>
    <col min="5633" max="5633" width="10.5703125" style="14" customWidth="1"/>
    <col min="5634" max="5642" width="9.140625" style="14"/>
    <col min="5643" max="5643" width="8.140625" style="14" customWidth="1"/>
    <col min="5644" max="5645" width="9.140625" style="14"/>
    <col min="5646" max="5646" width="12.140625" style="14" customWidth="1"/>
    <col min="5647" max="5649" width="9.140625" style="14"/>
    <col min="5650" max="5650" width="12.7109375" style="14" customWidth="1"/>
    <col min="5651" max="5652" width="9.140625" style="14"/>
    <col min="5653" max="5653" width="11.28515625" style="14" customWidth="1"/>
    <col min="5654" max="5655" width="9.140625" style="14"/>
    <col min="5656" max="5656" width="9.5703125" style="14" customWidth="1"/>
    <col min="5657" max="5888" width="9.140625" style="14"/>
    <col min="5889" max="5889" width="10.5703125" style="14" customWidth="1"/>
    <col min="5890" max="5898" width="9.140625" style="14"/>
    <col min="5899" max="5899" width="8.140625" style="14" customWidth="1"/>
    <col min="5900" max="5901" width="9.140625" style="14"/>
    <col min="5902" max="5902" width="12.140625" style="14" customWidth="1"/>
    <col min="5903" max="5905" width="9.140625" style="14"/>
    <col min="5906" max="5906" width="12.7109375" style="14" customWidth="1"/>
    <col min="5907" max="5908" width="9.140625" style="14"/>
    <col min="5909" max="5909" width="11.28515625" style="14" customWidth="1"/>
    <col min="5910" max="5911" width="9.140625" style="14"/>
    <col min="5912" max="5912" width="9.5703125" style="14" customWidth="1"/>
    <col min="5913" max="6144" width="9.140625" style="14"/>
    <col min="6145" max="6145" width="10.5703125" style="14" customWidth="1"/>
    <col min="6146" max="6154" width="9.140625" style="14"/>
    <col min="6155" max="6155" width="8.140625" style="14" customWidth="1"/>
    <col min="6156" max="6157" width="9.140625" style="14"/>
    <col min="6158" max="6158" width="12.140625" style="14" customWidth="1"/>
    <col min="6159" max="6161" width="9.140625" style="14"/>
    <col min="6162" max="6162" width="12.7109375" style="14" customWidth="1"/>
    <col min="6163" max="6164" width="9.140625" style="14"/>
    <col min="6165" max="6165" width="11.28515625" style="14" customWidth="1"/>
    <col min="6166" max="6167" width="9.140625" style="14"/>
    <col min="6168" max="6168" width="9.5703125" style="14" customWidth="1"/>
    <col min="6169" max="6400" width="9.140625" style="14"/>
    <col min="6401" max="6401" width="10.5703125" style="14" customWidth="1"/>
    <col min="6402" max="6410" width="9.140625" style="14"/>
    <col min="6411" max="6411" width="8.140625" style="14" customWidth="1"/>
    <col min="6412" max="6413" width="9.140625" style="14"/>
    <col min="6414" max="6414" width="12.140625" style="14" customWidth="1"/>
    <col min="6415" max="6417" width="9.140625" style="14"/>
    <col min="6418" max="6418" width="12.7109375" style="14" customWidth="1"/>
    <col min="6419" max="6420" width="9.140625" style="14"/>
    <col min="6421" max="6421" width="11.28515625" style="14" customWidth="1"/>
    <col min="6422" max="6423" width="9.140625" style="14"/>
    <col min="6424" max="6424" width="9.5703125" style="14" customWidth="1"/>
    <col min="6425" max="6656" width="9.140625" style="14"/>
    <col min="6657" max="6657" width="10.5703125" style="14" customWidth="1"/>
    <col min="6658" max="6666" width="9.140625" style="14"/>
    <col min="6667" max="6667" width="8.140625" style="14" customWidth="1"/>
    <col min="6668" max="6669" width="9.140625" style="14"/>
    <col min="6670" max="6670" width="12.140625" style="14" customWidth="1"/>
    <col min="6671" max="6673" width="9.140625" style="14"/>
    <col min="6674" max="6674" width="12.7109375" style="14" customWidth="1"/>
    <col min="6675" max="6676" width="9.140625" style="14"/>
    <col min="6677" max="6677" width="11.28515625" style="14" customWidth="1"/>
    <col min="6678" max="6679" width="9.140625" style="14"/>
    <col min="6680" max="6680" width="9.5703125" style="14" customWidth="1"/>
    <col min="6681" max="6912" width="9.140625" style="14"/>
    <col min="6913" max="6913" width="10.5703125" style="14" customWidth="1"/>
    <col min="6914" max="6922" width="9.140625" style="14"/>
    <col min="6923" max="6923" width="8.140625" style="14" customWidth="1"/>
    <col min="6924" max="6925" width="9.140625" style="14"/>
    <col min="6926" max="6926" width="12.140625" style="14" customWidth="1"/>
    <col min="6927" max="6929" width="9.140625" style="14"/>
    <col min="6930" max="6930" width="12.7109375" style="14" customWidth="1"/>
    <col min="6931" max="6932" width="9.140625" style="14"/>
    <col min="6933" max="6933" width="11.28515625" style="14" customWidth="1"/>
    <col min="6934" max="6935" width="9.140625" style="14"/>
    <col min="6936" max="6936" width="9.5703125" style="14" customWidth="1"/>
    <col min="6937" max="7168" width="9.140625" style="14"/>
    <col min="7169" max="7169" width="10.5703125" style="14" customWidth="1"/>
    <col min="7170" max="7178" width="9.140625" style="14"/>
    <col min="7179" max="7179" width="8.140625" style="14" customWidth="1"/>
    <col min="7180" max="7181" width="9.140625" style="14"/>
    <col min="7182" max="7182" width="12.140625" style="14" customWidth="1"/>
    <col min="7183" max="7185" width="9.140625" style="14"/>
    <col min="7186" max="7186" width="12.7109375" style="14" customWidth="1"/>
    <col min="7187" max="7188" width="9.140625" style="14"/>
    <col min="7189" max="7189" width="11.28515625" style="14" customWidth="1"/>
    <col min="7190" max="7191" width="9.140625" style="14"/>
    <col min="7192" max="7192" width="9.5703125" style="14" customWidth="1"/>
    <col min="7193" max="7424" width="9.140625" style="14"/>
    <col min="7425" max="7425" width="10.5703125" style="14" customWidth="1"/>
    <col min="7426" max="7434" width="9.140625" style="14"/>
    <col min="7435" max="7435" width="8.140625" style="14" customWidth="1"/>
    <col min="7436" max="7437" width="9.140625" style="14"/>
    <col min="7438" max="7438" width="12.140625" style="14" customWidth="1"/>
    <col min="7439" max="7441" width="9.140625" style="14"/>
    <col min="7442" max="7442" width="12.7109375" style="14" customWidth="1"/>
    <col min="7443" max="7444" width="9.140625" style="14"/>
    <col min="7445" max="7445" width="11.28515625" style="14" customWidth="1"/>
    <col min="7446" max="7447" width="9.140625" style="14"/>
    <col min="7448" max="7448" width="9.5703125" style="14" customWidth="1"/>
    <col min="7449" max="7680" width="9.140625" style="14"/>
    <col min="7681" max="7681" width="10.5703125" style="14" customWidth="1"/>
    <col min="7682" max="7690" width="9.140625" style="14"/>
    <col min="7691" max="7691" width="8.140625" style="14" customWidth="1"/>
    <col min="7692" max="7693" width="9.140625" style="14"/>
    <col min="7694" max="7694" width="12.140625" style="14" customWidth="1"/>
    <col min="7695" max="7697" width="9.140625" style="14"/>
    <col min="7698" max="7698" width="12.7109375" style="14" customWidth="1"/>
    <col min="7699" max="7700" width="9.140625" style="14"/>
    <col min="7701" max="7701" width="11.28515625" style="14" customWidth="1"/>
    <col min="7702" max="7703" width="9.140625" style="14"/>
    <col min="7704" max="7704" width="9.5703125" style="14" customWidth="1"/>
    <col min="7705" max="7936" width="9.140625" style="14"/>
    <col min="7937" max="7937" width="10.5703125" style="14" customWidth="1"/>
    <col min="7938" max="7946" width="9.140625" style="14"/>
    <col min="7947" max="7947" width="8.140625" style="14" customWidth="1"/>
    <col min="7948" max="7949" width="9.140625" style="14"/>
    <col min="7950" max="7950" width="12.140625" style="14" customWidth="1"/>
    <col min="7951" max="7953" width="9.140625" style="14"/>
    <col min="7954" max="7954" width="12.7109375" style="14" customWidth="1"/>
    <col min="7955" max="7956" width="9.140625" style="14"/>
    <col min="7957" max="7957" width="11.28515625" style="14" customWidth="1"/>
    <col min="7958" max="7959" width="9.140625" style="14"/>
    <col min="7960" max="7960" width="9.5703125" style="14" customWidth="1"/>
    <col min="7961" max="8192" width="9.140625" style="14"/>
    <col min="8193" max="8193" width="10.5703125" style="14" customWidth="1"/>
    <col min="8194" max="8202" width="9.140625" style="14"/>
    <col min="8203" max="8203" width="8.140625" style="14" customWidth="1"/>
    <col min="8204" max="8205" width="9.140625" style="14"/>
    <col min="8206" max="8206" width="12.140625" style="14" customWidth="1"/>
    <col min="8207" max="8209" width="9.140625" style="14"/>
    <col min="8210" max="8210" width="12.7109375" style="14" customWidth="1"/>
    <col min="8211" max="8212" width="9.140625" style="14"/>
    <col min="8213" max="8213" width="11.28515625" style="14" customWidth="1"/>
    <col min="8214" max="8215" width="9.140625" style="14"/>
    <col min="8216" max="8216" width="9.5703125" style="14" customWidth="1"/>
    <col min="8217" max="8448" width="9.140625" style="14"/>
    <col min="8449" max="8449" width="10.5703125" style="14" customWidth="1"/>
    <col min="8450" max="8458" width="9.140625" style="14"/>
    <col min="8459" max="8459" width="8.140625" style="14" customWidth="1"/>
    <col min="8460" max="8461" width="9.140625" style="14"/>
    <col min="8462" max="8462" width="12.140625" style="14" customWidth="1"/>
    <col min="8463" max="8465" width="9.140625" style="14"/>
    <col min="8466" max="8466" width="12.7109375" style="14" customWidth="1"/>
    <col min="8467" max="8468" width="9.140625" style="14"/>
    <col min="8469" max="8469" width="11.28515625" style="14" customWidth="1"/>
    <col min="8470" max="8471" width="9.140625" style="14"/>
    <col min="8472" max="8472" width="9.5703125" style="14" customWidth="1"/>
    <col min="8473" max="8704" width="9.140625" style="14"/>
    <col min="8705" max="8705" width="10.5703125" style="14" customWidth="1"/>
    <col min="8706" max="8714" width="9.140625" style="14"/>
    <col min="8715" max="8715" width="8.140625" style="14" customWidth="1"/>
    <col min="8716" max="8717" width="9.140625" style="14"/>
    <col min="8718" max="8718" width="12.140625" style="14" customWidth="1"/>
    <col min="8719" max="8721" width="9.140625" style="14"/>
    <col min="8722" max="8722" width="12.7109375" style="14" customWidth="1"/>
    <col min="8723" max="8724" width="9.140625" style="14"/>
    <col min="8725" max="8725" width="11.28515625" style="14" customWidth="1"/>
    <col min="8726" max="8727" width="9.140625" style="14"/>
    <col min="8728" max="8728" width="9.5703125" style="14" customWidth="1"/>
    <col min="8729" max="8960" width="9.140625" style="14"/>
    <col min="8961" max="8961" width="10.5703125" style="14" customWidth="1"/>
    <col min="8962" max="8970" width="9.140625" style="14"/>
    <col min="8971" max="8971" width="8.140625" style="14" customWidth="1"/>
    <col min="8972" max="8973" width="9.140625" style="14"/>
    <col min="8974" max="8974" width="12.140625" style="14" customWidth="1"/>
    <col min="8975" max="8977" width="9.140625" style="14"/>
    <col min="8978" max="8978" width="12.7109375" style="14" customWidth="1"/>
    <col min="8979" max="8980" width="9.140625" style="14"/>
    <col min="8981" max="8981" width="11.28515625" style="14" customWidth="1"/>
    <col min="8982" max="8983" width="9.140625" style="14"/>
    <col min="8984" max="8984" width="9.5703125" style="14" customWidth="1"/>
    <col min="8985" max="9216" width="9.140625" style="14"/>
    <col min="9217" max="9217" width="10.5703125" style="14" customWidth="1"/>
    <col min="9218" max="9226" width="9.140625" style="14"/>
    <col min="9227" max="9227" width="8.140625" style="14" customWidth="1"/>
    <col min="9228" max="9229" width="9.140625" style="14"/>
    <col min="9230" max="9230" width="12.140625" style="14" customWidth="1"/>
    <col min="9231" max="9233" width="9.140625" style="14"/>
    <col min="9234" max="9234" width="12.7109375" style="14" customWidth="1"/>
    <col min="9235" max="9236" width="9.140625" style="14"/>
    <col min="9237" max="9237" width="11.28515625" style="14" customWidth="1"/>
    <col min="9238" max="9239" width="9.140625" style="14"/>
    <col min="9240" max="9240" width="9.5703125" style="14" customWidth="1"/>
    <col min="9241" max="9472" width="9.140625" style="14"/>
    <col min="9473" max="9473" width="10.5703125" style="14" customWidth="1"/>
    <col min="9474" max="9482" width="9.140625" style="14"/>
    <col min="9483" max="9483" width="8.140625" style="14" customWidth="1"/>
    <col min="9484" max="9485" width="9.140625" style="14"/>
    <col min="9486" max="9486" width="12.140625" style="14" customWidth="1"/>
    <col min="9487" max="9489" width="9.140625" style="14"/>
    <col min="9490" max="9490" width="12.7109375" style="14" customWidth="1"/>
    <col min="9491" max="9492" width="9.140625" style="14"/>
    <col min="9493" max="9493" width="11.28515625" style="14" customWidth="1"/>
    <col min="9494" max="9495" width="9.140625" style="14"/>
    <col min="9496" max="9496" width="9.5703125" style="14" customWidth="1"/>
    <col min="9497" max="9728" width="9.140625" style="14"/>
    <col min="9729" max="9729" width="10.5703125" style="14" customWidth="1"/>
    <col min="9730" max="9738" width="9.140625" style="14"/>
    <col min="9739" max="9739" width="8.140625" style="14" customWidth="1"/>
    <col min="9740" max="9741" width="9.140625" style="14"/>
    <col min="9742" max="9742" width="12.140625" style="14" customWidth="1"/>
    <col min="9743" max="9745" width="9.140625" style="14"/>
    <col min="9746" max="9746" width="12.7109375" style="14" customWidth="1"/>
    <col min="9747" max="9748" width="9.140625" style="14"/>
    <col min="9749" max="9749" width="11.28515625" style="14" customWidth="1"/>
    <col min="9750" max="9751" width="9.140625" style="14"/>
    <col min="9752" max="9752" width="9.5703125" style="14" customWidth="1"/>
    <col min="9753" max="9984" width="9.140625" style="14"/>
    <col min="9985" max="9985" width="10.5703125" style="14" customWidth="1"/>
    <col min="9986" max="9994" width="9.140625" style="14"/>
    <col min="9995" max="9995" width="8.140625" style="14" customWidth="1"/>
    <col min="9996" max="9997" width="9.140625" style="14"/>
    <col min="9998" max="9998" width="12.140625" style="14" customWidth="1"/>
    <col min="9999" max="10001" width="9.140625" style="14"/>
    <col min="10002" max="10002" width="12.7109375" style="14" customWidth="1"/>
    <col min="10003" max="10004" width="9.140625" style="14"/>
    <col min="10005" max="10005" width="11.28515625" style="14" customWidth="1"/>
    <col min="10006" max="10007" width="9.140625" style="14"/>
    <col min="10008" max="10008" width="9.5703125" style="14" customWidth="1"/>
    <col min="10009" max="10240" width="9.140625" style="14"/>
    <col min="10241" max="10241" width="10.5703125" style="14" customWidth="1"/>
    <col min="10242" max="10250" width="9.140625" style="14"/>
    <col min="10251" max="10251" width="8.140625" style="14" customWidth="1"/>
    <col min="10252" max="10253" width="9.140625" style="14"/>
    <col min="10254" max="10254" width="12.140625" style="14" customWidth="1"/>
    <col min="10255" max="10257" width="9.140625" style="14"/>
    <col min="10258" max="10258" width="12.7109375" style="14" customWidth="1"/>
    <col min="10259" max="10260" width="9.140625" style="14"/>
    <col min="10261" max="10261" width="11.28515625" style="14" customWidth="1"/>
    <col min="10262" max="10263" width="9.140625" style="14"/>
    <col min="10264" max="10264" width="9.5703125" style="14" customWidth="1"/>
    <col min="10265" max="10496" width="9.140625" style="14"/>
    <col min="10497" max="10497" width="10.5703125" style="14" customWidth="1"/>
    <col min="10498" max="10506" width="9.140625" style="14"/>
    <col min="10507" max="10507" width="8.140625" style="14" customWidth="1"/>
    <col min="10508" max="10509" width="9.140625" style="14"/>
    <col min="10510" max="10510" width="12.140625" style="14" customWidth="1"/>
    <col min="10511" max="10513" width="9.140625" style="14"/>
    <col min="10514" max="10514" width="12.7109375" style="14" customWidth="1"/>
    <col min="10515" max="10516" width="9.140625" style="14"/>
    <col min="10517" max="10517" width="11.28515625" style="14" customWidth="1"/>
    <col min="10518" max="10519" width="9.140625" style="14"/>
    <col min="10520" max="10520" width="9.5703125" style="14" customWidth="1"/>
    <col min="10521" max="10752" width="9.140625" style="14"/>
    <col min="10753" max="10753" width="10.5703125" style="14" customWidth="1"/>
    <col min="10754" max="10762" width="9.140625" style="14"/>
    <col min="10763" max="10763" width="8.140625" style="14" customWidth="1"/>
    <col min="10764" max="10765" width="9.140625" style="14"/>
    <col min="10766" max="10766" width="12.140625" style="14" customWidth="1"/>
    <col min="10767" max="10769" width="9.140625" style="14"/>
    <col min="10770" max="10770" width="12.7109375" style="14" customWidth="1"/>
    <col min="10771" max="10772" width="9.140625" style="14"/>
    <col min="10773" max="10773" width="11.28515625" style="14" customWidth="1"/>
    <col min="10774" max="10775" width="9.140625" style="14"/>
    <col min="10776" max="10776" width="9.5703125" style="14" customWidth="1"/>
    <col min="10777" max="11008" width="9.140625" style="14"/>
    <col min="11009" max="11009" width="10.5703125" style="14" customWidth="1"/>
    <col min="11010" max="11018" width="9.140625" style="14"/>
    <col min="11019" max="11019" width="8.140625" style="14" customWidth="1"/>
    <col min="11020" max="11021" width="9.140625" style="14"/>
    <col min="11022" max="11022" width="12.140625" style="14" customWidth="1"/>
    <col min="11023" max="11025" width="9.140625" style="14"/>
    <col min="11026" max="11026" width="12.7109375" style="14" customWidth="1"/>
    <col min="11027" max="11028" width="9.140625" style="14"/>
    <col min="11029" max="11029" width="11.28515625" style="14" customWidth="1"/>
    <col min="11030" max="11031" width="9.140625" style="14"/>
    <col min="11032" max="11032" width="9.5703125" style="14" customWidth="1"/>
    <col min="11033" max="11264" width="9.140625" style="14"/>
    <col min="11265" max="11265" width="10.5703125" style="14" customWidth="1"/>
    <col min="11266" max="11274" width="9.140625" style="14"/>
    <col min="11275" max="11275" width="8.140625" style="14" customWidth="1"/>
    <col min="11276" max="11277" width="9.140625" style="14"/>
    <col min="11278" max="11278" width="12.140625" style="14" customWidth="1"/>
    <col min="11279" max="11281" width="9.140625" style="14"/>
    <col min="11282" max="11282" width="12.7109375" style="14" customWidth="1"/>
    <col min="11283" max="11284" width="9.140625" style="14"/>
    <col min="11285" max="11285" width="11.28515625" style="14" customWidth="1"/>
    <col min="11286" max="11287" width="9.140625" style="14"/>
    <col min="11288" max="11288" width="9.5703125" style="14" customWidth="1"/>
    <col min="11289" max="11520" width="9.140625" style="14"/>
    <col min="11521" max="11521" width="10.5703125" style="14" customWidth="1"/>
    <col min="11522" max="11530" width="9.140625" style="14"/>
    <col min="11531" max="11531" width="8.140625" style="14" customWidth="1"/>
    <col min="11532" max="11533" width="9.140625" style="14"/>
    <col min="11534" max="11534" width="12.140625" style="14" customWidth="1"/>
    <col min="11535" max="11537" width="9.140625" style="14"/>
    <col min="11538" max="11538" width="12.7109375" style="14" customWidth="1"/>
    <col min="11539" max="11540" width="9.140625" style="14"/>
    <col min="11541" max="11541" width="11.28515625" style="14" customWidth="1"/>
    <col min="11542" max="11543" width="9.140625" style="14"/>
    <col min="11544" max="11544" width="9.5703125" style="14" customWidth="1"/>
    <col min="11545" max="11776" width="9.140625" style="14"/>
    <col min="11777" max="11777" width="10.5703125" style="14" customWidth="1"/>
    <col min="11778" max="11786" width="9.140625" style="14"/>
    <col min="11787" max="11787" width="8.140625" style="14" customWidth="1"/>
    <col min="11788" max="11789" width="9.140625" style="14"/>
    <col min="11790" max="11790" width="12.140625" style="14" customWidth="1"/>
    <col min="11791" max="11793" width="9.140625" style="14"/>
    <col min="11794" max="11794" width="12.7109375" style="14" customWidth="1"/>
    <col min="11795" max="11796" width="9.140625" style="14"/>
    <col min="11797" max="11797" width="11.28515625" style="14" customWidth="1"/>
    <col min="11798" max="11799" width="9.140625" style="14"/>
    <col min="11800" max="11800" width="9.5703125" style="14" customWidth="1"/>
    <col min="11801" max="12032" width="9.140625" style="14"/>
    <col min="12033" max="12033" width="10.5703125" style="14" customWidth="1"/>
    <col min="12034" max="12042" width="9.140625" style="14"/>
    <col min="12043" max="12043" width="8.140625" style="14" customWidth="1"/>
    <col min="12044" max="12045" width="9.140625" style="14"/>
    <col min="12046" max="12046" width="12.140625" style="14" customWidth="1"/>
    <col min="12047" max="12049" width="9.140625" style="14"/>
    <col min="12050" max="12050" width="12.7109375" style="14" customWidth="1"/>
    <col min="12051" max="12052" width="9.140625" style="14"/>
    <col min="12053" max="12053" width="11.28515625" style="14" customWidth="1"/>
    <col min="12054" max="12055" width="9.140625" style="14"/>
    <col min="12056" max="12056" width="9.5703125" style="14" customWidth="1"/>
    <col min="12057" max="12288" width="9.140625" style="14"/>
    <col min="12289" max="12289" width="10.5703125" style="14" customWidth="1"/>
    <col min="12290" max="12298" width="9.140625" style="14"/>
    <col min="12299" max="12299" width="8.140625" style="14" customWidth="1"/>
    <col min="12300" max="12301" width="9.140625" style="14"/>
    <col min="12302" max="12302" width="12.140625" style="14" customWidth="1"/>
    <col min="12303" max="12305" width="9.140625" style="14"/>
    <col min="12306" max="12306" width="12.7109375" style="14" customWidth="1"/>
    <col min="12307" max="12308" width="9.140625" style="14"/>
    <col min="12309" max="12309" width="11.28515625" style="14" customWidth="1"/>
    <col min="12310" max="12311" width="9.140625" style="14"/>
    <col min="12312" max="12312" width="9.5703125" style="14" customWidth="1"/>
    <col min="12313" max="12544" width="9.140625" style="14"/>
    <col min="12545" max="12545" width="10.5703125" style="14" customWidth="1"/>
    <col min="12546" max="12554" width="9.140625" style="14"/>
    <col min="12555" max="12555" width="8.140625" style="14" customWidth="1"/>
    <col min="12556" max="12557" width="9.140625" style="14"/>
    <col min="12558" max="12558" width="12.140625" style="14" customWidth="1"/>
    <col min="12559" max="12561" width="9.140625" style="14"/>
    <col min="12562" max="12562" width="12.7109375" style="14" customWidth="1"/>
    <col min="12563" max="12564" width="9.140625" style="14"/>
    <col min="12565" max="12565" width="11.28515625" style="14" customWidth="1"/>
    <col min="12566" max="12567" width="9.140625" style="14"/>
    <col min="12568" max="12568" width="9.5703125" style="14" customWidth="1"/>
    <col min="12569" max="12800" width="9.140625" style="14"/>
    <col min="12801" max="12801" width="10.5703125" style="14" customWidth="1"/>
    <col min="12802" max="12810" width="9.140625" style="14"/>
    <col min="12811" max="12811" width="8.140625" style="14" customWidth="1"/>
    <col min="12812" max="12813" width="9.140625" style="14"/>
    <col min="12814" max="12814" width="12.140625" style="14" customWidth="1"/>
    <col min="12815" max="12817" width="9.140625" style="14"/>
    <col min="12818" max="12818" width="12.7109375" style="14" customWidth="1"/>
    <col min="12819" max="12820" width="9.140625" style="14"/>
    <col min="12821" max="12821" width="11.28515625" style="14" customWidth="1"/>
    <col min="12822" max="12823" width="9.140625" style="14"/>
    <col min="12824" max="12824" width="9.5703125" style="14" customWidth="1"/>
    <col min="12825" max="13056" width="9.140625" style="14"/>
    <col min="13057" max="13057" width="10.5703125" style="14" customWidth="1"/>
    <col min="13058" max="13066" width="9.140625" style="14"/>
    <col min="13067" max="13067" width="8.140625" style="14" customWidth="1"/>
    <col min="13068" max="13069" width="9.140625" style="14"/>
    <col min="13070" max="13070" width="12.140625" style="14" customWidth="1"/>
    <col min="13071" max="13073" width="9.140625" style="14"/>
    <col min="13074" max="13074" width="12.7109375" style="14" customWidth="1"/>
    <col min="13075" max="13076" width="9.140625" style="14"/>
    <col min="13077" max="13077" width="11.28515625" style="14" customWidth="1"/>
    <col min="13078" max="13079" width="9.140625" style="14"/>
    <col min="13080" max="13080" width="9.5703125" style="14" customWidth="1"/>
    <col min="13081" max="13312" width="9.140625" style="14"/>
    <col min="13313" max="13313" width="10.5703125" style="14" customWidth="1"/>
    <col min="13314" max="13322" width="9.140625" style="14"/>
    <col min="13323" max="13323" width="8.140625" style="14" customWidth="1"/>
    <col min="13324" max="13325" width="9.140625" style="14"/>
    <col min="13326" max="13326" width="12.140625" style="14" customWidth="1"/>
    <col min="13327" max="13329" width="9.140625" style="14"/>
    <col min="13330" max="13330" width="12.7109375" style="14" customWidth="1"/>
    <col min="13331" max="13332" width="9.140625" style="14"/>
    <col min="13333" max="13333" width="11.28515625" style="14" customWidth="1"/>
    <col min="13334" max="13335" width="9.140625" style="14"/>
    <col min="13336" max="13336" width="9.5703125" style="14" customWidth="1"/>
    <col min="13337" max="13568" width="9.140625" style="14"/>
    <col min="13569" max="13569" width="10.5703125" style="14" customWidth="1"/>
    <col min="13570" max="13578" width="9.140625" style="14"/>
    <col min="13579" max="13579" width="8.140625" style="14" customWidth="1"/>
    <col min="13580" max="13581" width="9.140625" style="14"/>
    <col min="13582" max="13582" width="12.140625" style="14" customWidth="1"/>
    <col min="13583" max="13585" width="9.140625" style="14"/>
    <col min="13586" max="13586" width="12.7109375" style="14" customWidth="1"/>
    <col min="13587" max="13588" width="9.140625" style="14"/>
    <col min="13589" max="13589" width="11.28515625" style="14" customWidth="1"/>
    <col min="13590" max="13591" width="9.140625" style="14"/>
    <col min="13592" max="13592" width="9.5703125" style="14" customWidth="1"/>
    <col min="13593" max="13824" width="9.140625" style="14"/>
    <col min="13825" max="13825" width="10.5703125" style="14" customWidth="1"/>
    <col min="13826" max="13834" width="9.140625" style="14"/>
    <col min="13835" max="13835" width="8.140625" style="14" customWidth="1"/>
    <col min="13836" max="13837" width="9.140625" style="14"/>
    <col min="13838" max="13838" width="12.140625" style="14" customWidth="1"/>
    <col min="13839" max="13841" width="9.140625" style="14"/>
    <col min="13842" max="13842" width="12.7109375" style="14" customWidth="1"/>
    <col min="13843" max="13844" width="9.140625" style="14"/>
    <col min="13845" max="13845" width="11.28515625" style="14" customWidth="1"/>
    <col min="13846" max="13847" width="9.140625" style="14"/>
    <col min="13848" max="13848" width="9.5703125" style="14" customWidth="1"/>
    <col min="13849" max="14080" width="9.140625" style="14"/>
    <col min="14081" max="14081" width="10.5703125" style="14" customWidth="1"/>
    <col min="14082" max="14090" width="9.140625" style="14"/>
    <col min="14091" max="14091" width="8.140625" style="14" customWidth="1"/>
    <col min="14092" max="14093" width="9.140625" style="14"/>
    <col min="14094" max="14094" width="12.140625" style="14" customWidth="1"/>
    <col min="14095" max="14097" width="9.140625" style="14"/>
    <col min="14098" max="14098" width="12.7109375" style="14" customWidth="1"/>
    <col min="14099" max="14100" width="9.140625" style="14"/>
    <col min="14101" max="14101" width="11.28515625" style="14" customWidth="1"/>
    <col min="14102" max="14103" width="9.140625" style="14"/>
    <col min="14104" max="14104" width="9.5703125" style="14" customWidth="1"/>
    <col min="14105" max="14336" width="9.140625" style="14"/>
    <col min="14337" max="14337" width="10.5703125" style="14" customWidth="1"/>
    <col min="14338" max="14346" width="9.140625" style="14"/>
    <col min="14347" max="14347" width="8.140625" style="14" customWidth="1"/>
    <col min="14348" max="14349" width="9.140625" style="14"/>
    <col min="14350" max="14350" width="12.140625" style="14" customWidth="1"/>
    <col min="14351" max="14353" width="9.140625" style="14"/>
    <col min="14354" max="14354" width="12.7109375" style="14" customWidth="1"/>
    <col min="14355" max="14356" width="9.140625" style="14"/>
    <col min="14357" max="14357" width="11.28515625" style="14" customWidth="1"/>
    <col min="14358" max="14359" width="9.140625" style="14"/>
    <col min="14360" max="14360" width="9.5703125" style="14" customWidth="1"/>
    <col min="14361" max="14592" width="9.140625" style="14"/>
    <col min="14593" max="14593" width="10.5703125" style="14" customWidth="1"/>
    <col min="14594" max="14602" width="9.140625" style="14"/>
    <col min="14603" max="14603" width="8.140625" style="14" customWidth="1"/>
    <col min="14604" max="14605" width="9.140625" style="14"/>
    <col min="14606" max="14606" width="12.140625" style="14" customWidth="1"/>
    <col min="14607" max="14609" width="9.140625" style="14"/>
    <col min="14610" max="14610" width="12.7109375" style="14" customWidth="1"/>
    <col min="14611" max="14612" width="9.140625" style="14"/>
    <col min="14613" max="14613" width="11.28515625" style="14" customWidth="1"/>
    <col min="14614" max="14615" width="9.140625" style="14"/>
    <col min="14616" max="14616" width="9.5703125" style="14" customWidth="1"/>
    <col min="14617" max="14848" width="9.140625" style="14"/>
    <col min="14849" max="14849" width="10.5703125" style="14" customWidth="1"/>
    <col min="14850" max="14858" width="9.140625" style="14"/>
    <col min="14859" max="14859" width="8.140625" style="14" customWidth="1"/>
    <col min="14860" max="14861" width="9.140625" style="14"/>
    <col min="14862" max="14862" width="12.140625" style="14" customWidth="1"/>
    <col min="14863" max="14865" width="9.140625" style="14"/>
    <col min="14866" max="14866" width="12.7109375" style="14" customWidth="1"/>
    <col min="14867" max="14868" width="9.140625" style="14"/>
    <col min="14869" max="14869" width="11.28515625" style="14" customWidth="1"/>
    <col min="14870" max="14871" width="9.140625" style="14"/>
    <col min="14872" max="14872" width="9.5703125" style="14" customWidth="1"/>
    <col min="14873" max="15104" width="9.140625" style="14"/>
    <col min="15105" max="15105" width="10.5703125" style="14" customWidth="1"/>
    <col min="15106" max="15114" width="9.140625" style="14"/>
    <col min="15115" max="15115" width="8.140625" style="14" customWidth="1"/>
    <col min="15116" max="15117" width="9.140625" style="14"/>
    <col min="15118" max="15118" width="12.140625" style="14" customWidth="1"/>
    <col min="15119" max="15121" width="9.140625" style="14"/>
    <col min="15122" max="15122" width="12.7109375" style="14" customWidth="1"/>
    <col min="15123" max="15124" width="9.140625" style="14"/>
    <col min="15125" max="15125" width="11.28515625" style="14" customWidth="1"/>
    <col min="15126" max="15127" width="9.140625" style="14"/>
    <col min="15128" max="15128" width="9.5703125" style="14" customWidth="1"/>
    <col min="15129" max="15360" width="9.140625" style="14"/>
    <col min="15361" max="15361" width="10.5703125" style="14" customWidth="1"/>
    <col min="15362" max="15370" width="9.140625" style="14"/>
    <col min="15371" max="15371" width="8.140625" style="14" customWidth="1"/>
    <col min="15372" max="15373" width="9.140625" style="14"/>
    <col min="15374" max="15374" width="12.140625" style="14" customWidth="1"/>
    <col min="15375" max="15377" width="9.140625" style="14"/>
    <col min="15378" max="15378" width="12.7109375" style="14" customWidth="1"/>
    <col min="15379" max="15380" width="9.140625" style="14"/>
    <col min="15381" max="15381" width="11.28515625" style="14" customWidth="1"/>
    <col min="15382" max="15383" width="9.140625" style="14"/>
    <col min="15384" max="15384" width="9.5703125" style="14" customWidth="1"/>
    <col min="15385" max="15616" width="9.140625" style="14"/>
    <col min="15617" max="15617" width="10.5703125" style="14" customWidth="1"/>
    <col min="15618" max="15626" width="9.140625" style="14"/>
    <col min="15627" max="15627" width="8.140625" style="14" customWidth="1"/>
    <col min="15628" max="15629" width="9.140625" style="14"/>
    <col min="15630" max="15630" width="12.140625" style="14" customWidth="1"/>
    <col min="15631" max="15633" width="9.140625" style="14"/>
    <col min="15634" max="15634" width="12.7109375" style="14" customWidth="1"/>
    <col min="15635" max="15636" width="9.140625" style="14"/>
    <col min="15637" max="15637" width="11.28515625" style="14" customWidth="1"/>
    <col min="15638" max="15639" width="9.140625" style="14"/>
    <col min="15640" max="15640" width="9.5703125" style="14" customWidth="1"/>
    <col min="15641" max="15872" width="9.140625" style="14"/>
    <col min="15873" max="15873" width="10.5703125" style="14" customWidth="1"/>
    <col min="15874" max="15882" width="9.140625" style="14"/>
    <col min="15883" max="15883" width="8.140625" style="14" customWidth="1"/>
    <col min="15884" max="15885" width="9.140625" style="14"/>
    <col min="15886" max="15886" width="12.140625" style="14" customWidth="1"/>
    <col min="15887" max="15889" width="9.140625" style="14"/>
    <col min="15890" max="15890" width="12.7109375" style="14" customWidth="1"/>
    <col min="15891" max="15892" width="9.140625" style="14"/>
    <col min="15893" max="15893" width="11.28515625" style="14" customWidth="1"/>
    <col min="15894" max="15895" width="9.140625" style="14"/>
    <col min="15896" max="15896" width="9.5703125" style="14" customWidth="1"/>
    <col min="15897" max="16128" width="9.140625" style="14"/>
    <col min="16129" max="16129" width="10.5703125" style="14" customWidth="1"/>
    <col min="16130" max="16138" width="9.140625" style="14"/>
    <col min="16139" max="16139" width="8.140625" style="14" customWidth="1"/>
    <col min="16140" max="16141" width="9.140625" style="14"/>
    <col min="16142" max="16142" width="12.140625" style="14" customWidth="1"/>
    <col min="16143" max="16145" width="9.140625" style="14"/>
    <col min="16146" max="16146" width="12.7109375" style="14" customWidth="1"/>
    <col min="16147" max="16148" width="9.140625" style="14"/>
    <col min="16149" max="16149" width="11.28515625" style="14" customWidth="1"/>
    <col min="16150" max="16151" width="9.140625" style="14"/>
    <col min="16152" max="16152" width="9.5703125" style="14" customWidth="1"/>
    <col min="16153" max="16384" width="9.140625" style="14"/>
  </cols>
  <sheetData>
    <row r="1" spans="1:25" x14ac:dyDescent="0.2">
      <c r="C1" s="15"/>
    </row>
    <row r="2" spans="1:25" x14ac:dyDescent="0.2">
      <c r="A2" s="14" t="s">
        <v>19</v>
      </c>
      <c r="B2" s="14">
        <f>E2/100</f>
        <v>0.19</v>
      </c>
      <c r="E2" s="14">
        <v>19</v>
      </c>
      <c r="F2" s="16"/>
      <c r="G2" s="14" t="s">
        <v>0</v>
      </c>
      <c r="H2" s="25">
        <f>10^($L$2-3)</f>
        <v>1E-3</v>
      </c>
      <c r="J2" s="17"/>
      <c r="L2" s="18">
        <v>0</v>
      </c>
      <c r="X2" s="14">
        <f>$E$2/100</f>
        <v>0.19</v>
      </c>
      <c r="Y2" s="14">
        <f>10^($L$2-3)</f>
        <v>1E-3</v>
      </c>
    </row>
    <row r="3" spans="1:25" x14ac:dyDescent="0.2">
      <c r="A3" s="14" t="s">
        <v>20</v>
      </c>
      <c r="B3" s="14">
        <v>0.10702</v>
      </c>
      <c r="F3" s="16"/>
      <c r="G3" s="14" t="s">
        <v>1</v>
      </c>
      <c r="H3" s="25">
        <v>1.12558E-2</v>
      </c>
      <c r="J3" s="17"/>
      <c r="M3" s="18"/>
      <c r="X3" s="14">
        <v>0</v>
      </c>
      <c r="Y3" s="14">
        <v>0.01</v>
      </c>
    </row>
    <row r="4" spans="1:25" x14ac:dyDescent="0.2">
      <c r="A4" s="14" t="s">
        <v>21</v>
      </c>
      <c r="B4" s="14">
        <v>9.4674499999999995E-2</v>
      </c>
      <c r="F4" s="16"/>
      <c r="G4" s="14" t="s">
        <v>2</v>
      </c>
      <c r="H4" s="25">
        <v>7.4025800000000003E-2</v>
      </c>
      <c r="J4" s="17"/>
      <c r="X4" s="14">
        <v>0.2</v>
      </c>
      <c r="Y4" s="14">
        <v>0.1</v>
      </c>
    </row>
    <row r="5" spans="1:25" x14ac:dyDescent="0.2">
      <c r="A5" s="14" t="s">
        <v>22</v>
      </c>
      <c r="B5" s="14">
        <v>8.6307599999999998E-2</v>
      </c>
      <c r="F5" s="16"/>
      <c r="G5" s="14" t="s">
        <v>3</v>
      </c>
      <c r="H5" s="25">
        <v>0.57113000000000003</v>
      </c>
      <c r="J5" s="17"/>
      <c r="X5" s="14">
        <v>0</v>
      </c>
      <c r="Y5" s="14">
        <v>1</v>
      </c>
    </row>
    <row r="6" spans="1:25" x14ac:dyDescent="0.2">
      <c r="A6" s="14" t="s">
        <v>23</v>
      </c>
      <c r="B6" s="16">
        <v>6.54333E-2</v>
      </c>
      <c r="F6" s="16"/>
      <c r="G6" s="14" t="s">
        <v>4</v>
      </c>
      <c r="H6" s="25">
        <v>4.4292999999999996</v>
      </c>
      <c r="J6" s="17"/>
      <c r="X6" s="14">
        <v>0.2</v>
      </c>
      <c r="Y6" s="14">
        <v>10</v>
      </c>
    </row>
    <row r="7" spans="1:25" x14ac:dyDescent="0.2">
      <c r="A7" s="14" t="s">
        <v>24</v>
      </c>
      <c r="B7" s="14">
        <v>5.7645500000000002E-2</v>
      </c>
      <c r="F7" s="16"/>
      <c r="G7" s="14" t="s">
        <v>9</v>
      </c>
      <c r="H7" s="25">
        <v>34</v>
      </c>
      <c r="J7" s="17"/>
      <c r="M7" s="15"/>
      <c r="X7" s="14">
        <v>0</v>
      </c>
      <c r="Y7" s="14">
        <v>100</v>
      </c>
    </row>
    <row r="8" spans="1:25" x14ac:dyDescent="0.2">
      <c r="A8" s="14" t="s">
        <v>25</v>
      </c>
      <c r="B8" s="14">
        <v>6.6409399999999993E-2</v>
      </c>
      <c r="G8" s="14" t="s">
        <v>8</v>
      </c>
      <c r="H8" s="25">
        <v>412.47</v>
      </c>
      <c r="J8" s="17"/>
      <c r="M8" s="15"/>
      <c r="X8" s="14">
        <v>0.2</v>
      </c>
      <c r="Y8" s="14">
        <v>1000</v>
      </c>
    </row>
    <row r="9" spans="1:25" x14ac:dyDescent="0.2">
      <c r="B9" s="17"/>
      <c r="D9" s="19"/>
      <c r="J9" s="17"/>
      <c r="M9" s="15"/>
    </row>
    <row r="10" spans="1:25" x14ac:dyDescent="0.2">
      <c r="A10" s="14" t="s">
        <v>10</v>
      </c>
      <c r="B10" s="20">
        <f>SUM(B2:B8)</f>
        <v>0.66749029999999998</v>
      </c>
      <c r="M10" s="15"/>
    </row>
    <row r="11" spans="1:25" x14ac:dyDescent="0.2">
      <c r="B11" s="20"/>
      <c r="M11" s="15"/>
    </row>
    <row r="12" spans="1:25" x14ac:dyDescent="0.2">
      <c r="B12" s="18" t="s">
        <v>5</v>
      </c>
      <c r="D12" s="14" t="s">
        <v>6</v>
      </c>
      <c r="E12" s="18" t="s">
        <v>13</v>
      </c>
      <c r="F12" s="18" t="s">
        <v>14</v>
      </c>
      <c r="G12" s="18" t="s">
        <v>15</v>
      </c>
      <c r="H12" s="18" t="s">
        <v>16</v>
      </c>
      <c r="I12" s="18" t="s">
        <v>17</v>
      </c>
      <c r="J12" s="18" t="s">
        <v>18</v>
      </c>
      <c r="L12" s="18" t="s">
        <v>7</v>
      </c>
      <c r="M12" s="15"/>
    </row>
    <row r="13" spans="1:25" x14ac:dyDescent="0.2">
      <c r="B13" s="21">
        <v>1.0000000000000001E-5</v>
      </c>
      <c r="D13" s="21">
        <f t="shared" ref="D13:D52" si="0">G_1*(1-EXP(-B13/Tau_1))</f>
        <v>1.8905315876580598E-3</v>
      </c>
      <c r="E13" s="22">
        <f t="shared" ref="E13:E52" si="1">G_2*(1-EXP(-B13/Tau_2))</f>
        <v>9.5037646493857409E-5</v>
      </c>
      <c r="F13" s="21">
        <f t="shared" ref="F13:F52" si="2">G_3*(1-EXP(-B13/Tau_3))</f>
        <v>1.2788528538940035E-5</v>
      </c>
      <c r="G13" s="21">
        <f t="shared" ref="G13:G52" si="3">G_4*(1-EXP(-B13/Tau_4))</f>
        <v>1.5111593580837544E-6</v>
      </c>
      <c r="H13" s="21">
        <f t="shared" ref="H13:H52" si="4">G_5*(1-EXP(-B13/Tau_5))</f>
        <v>1.4772814245221715E-7</v>
      </c>
      <c r="I13" s="21">
        <f t="shared" ref="I13:I52" si="5">G_6*(1-EXP(-B13/Tau_6))</f>
        <v>1.6954556331430062E-8</v>
      </c>
      <c r="J13" s="21">
        <f>G_7*(1-EXP(-B13/Tau_7))</f>
        <v>1.610041926327077E-9</v>
      </c>
      <c r="L13" s="22">
        <f>1-SUM(D13:J13)</f>
        <v>0.99799996478521036</v>
      </c>
      <c r="M13" s="15"/>
    </row>
    <row r="14" spans="1:25" x14ac:dyDescent="0.2">
      <c r="B14" s="21">
        <v>2.0000000000000002E-5</v>
      </c>
      <c r="D14" s="21">
        <f t="shared" si="0"/>
        <v>3.7622520717165019E-3</v>
      </c>
      <c r="E14" s="22">
        <f t="shared" si="1"/>
        <v>1.899908961062763E-4</v>
      </c>
      <c r="F14" s="21">
        <f t="shared" si="2"/>
        <v>2.5575329617339453E-5</v>
      </c>
      <c r="G14" s="21">
        <f t="shared" si="3"/>
        <v>3.0222922572784934E-6</v>
      </c>
      <c r="H14" s="21">
        <f t="shared" si="4"/>
        <v>2.9545595138142106E-7</v>
      </c>
      <c r="I14" s="21">
        <f t="shared" si="5"/>
        <v>3.3909107670909936E-8</v>
      </c>
      <c r="J14" s="21">
        <f t="shared" ref="J14:J52" si="6">G_7*(1-EXP(-B14/Tau_7))</f>
        <v>3.2200838084166069E-9</v>
      </c>
      <c r="L14" s="22">
        <f t="shared" ref="L14:L52" si="7">1-SUM(D14:J14)</f>
        <v>0.99601882682515974</v>
      </c>
      <c r="M14" s="15"/>
    </row>
    <row r="15" spans="1:25" x14ac:dyDescent="0.2">
      <c r="B15" s="21">
        <v>3.0000000000000001E-5</v>
      </c>
      <c r="D15" s="21">
        <f t="shared" si="0"/>
        <v>5.6153486257834503E-3</v>
      </c>
      <c r="E15" s="22">
        <f t="shared" si="1"/>
        <v>2.8485982378475714E-4</v>
      </c>
      <c r="F15" s="21">
        <f t="shared" si="2"/>
        <v>3.8360403468552539E-5</v>
      </c>
      <c r="G15" s="21">
        <f t="shared" si="3"/>
        <v>4.5333986980633206E-6</v>
      </c>
      <c r="H15" s="21">
        <f t="shared" si="4"/>
        <v>4.4318342678034722E-7</v>
      </c>
      <c r="I15" s="21">
        <f t="shared" si="5"/>
        <v>5.0863654031239495E-8</v>
      </c>
      <c r="J15" s="21">
        <f t="shared" si="6"/>
        <v>4.8301256536415142E-9</v>
      </c>
      <c r="L15" s="22">
        <f t="shared" si="7"/>
        <v>0.99405639887105868</v>
      </c>
      <c r="M15" s="15"/>
    </row>
    <row r="16" spans="1:25" x14ac:dyDescent="0.2">
      <c r="B16" s="21">
        <v>1E-4</v>
      </c>
      <c r="D16" s="21">
        <f t="shared" si="0"/>
        <v>1.8080890573167693E-2</v>
      </c>
      <c r="E16" s="22">
        <f t="shared" si="1"/>
        <v>9.4658758501160462E-4</v>
      </c>
      <c r="F16" s="21">
        <f t="shared" si="2"/>
        <v>1.2780757766000882E-4</v>
      </c>
      <c r="G16" s="21">
        <f t="shared" si="3"/>
        <v>1.5110402986714481E-5</v>
      </c>
      <c r="H16" s="21">
        <f t="shared" si="4"/>
        <v>1.4772664160011049E-6</v>
      </c>
      <c r="I16" s="21">
        <f t="shared" si="5"/>
        <v>1.6954533890693992E-7</v>
      </c>
      <c r="J16" s="21">
        <f t="shared" si="6"/>
        <v>1.6100417471650116E-8</v>
      </c>
      <c r="L16" s="22">
        <f t="shared" si="7"/>
        <v>0.98082794094900161</v>
      </c>
      <c r="M16" s="15"/>
    </row>
    <row r="17" spans="2:13" x14ac:dyDescent="0.2">
      <c r="B17" s="21">
        <v>2.0000000000000001E-4</v>
      </c>
      <c r="D17" s="21">
        <f t="shared" si="0"/>
        <v>3.4441156915183457E-2</v>
      </c>
      <c r="E17" s="22">
        <f t="shared" si="1"/>
        <v>1.8848026409996829E-3</v>
      </c>
      <c r="F17" s="21">
        <f t="shared" si="2"/>
        <v>2.5544261913648474E-4</v>
      </c>
      <c r="G17" s="21">
        <f t="shared" si="3"/>
        <v>3.0218160502133148E-5</v>
      </c>
      <c r="H17" s="21">
        <f t="shared" si="4"/>
        <v>2.9544994802384627E-6</v>
      </c>
      <c r="I17" s="21">
        <f t="shared" si="5"/>
        <v>3.390901791436559E-7</v>
      </c>
      <c r="J17" s="21">
        <f t="shared" si="6"/>
        <v>3.220083104302318E-8</v>
      </c>
      <c r="L17" s="22">
        <f t="shared" si="7"/>
        <v>0.96338505387368778</v>
      </c>
      <c r="M17" s="15"/>
    </row>
    <row r="18" spans="2:13" x14ac:dyDescent="0.2">
      <c r="B18" s="21">
        <v>2.9999999999999997E-4</v>
      </c>
      <c r="D18" s="21">
        <f t="shared" si="0"/>
        <v>4.9244538070473604E-2</v>
      </c>
      <c r="E18" s="22">
        <f t="shared" si="1"/>
        <v>2.8147192226458625E-3</v>
      </c>
      <c r="F18" s="21">
        <f t="shared" si="2"/>
        <v>3.8290535734782603E-4</v>
      </c>
      <c r="G18" s="21">
        <f t="shared" si="3"/>
        <v>4.5323273009414866E-5</v>
      </c>
      <c r="H18" s="21">
        <f t="shared" si="4"/>
        <v>4.4316991934675878E-6</v>
      </c>
      <c r="I18" s="21">
        <f t="shared" si="5"/>
        <v>5.0863452072934784E-7</v>
      </c>
      <c r="J18" s="21">
        <f t="shared" si="6"/>
        <v>4.8301240706746259E-8</v>
      </c>
      <c r="L18" s="22">
        <f t="shared" si="7"/>
        <v>0.94750752544156835</v>
      </c>
      <c r="M18" s="15"/>
    </row>
    <row r="19" spans="2:13" x14ac:dyDescent="0.2">
      <c r="B19" s="21">
        <v>1E-3</v>
      </c>
      <c r="D19" s="21">
        <f t="shared" si="0"/>
        <v>0.12010290617742596</v>
      </c>
      <c r="E19" s="22">
        <f t="shared" si="1"/>
        <v>9.0978625028781956E-3</v>
      </c>
      <c r="F19" s="21">
        <f t="shared" si="2"/>
        <v>1.2703395326236348E-3</v>
      </c>
      <c r="G19" s="21">
        <f t="shared" si="3"/>
        <v>1.5098503922088841E-4</v>
      </c>
      <c r="H19" s="21">
        <f t="shared" si="4"/>
        <v>1.4771163420940862E-5</v>
      </c>
      <c r="I19" s="21">
        <f t="shared" si="5"/>
        <v>1.6954309494213189E-6</v>
      </c>
      <c r="J19" s="21">
        <f t="shared" si="6"/>
        <v>1.6100399907132097E-7</v>
      </c>
      <c r="L19" s="22">
        <f t="shared" si="7"/>
        <v>0.86936127914948191</v>
      </c>
      <c r="M19" s="15"/>
    </row>
    <row r="20" spans="2:13" x14ac:dyDescent="0.2">
      <c r="B20" s="21">
        <v>2E-3</v>
      </c>
      <c r="D20" s="21">
        <f t="shared" si="0"/>
        <v>0.16428629618504359</v>
      </c>
      <c r="E20" s="22">
        <f t="shared" si="1"/>
        <v>1.7422307867639434E-2</v>
      </c>
      <c r="F20" s="21">
        <f t="shared" si="2"/>
        <v>2.5236336884230351E-3</v>
      </c>
      <c r="G20" s="21">
        <f t="shared" si="3"/>
        <v>3.0170594779664823E-4</v>
      </c>
      <c r="H20" s="21">
        <f t="shared" si="4"/>
        <v>2.95389923429559E-5</v>
      </c>
      <c r="I20" s="21">
        <f t="shared" si="5"/>
        <v>3.3908120339642273E-6</v>
      </c>
      <c r="J20" s="21">
        <f t="shared" si="6"/>
        <v>3.2200760780527344E-7</v>
      </c>
      <c r="L20" s="22">
        <f t="shared" si="7"/>
        <v>0.8154328044991126</v>
      </c>
      <c r="M20" s="15"/>
    </row>
    <row r="21" spans="2:13" x14ac:dyDescent="0.2">
      <c r="B21" s="21">
        <v>3.0000000000000001E-3</v>
      </c>
      <c r="D21" s="21">
        <f t="shared" si="0"/>
        <v>0.18054045701010585</v>
      </c>
      <c r="E21" s="22">
        <f t="shared" si="1"/>
        <v>2.5039084952253789E-2</v>
      </c>
      <c r="F21" s="21">
        <f t="shared" si="2"/>
        <v>3.7601111817407852E-3</v>
      </c>
      <c r="G21" s="21">
        <f t="shared" si="3"/>
        <v>4.5216318779288454E-4</v>
      </c>
      <c r="H21" s="21">
        <f t="shared" si="4"/>
        <v>4.4303487518783839E-5</v>
      </c>
      <c r="I21" s="21">
        <f t="shared" si="5"/>
        <v>5.0861432550879104E-6</v>
      </c>
      <c r="J21" s="21">
        <f t="shared" si="6"/>
        <v>4.8301082620185734E-7</v>
      </c>
      <c r="L21" s="22">
        <f t="shared" si="7"/>
        <v>0.79015831102650669</v>
      </c>
      <c r="M21" s="15"/>
    </row>
    <row r="22" spans="2:13" x14ac:dyDescent="0.2">
      <c r="B22" s="21">
        <v>4.0000000000000001E-3</v>
      </c>
      <c r="D22" s="21">
        <f t="shared" si="0"/>
        <v>0.1865200286111405</v>
      </c>
      <c r="E22" s="22">
        <f t="shared" si="1"/>
        <v>3.200835324756806E-2</v>
      </c>
      <c r="F22" s="21">
        <f t="shared" si="2"/>
        <v>4.9799976580374777E-3</v>
      </c>
      <c r="G22" s="21">
        <f t="shared" si="3"/>
        <v>6.0235722046692638E-4</v>
      </c>
      <c r="H22" s="21">
        <f t="shared" si="4"/>
        <v>5.9064649700996313E-5</v>
      </c>
      <c r="I22" s="21">
        <f t="shared" si="5"/>
        <v>6.7814246142579534E-6</v>
      </c>
      <c r="J22" s="21">
        <f t="shared" si="6"/>
        <v>6.4401365425369989E-7</v>
      </c>
      <c r="L22" s="22">
        <f t="shared" si="7"/>
        <v>0.77582277317481751</v>
      </c>
      <c r="M22" s="15"/>
    </row>
    <row r="23" spans="2:13" x14ac:dyDescent="0.2">
      <c r="B23" s="21">
        <v>5.0000000000000001E-3</v>
      </c>
      <c r="D23" s="21">
        <f t="shared" si="0"/>
        <v>0.18871979007017375</v>
      </c>
      <c r="E23" s="22">
        <f t="shared" si="1"/>
        <v>3.8385158034225646E-2</v>
      </c>
      <c r="F23" s="21">
        <f t="shared" si="2"/>
        <v>6.1835157350698155E-3</v>
      </c>
      <c r="G23" s="21">
        <f t="shared" si="3"/>
        <v>7.5228850626914861E-4</v>
      </c>
      <c r="H23" s="21">
        <f t="shared" si="4"/>
        <v>7.3822479641997885E-5</v>
      </c>
      <c r="I23" s="21">
        <f t="shared" si="5"/>
        <v>8.4766561129527424E-6</v>
      </c>
      <c r="J23" s="21">
        <f t="shared" si="6"/>
        <v>8.0501609197554674E-7</v>
      </c>
      <c r="L23" s="22">
        <f t="shared" si="7"/>
        <v>0.76587614350241473</v>
      </c>
      <c r="M23" s="15"/>
    </row>
    <row r="24" spans="2:13" x14ac:dyDescent="0.2">
      <c r="B24" s="21">
        <v>6.3E-3</v>
      </c>
      <c r="D24" s="21">
        <f t="shared" si="0"/>
        <v>0.18965110209236452</v>
      </c>
      <c r="E24" s="22">
        <f t="shared" si="1"/>
        <v>4.5871563396489255E-2</v>
      </c>
      <c r="F24" s="21">
        <f t="shared" si="2"/>
        <v>7.7239792968017149E-3</v>
      </c>
      <c r="G24" s="21">
        <f t="shared" si="3"/>
        <v>9.4680712702548239E-4</v>
      </c>
      <c r="H24" s="21">
        <f t="shared" si="4"/>
        <v>9.3002678101713386E-5</v>
      </c>
      <c r="I24" s="21">
        <f t="shared" si="5"/>
        <v>1.0680382522237214E-5</v>
      </c>
      <c r="J24" s="21">
        <f t="shared" si="6"/>
        <v>1.0143186774491861E-6</v>
      </c>
      <c r="L24" s="22">
        <f t="shared" si="7"/>
        <v>0.75570185070801754</v>
      </c>
      <c r="M24" s="15"/>
    </row>
    <row r="25" spans="2:13" x14ac:dyDescent="0.2">
      <c r="B25" s="21">
        <v>7.4999999999999997E-3</v>
      </c>
      <c r="D25" s="21">
        <f t="shared" si="0"/>
        <v>0.18989491396967192</v>
      </c>
      <c r="E25" s="22">
        <f t="shared" si="1"/>
        <v>5.2055221300609106E-2</v>
      </c>
      <c r="F25" s="21">
        <f t="shared" si="2"/>
        <v>9.1221332645617607E-3</v>
      </c>
      <c r="G25" s="21">
        <f t="shared" si="3"/>
        <v>1.1259702176515786E-3</v>
      </c>
      <c r="H25" s="21">
        <f t="shared" si="4"/>
        <v>1.107024808753053E-4</v>
      </c>
      <c r="I25" s="21">
        <f t="shared" si="5"/>
        <v>1.271451672968398E-5</v>
      </c>
      <c r="J25" s="21">
        <f t="shared" si="6"/>
        <v>1.2075204785449607E-6</v>
      </c>
      <c r="L25" s="22">
        <f t="shared" si="7"/>
        <v>0.74767713672942215</v>
      </c>
      <c r="M25" s="15"/>
    </row>
    <row r="26" spans="2:13" x14ac:dyDescent="0.2">
      <c r="B26" s="21">
        <v>0.01</v>
      </c>
      <c r="D26" s="21">
        <f t="shared" si="0"/>
        <v>0.18999137401334512</v>
      </c>
      <c r="E26" s="22">
        <f t="shared" si="1"/>
        <v>6.3002605759046718E-2</v>
      </c>
      <c r="F26" s="21">
        <f t="shared" si="2"/>
        <v>1.1963164886784498E-2</v>
      </c>
      <c r="G26" s="21">
        <f t="shared" si="3"/>
        <v>1.4980197916601341E-3</v>
      </c>
      <c r="H26" s="21">
        <f t="shared" si="4"/>
        <v>1.4756167205102962E-4</v>
      </c>
      <c r="I26" s="21">
        <f t="shared" si="5"/>
        <v>1.6952065750478158E-5</v>
      </c>
      <c r="J26" s="21">
        <f t="shared" si="6"/>
        <v>1.6100224255242536E-6</v>
      </c>
      <c r="L26" s="22">
        <f t="shared" si="7"/>
        <v>0.73337871178893643</v>
      </c>
      <c r="M26" s="15"/>
    </row>
    <row r="27" spans="2:13" x14ac:dyDescent="0.2">
      <c r="B27" s="21">
        <v>0.02</v>
      </c>
      <c r="D27" s="21">
        <f t="shared" si="0"/>
        <v>0.18999999960838082</v>
      </c>
      <c r="E27" s="22">
        <f t="shared" si="1"/>
        <v>8.8915617681148321E-2</v>
      </c>
      <c r="F27" s="21">
        <f t="shared" si="2"/>
        <v>2.2414652245740567E-2</v>
      </c>
      <c r="G27" s="21">
        <f t="shared" si="3"/>
        <v>2.9700388221334689E-3</v>
      </c>
      <c r="H27" s="21">
        <f t="shared" si="4"/>
        <v>2.9479057092604338E-4</v>
      </c>
      <c r="I27" s="21">
        <f t="shared" si="5"/>
        <v>3.3899146332417295E-5</v>
      </c>
      <c r="J27" s="21">
        <f t="shared" si="6"/>
        <v>3.2200058178351333E-6</v>
      </c>
      <c r="L27" s="22">
        <f t="shared" si="7"/>
        <v>0.69536778191952053</v>
      </c>
      <c r="M27" s="15"/>
    </row>
    <row r="28" spans="2:13" x14ac:dyDescent="0.2">
      <c r="B28" s="21">
        <v>0.03</v>
      </c>
      <c r="D28" s="21">
        <f t="shared" si="0"/>
        <v>0.18999999999998221</v>
      </c>
      <c r="E28" s="22">
        <f t="shared" si="1"/>
        <v>9.957365600805608E-2</v>
      </c>
      <c r="F28" s="21">
        <f t="shared" si="2"/>
        <v>3.1545479167225755E-2</v>
      </c>
      <c r="G28" s="21">
        <f t="shared" si="3"/>
        <v>4.416508380238794E-3</v>
      </c>
      <c r="H28" s="21">
        <f t="shared" si="4"/>
        <v>4.4168744707726883E-4</v>
      </c>
      <c r="I28" s="21">
        <f t="shared" si="5"/>
        <v>5.0841243211825181E-5</v>
      </c>
      <c r="J28" s="21">
        <f t="shared" si="6"/>
        <v>4.8299501778763728E-6</v>
      </c>
      <c r="L28" s="22">
        <f t="shared" si="7"/>
        <v>0.67396699780403013</v>
      </c>
      <c r="M28" s="15"/>
    </row>
    <row r="29" spans="2:13" x14ac:dyDescent="0.2">
      <c r="B29" s="21">
        <v>0.04</v>
      </c>
      <c r="D29" s="21">
        <f>G_1*(1-EXP(-B29/Tau_1))</f>
        <v>0.19</v>
      </c>
      <c r="E29" s="22">
        <f>G_2*(1-EXP(-B29/Tau_2))</f>
        <v>0.10395731396797656</v>
      </c>
      <c r="F29" s="21">
        <f>G_3*(1-EXP(-B29/Tau_3))</f>
        <v>3.9522525630251513E-2</v>
      </c>
      <c r="G29" s="21">
        <f>G_4*(1-EXP(-B29/Tau_4))</f>
        <v>5.8378719218858347E-3</v>
      </c>
      <c r="H29" s="21">
        <f>G_5*(1-EXP(-B29/Tau_5))</f>
        <v>5.8825304926456081E-4</v>
      </c>
      <c r="I29" s="21">
        <f>G_6*(1-EXP(-B29/Tau_6))</f>
        <v>6.7778357854280782E-5</v>
      </c>
      <c r="J29" s="21">
        <f>G_7*(1-EXP(-B29/Tau_7))</f>
        <v>6.4398555065990803E-6</v>
      </c>
      <c r="L29" s="22">
        <f t="shared" si="7"/>
        <v>0.66001981721726066</v>
      </c>
      <c r="M29" s="15"/>
    </row>
    <row r="30" spans="2:13" x14ac:dyDescent="0.2">
      <c r="B30" s="21">
        <v>0.05</v>
      </c>
      <c r="D30" s="21">
        <f>G_1*(1-EXP(-B30/Tau_1))</f>
        <v>0.19</v>
      </c>
      <c r="E30" s="22">
        <f>G_2*(1-EXP(-B30/Tau_2))</f>
        <v>0.10576031528211702</v>
      </c>
      <c r="F30" s="21">
        <f>G_3*(1-EXP(-B30/Tau_3))</f>
        <v>4.6491584492109925E-2</v>
      </c>
      <c r="G30" s="21">
        <f>G_4*(1-EXP(-B30/Tau_4))</f>
        <v>7.2345652060291097E-3</v>
      </c>
      <c r="H30" s="21">
        <f>G_5*(1-EXP(-B30/Tau_5))</f>
        <v>7.3448812455922268E-4</v>
      </c>
      <c r="I30" s="21">
        <f>G_6*(1-EXP(-B30/Tau_6))</f>
        <v>8.47104917249279E-5</v>
      </c>
      <c r="J30" s="21">
        <f>G_7*(1-EXP(-B30/Tau_7))</f>
        <v>8.0497218049543623E-6</v>
      </c>
      <c r="L30" s="22">
        <f t="shared" si="7"/>
        <v>0.64968628668165485</v>
      </c>
      <c r="M30" s="15"/>
    </row>
    <row r="31" spans="2:13" x14ac:dyDescent="0.2">
      <c r="B31" s="21">
        <v>0.06</v>
      </c>
      <c r="D31" s="21">
        <f>G_1*(1-EXP(-B31/Tau_1))</f>
        <v>0.19</v>
      </c>
      <c r="E31" s="22">
        <f>G_2*(1-EXP(-B31/Tau_2))</f>
        <v>0.10650189087230089</v>
      </c>
      <c r="F31" s="21">
        <f>G_3*(1-EXP(-B31/Tau_3))</f>
        <v>5.2580026078248687E-2</v>
      </c>
      <c r="G31" s="21">
        <f>G_4*(1-EXP(-B31/Tau_4))</f>
        <v>8.6070164282621327E-3</v>
      </c>
      <c r="H31" s="21">
        <f>G_5*(1-EXP(-B31/Tau_5))</f>
        <v>8.8039341834778375E-4</v>
      </c>
      <c r="I31" s="21">
        <f>G_6*(1-EXP(-B31/Tau_6))</f>
        <v>1.016376462884879E-4</v>
      </c>
      <c r="J31" s="21">
        <f>G_7*(1-EXP(-B31/Tau_7))</f>
        <v>9.6595490738785816E-6</v>
      </c>
      <c r="L31" s="22">
        <f>1-SUM(D31:J31)</f>
        <v>0.64131937600747813</v>
      </c>
      <c r="M31" s="15"/>
    </row>
    <row r="32" spans="2:13" x14ac:dyDescent="0.2">
      <c r="B32" s="21">
        <v>0.1</v>
      </c>
      <c r="D32" s="21">
        <f t="shared" si="0"/>
        <v>0.19</v>
      </c>
      <c r="E32" s="22">
        <f t="shared" si="1"/>
        <v>0.10700517281266615</v>
      </c>
      <c r="F32" s="21">
        <f t="shared" si="2"/>
        <v>7.015265571415244E-2</v>
      </c>
      <c r="G32" s="21">
        <f t="shared" si="3"/>
        <v>1.3862707180265338E-2</v>
      </c>
      <c r="H32" s="21">
        <f t="shared" si="4"/>
        <v>1.4607316274178953E-3</v>
      </c>
      <c r="I32" s="21">
        <f t="shared" si="5"/>
        <v>1.692965007511486E-4</v>
      </c>
      <c r="J32" s="21">
        <f t="shared" si="6"/>
        <v>1.6098467874227978E-5</v>
      </c>
      <c r="L32" s="22">
        <f t="shared" si="7"/>
        <v>0.61733333769687282</v>
      </c>
      <c r="M32" s="15"/>
    </row>
    <row r="33" spans="2:13" x14ac:dyDescent="0.2">
      <c r="B33" s="21">
        <v>0.2</v>
      </c>
      <c r="D33" s="21">
        <f t="shared" si="0"/>
        <v>0.19</v>
      </c>
      <c r="E33" s="22">
        <f t="shared" si="1"/>
        <v>0.10701999794575329</v>
      </c>
      <c r="F33" s="21">
        <f t="shared" si="2"/>
        <v>8.8323044780491522E-2</v>
      </c>
      <c r="G33" s="21">
        <f t="shared" si="3"/>
        <v>2.5498789470419257E-2</v>
      </c>
      <c r="H33" s="21">
        <f t="shared" si="4"/>
        <v>2.8888539123857128E-3</v>
      </c>
      <c r="I33" s="21">
        <f t="shared" si="5"/>
        <v>3.3809580215166389E-4</v>
      </c>
      <c r="J33" s="21">
        <f t="shared" si="6"/>
        <v>3.219303327880193E-5</v>
      </c>
      <c r="L33" s="22">
        <f t="shared" si="7"/>
        <v>0.58589902505551983</v>
      </c>
      <c r="M33" s="15"/>
    </row>
    <row r="34" spans="2:13" x14ac:dyDescent="0.2">
      <c r="B34" s="21">
        <v>0.3</v>
      </c>
      <c r="D34" s="21">
        <f t="shared" si="0"/>
        <v>0.19</v>
      </c>
      <c r="E34" s="22">
        <f t="shared" si="1"/>
        <v>0.1070199999997154</v>
      </c>
      <c r="F34" s="21">
        <f t="shared" si="2"/>
        <v>9.3029396029223069E-2</v>
      </c>
      <c r="G34" s="21">
        <f t="shared" si="3"/>
        <v>3.5265886856417863E-2</v>
      </c>
      <c r="H34" s="21">
        <f t="shared" si="4"/>
        <v>4.2850948251856417E-3</v>
      </c>
      <c r="I34" s="21">
        <f t="shared" si="5"/>
        <v>5.0639936440418439E-4</v>
      </c>
      <c r="J34" s="21">
        <f t="shared" si="6"/>
        <v>4.828369715973442E-5</v>
      </c>
      <c r="L34" s="22">
        <f t="shared" si="7"/>
        <v>0.56984493922789414</v>
      </c>
      <c r="M34" s="15"/>
    </row>
    <row r="35" spans="2:13" x14ac:dyDescent="0.2">
      <c r="B35" s="21">
        <v>0.4</v>
      </c>
      <c r="D35" s="21">
        <f>G_1*(1-EXP(-B35/Tau_1))</f>
        <v>0.19</v>
      </c>
      <c r="E35" s="22">
        <f>G_2*(1-EXP(-B35/Tau_2))</f>
        <v>0.10701999999999996</v>
      </c>
      <c r="F35" s="21">
        <f>G_3*(1-EXP(-B35/Tau_3))</f>
        <v>9.4248398109782236E-2</v>
      </c>
      <c r="G35" s="21">
        <f>G_4*(1-EXP(-B35/Tau_4))</f>
        <v>4.3464195270608276E-2</v>
      </c>
      <c r="H35" s="21">
        <f>G_5*(1-EXP(-B35/Tau_5))</f>
        <v>5.6501660849064533E-3</v>
      </c>
      <c r="I35" s="21">
        <f>G_6*(1-EXP(-B35/Tau_6))</f>
        <v>6.7420864342290527E-4</v>
      </c>
      <c r="J35" s="21">
        <f>G_7*(1-EXP(-B35/Tau_7))</f>
        <v>6.4370460462809465E-5</v>
      </c>
      <c r="L35" s="22">
        <f>1-SUM(D35:J35)</f>
        <v>0.55887866143081744</v>
      </c>
      <c r="M35" s="15"/>
    </row>
    <row r="36" spans="2:13" x14ac:dyDescent="0.2">
      <c r="B36" s="21">
        <v>0.5</v>
      </c>
      <c r="D36" s="21">
        <f>G_1*(1-EXP(-B36/Tau_1))</f>
        <v>0.19</v>
      </c>
      <c r="E36" s="22">
        <f>G_2*(1-EXP(-B36/Tau_2))</f>
        <v>0.10702</v>
      </c>
      <c r="F36" s="21">
        <f>G_3*(1-EXP(-B36/Tau_3))</f>
        <v>9.4564134440088668E-2</v>
      </c>
      <c r="G36" s="21">
        <f>G_4*(1-EXP(-B36/Tau_4))</f>
        <v>5.0345693242619456E-2</v>
      </c>
      <c r="H36" s="21">
        <f>G_5*(1-EXP(-B36/Tau_5))</f>
        <v>6.9847635222347942E-3</v>
      </c>
      <c r="I36" s="21">
        <f>G_6*(1-EXP(-B36/Tau_6))</f>
        <v>8.4152509084625606E-4</v>
      </c>
      <c r="J36" s="21">
        <f>G_7*(1-EXP(-B36/Tau_7))</f>
        <v>8.0453324133567748E-5</v>
      </c>
      <c r="L36" s="22">
        <f>1-SUM(D36:J36)</f>
        <v>0.55016343038007731</v>
      </c>
      <c r="M36" s="15"/>
    </row>
    <row r="37" spans="2:13" x14ac:dyDescent="0.2">
      <c r="B37" s="21">
        <v>0.6</v>
      </c>
      <c r="D37" s="21">
        <f>G_1*(1-EXP(-B37/Tau_1))</f>
        <v>0.19</v>
      </c>
      <c r="E37" s="22">
        <f>G_2*(1-EXP(-B37/Tau_2))</f>
        <v>0.10702</v>
      </c>
      <c r="F37" s="21">
        <f>G_3*(1-EXP(-B37/Tau_3))</f>
        <v>9.4645913980800883E-2</v>
      </c>
      <c r="G37" s="21">
        <f>G_4*(1-EXP(-B37/Tau_4))</f>
        <v>5.612188656767509E-2</v>
      </c>
      <c r="H37" s="21">
        <f>G_5*(1-EXP(-B37/Tau_5))</f>
        <v>8.2895674341475403E-3</v>
      </c>
      <c r="I37" s="21">
        <f>G_6*(1-EXP(-B37/Tau_6))</f>
        <v>1.008350154049381E-3</v>
      </c>
      <c r="J37" s="21">
        <f>G_7*(1-EXP(-B37/Tau_7))</f>
        <v>9.6532289117328795E-5</v>
      </c>
      <c r="L37" s="22">
        <f>1-SUM(D37:J37)</f>
        <v>0.54281774957420981</v>
      </c>
      <c r="M37" s="15"/>
    </row>
    <row r="38" spans="2:13" x14ac:dyDescent="0.2">
      <c r="B38" s="21">
        <v>1</v>
      </c>
      <c r="D38" s="21">
        <f t="shared" si="0"/>
        <v>0.19</v>
      </c>
      <c r="E38" s="22">
        <f t="shared" si="1"/>
        <v>0.10702</v>
      </c>
      <c r="F38" s="21">
        <f t="shared" si="2"/>
        <v>9.4674371342792246E-2</v>
      </c>
      <c r="G38" s="21">
        <f t="shared" si="3"/>
        <v>7.1323302700265878E-2</v>
      </c>
      <c r="H38" s="21">
        <f t="shared" si="4"/>
        <v>1.3223929291314211E-2</v>
      </c>
      <c r="I38" s="21">
        <f t="shared" si="5"/>
        <v>1.6707653636490627E-3</v>
      </c>
      <c r="J38" s="21">
        <f t="shared" si="6"/>
        <v>1.6080918108079867E-4</v>
      </c>
      <c r="L38" s="22">
        <f t="shared" si="7"/>
        <v>0.52192682212089769</v>
      </c>
      <c r="M38" s="15"/>
    </row>
    <row r="39" spans="2:13" x14ac:dyDescent="0.2">
      <c r="B39" s="21">
        <v>2</v>
      </c>
      <c r="D39" s="21">
        <f t="shared" si="0"/>
        <v>0.19</v>
      </c>
      <c r="E39" s="22">
        <f t="shared" si="1"/>
        <v>0.10702</v>
      </c>
      <c r="F39" s="21">
        <f t="shared" si="2"/>
        <v>9.4674499999825149E-2</v>
      </c>
      <c r="G39" s="21">
        <f t="shared" si="3"/>
        <v>8.3706100646909198E-2</v>
      </c>
      <c r="H39" s="21">
        <f t="shared" si="4"/>
        <v>2.3775330895629943E-2</v>
      </c>
      <c r="I39" s="21">
        <f t="shared" si="5"/>
        <v>3.2931061859138048E-3</v>
      </c>
      <c r="J39" s="21">
        <f t="shared" si="6"/>
        <v>3.2122896558942342E-4</v>
      </c>
      <c r="L39" s="22">
        <f t="shared" si="7"/>
        <v>0.4972097333061325</v>
      </c>
      <c r="M39" s="15"/>
    </row>
    <row r="40" spans="2:13" x14ac:dyDescent="0.2">
      <c r="B40" s="21">
        <v>3</v>
      </c>
      <c r="D40" s="21">
        <f t="shared" si="0"/>
        <v>0.19</v>
      </c>
      <c r="E40" s="22">
        <f t="shared" si="1"/>
        <v>0.10702</v>
      </c>
      <c r="F40" s="21">
        <f t="shared" si="2"/>
        <v>9.4674499999999995E-2</v>
      </c>
      <c r="G40" s="21">
        <f t="shared" si="3"/>
        <v>8.5855940589568261E-2</v>
      </c>
      <c r="H40" s="21">
        <f t="shared" si="4"/>
        <v>3.2194316914307616E-2</v>
      </c>
      <c r="I40" s="21">
        <f t="shared" si="5"/>
        <v>4.8684259769814281E-3</v>
      </c>
      <c r="J40" s="21">
        <f t="shared" si="6"/>
        <v>4.8126029644275859E-4</v>
      </c>
      <c r="L40" s="22">
        <f t="shared" si="7"/>
        <v>0.48490555622269993</v>
      </c>
      <c r="M40" s="15"/>
    </row>
    <row r="41" spans="2:13" x14ac:dyDescent="0.2">
      <c r="B41" s="21">
        <v>4</v>
      </c>
      <c r="D41" s="21">
        <f>G_1*(1-EXP(-B41/Tau_1))</f>
        <v>0.19</v>
      </c>
      <c r="E41" s="22">
        <f>G_2*(1-EXP(-B41/Tau_2))</f>
        <v>0.10702</v>
      </c>
      <c r="F41" s="21">
        <f>G_3*(1-EXP(-B41/Tau_3))</f>
        <v>9.4674499999999995E-2</v>
      </c>
      <c r="G41" s="21">
        <f>G_4*(1-EXP(-B41/Tau_4))</f>
        <v>8.6229185134053879E-2</v>
      </c>
      <c r="H41" s="21">
        <f>G_5*(1-EXP(-B41/Tau_5))</f>
        <v>3.891184395390955E-2</v>
      </c>
      <c r="I41" s="21">
        <f>G_6*(1-EXP(-B41/Tau_6))</f>
        <v>6.3980875684742965E-3</v>
      </c>
      <c r="J41" s="21">
        <f>G_7*(1-EXP(-B41/Tau_7))</f>
        <v>6.4090411427441152E-4</v>
      </c>
      <c r="L41" s="22">
        <f>1-SUM(D41:J41)</f>
        <v>0.47612547922928794</v>
      </c>
      <c r="M41" s="15"/>
    </row>
    <row r="42" spans="2:13" x14ac:dyDescent="0.2">
      <c r="B42" s="21">
        <v>5</v>
      </c>
      <c r="D42" s="21">
        <f>G_1*(1-EXP(-B42/Tau_1))</f>
        <v>0.19</v>
      </c>
      <c r="E42" s="22">
        <f>G_2*(1-EXP(-B42/Tau_2))</f>
        <v>0.10702</v>
      </c>
      <c r="F42" s="21">
        <f>G_3*(1-EXP(-B42/Tau_3))</f>
        <v>9.4674499999999995E-2</v>
      </c>
      <c r="G42" s="21">
        <f>G_4*(1-EXP(-B42/Tau_4))</f>
        <v>8.6293986000027162E-2</v>
      </c>
      <c r="H42" s="21">
        <f>G_5*(1-EXP(-B42/Tau_5))</f>
        <v>4.4271773217085912E-2</v>
      </c>
      <c r="I42" s="21">
        <f>G_6*(1-EXP(-B42/Tau_6))</f>
        <v>7.8834142924550307E-3</v>
      </c>
      <c r="J42" s="21">
        <f>G_7*(1-EXP(-B42/Tau_7))</f>
        <v>8.0016135744027971E-4</v>
      </c>
      <c r="L42" s="22">
        <f>1-SUM(D42:J42)</f>
        <v>0.46905616513299164</v>
      </c>
      <c r="M42" s="15"/>
    </row>
    <row r="43" spans="2:13" x14ac:dyDescent="0.2">
      <c r="B43" s="21">
        <v>6</v>
      </c>
      <c r="D43" s="21">
        <f>G_1*(1-EXP(-B43/Tau_1))</f>
        <v>0.19</v>
      </c>
      <c r="E43" s="22">
        <f>G_2*(1-EXP(-B43/Tau_2))</f>
        <v>0.10702</v>
      </c>
      <c r="F43" s="21">
        <f>G_3*(1-EXP(-B43/Tau_3))</f>
        <v>9.4674499999999995E-2</v>
      </c>
      <c r="G43" s="21">
        <f>G_4*(1-EXP(-B43/Tau_4))</f>
        <v>8.6305236404870117E-2</v>
      </c>
      <c r="H43" s="21">
        <f>G_5*(1-EXP(-B43/Tau_5))</f>
        <v>4.854847229650737E-2</v>
      </c>
      <c r="I43" s="21">
        <f>G_6*(1-EXP(-B43/Tau_6))</f>
        <v>9.3256911262599596E-3</v>
      </c>
      <c r="J43" s="21">
        <f>G_7*(1-EXP(-B43/Tau_7))</f>
        <v>9.5903296202403548E-4</v>
      </c>
      <c r="L43" s="22">
        <f>1-SUM(D43:J43)</f>
        <v>0.46316706721033851</v>
      </c>
      <c r="M43" s="15"/>
    </row>
    <row r="44" spans="2:13" x14ac:dyDescent="0.2">
      <c r="B44" s="21">
        <v>10</v>
      </c>
      <c r="D44" s="21">
        <f t="shared" si="0"/>
        <v>0.19</v>
      </c>
      <c r="E44" s="22">
        <f t="shared" si="1"/>
        <v>0.10702</v>
      </c>
      <c r="F44" s="21">
        <f t="shared" si="2"/>
        <v>9.4674499999999995E-2</v>
      </c>
      <c r="G44" s="21">
        <f t="shared" si="3"/>
        <v>8.6307597852553014E-2</v>
      </c>
      <c r="H44" s="21">
        <f t="shared" si="4"/>
        <v>5.8589533664143642E-2</v>
      </c>
      <c r="I44" s="21">
        <f t="shared" si="5"/>
        <v>1.4688718048849411E-2</v>
      </c>
      <c r="J44" s="21">
        <f t="shared" si="6"/>
        <v>1.5906816369918792E-3</v>
      </c>
      <c r="L44" s="22">
        <f t="shared" si="7"/>
        <v>0.44712896879746211</v>
      </c>
    </row>
    <row r="45" spans="2:13" x14ac:dyDescent="0.2">
      <c r="B45" s="21">
        <v>20</v>
      </c>
      <c r="D45" s="21">
        <f t="shared" si="0"/>
        <v>0.19</v>
      </c>
      <c r="E45" s="22">
        <f t="shared" si="1"/>
        <v>0.10702</v>
      </c>
      <c r="F45" s="21">
        <f t="shared" si="2"/>
        <v>9.4674499999999995E-2</v>
      </c>
      <c r="G45" s="21">
        <f t="shared" si="3"/>
        <v>8.6307599999999943E-2</v>
      </c>
      <c r="H45" s="21">
        <f t="shared" si="4"/>
        <v>6.471750028242805E-2</v>
      </c>
      <c r="I45" s="21">
        <f t="shared" si="5"/>
        <v>2.5634586475116062E-2</v>
      </c>
      <c r="J45" s="21">
        <f t="shared" si="6"/>
        <v>3.1432622209662088E-3</v>
      </c>
      <c r="L45" s="22">
        <f t="shared" si="7"/>
        <v>0.42850255102148982</v>
      </c>
    </row>
    <row r="46" spans="2:13" x14ac:dyDescent="0.2">
      <c r="B46" s="21">
        <v>30</v>
      </c>
      <c r="D46" s="21">
        <f t="shared" si="0"/>
        <v>0.19</v>
      </c>
      <c r="E46" s="22">
        <f t="shared" si="1"/>
        <v>0.10702</v>
      </c>
      <c r="F46" s="21">
        <f t="shared" si="2"/>
        <v>9.4674499999999995E-2</v>
      </c>
      <c r="G46" s="21">
        <f t="shared" si="3"/>
        <v>8.6307599999999998E-2</v>
      </c>
      <c r="H46" s="21">
        <f t="shared" si="4"/>
        <v>6.535843344107152E-2</v>
      </c>
      <c r="I46" s="21">
        <f t="shared" si="5"/>
        <v>3.3791325218870918E-2</v>
      </c>
      <c r="J46" s="21">
        <f t="shared" si="6"/>
        <v>4.6586543734100988E-3</v>
      </c>
      <c r="L46" s="22">
        <f t="shared" si="7"/>
        <v>0.41818948696664748</v>
      </c>
    </row>
    <row r="47" spans="2:13" x14ac:dyDescent="0.2">
      <c r="B47" s="21">
        <v>40</v>
      </c>
      <c r="D47" s="21">
        <f>G_1*(1-EXP(-B47/Tau_1))</f>
        <v>0.19</v>
      </c>
      <c r="E47" s="22">
        <f>G_2*(1-EXP(-B47/Tau_2))</f>
        <v>0.10702</v>
      </c>
      <c r="F47" s="21">
        <f>G_3*(1-EXP(-B47/Tau_3))</f>
        <v>9.4674499999999995E-2</v>
      </c>
      <c r="G47" s="21">
        <f>G_4*(1-EXP(-B47/Tau_4))</f>
        <v>8.6307599999999998E-2</v>
      </c>
      <c r="H47" s="21">
        <f>G_5*(1-EXP(-B47/Tau_5))</f>
        <v>6.5425469595058239E-2</v>
      </c>
      <c r="I47" s="21">
        <f>G_6*(1-EXP(-B47/Tau_6))</f>
        <v>3.9869635714017616E-2</v>
      </c>
      <c r="J47" s="21">
        <f>G_7*(1-EXP(-B47/Tau_7))</f>
        <v>6.1377488561003956E-3</v>
      </c>
      <c r="L47" s="22">
        <f>1-SUM(D47:J47)</f>
        <v>0.41056504583482378</v>
      </c>
    </row>
    <row r="48" spans="2:13" x14ac:dyDescent="0.2">
      <c r="B48" s="21">
        <v>50</v>
      </c>
      <c r="D48" s="21">
        <f>G_1*(1-EXP(-B48/Tau_1))</f>
        <v>0.19</v>
      </c>
      <c r="E48" s="22">
        <f>G_2*(1-EXP(-B48/Tau_2))</f>
        <v>0.10702</v>
      </c>
      <c r="F48" s="21">
        <f>G_3*(1-EXP(-B48/Tau_3))</f>
        <v>9.4674499999999995E-2</v>
      </c>
      <c r="G48" s="21">
        <f>G_4*(1-EXP(-B48/Tau_4))</f>
        <v>8.6307599999999998E-2</v>
      </c>
      <c r="H48" s="21">
        <f>G_5*(1-EXP(-B48/Tau_5))</f>
        <v>6.5432481006280643E-2</v>
      </c>
      <c r="I48" s="21">
        <f>G_6*(1-EXP(-B48/Tau_6))</f>
        <v>4.4399124721336614E-2</v>
      </c>
      <c r="J48" s="21">
        <f>G_7*(1-EXP(-B48/Tau_7))</f>
        <v>7.5814150947018811E-3</v>
      </c>
      <c r="L48" s="22">
        <f>1-SUM(D48:J48)</f>
        <v>0.40458487917768082</v>
      </c>
    </row>
    <row r="49" spans="2:12" x14ac:dyDescent="0.2">
      <c r="B49" s="21">
        <v>60</v>
      </c>
      <c r="D49" s="21">
        <f t="shared" si="0"/>
        <v>0.19</v>
      </c>
      <c r="E49" s="22">
        <f t="shared" si="1"/>
        <v>0.10702</v>
      </c>
      <c r="F49" s="21">
        <f t="shared" si="2"/>
        <v>9.4674499999999995E-2</v>
      </c>
      <c r="G49" s="21">
        <f t="shared" si="3"/>
        <v>8.6307599999999998E-2</v>
      </c>
      <c r="H49" s="21">
        <f t="shared" si="4"/>
        <v>6.543321434022667E-2</v>
      </c>
      <c r="I49" s="21">
        <f t="shared" si="5"/>
        <v>4.777444927637621E-2</v>
      </c>
      <c r="J49" s="21">
        <f t="shared" si="6"/>
        <v>8.9905016898238488E-3</v>
      </c>
      <c r="L49" s="22">
        <f t="shared" si="7"/>
        <v>0.39979973469357333</v>
      </c>
    </row>
    <row r="50" spans="2:12" x14ac:dyDescent="0.2">
      <c r="B50" s="21">
        <v>100</v>
      </c>
      <c r="D50" s="21">
        <f t="shared" si="0"/>
        <v>0.19</v>
      </c>
      <c r="E50" s="22">
        <f t="shared" si="1"/>
        <v>0.10702</v>
      </c>
      <c r="F50" s="21">
        <f t="shared" si="2"/>
        <v>9.4674499999999995E-2</v>
      </c>
      <c r="G50" s="21">
        <f t="shared" si="3"/>
        <v>8.6307599999999998E-2</v>
      </c>
      <c r="H50" s="21">
        <f t="shared" si="4"/>
        <v>6.5433299989749089E-2</v>
      </c>
      <c r="I50" s="21">
        <f t="shared" si="5"/>
        <v>5.460161178629408E-2</v>
      </c>
      <c r="J50" s="21">
        <f t="shared" si="6"/>
        <v>1.4297322372164427E-2</v>
      </c>
      <c r="L50" s="22">
        <f t="shared" si="7"/>
        <v>0.38766566585179241</v>
      </c>
    </row>
    <row r="51" spans="2:12" x14ac:dyDescent="0.2">
      <c r="B51" s="21">
        <v>1000</v>
      </c>
      <c r="D51" s="21">
        <f t="shared" si="0"/>
        <v>0.19</v>
      </c>
      <c r="E51" s="22">
        <f t="shared" si="1"/>
        <v>0.10702</v>
      </c>
      <c r="F51" s="21">
        <f t="shared" si="2"/>
        <v>9.4674499999999995E-2</v>
      </c>
      <c r="G51" s="21">
        <f t="shared" si="3"/>
        <v>8.6307599999999998E-2</v>
      </c>
      <c r="H51" s="21">
        <f t="shared" si="4"/>
        <v>6.54333E-2</v>
      </c>
      <c r="I51" s="21">
        <f t="shared" si="5"/>
        <v>5.7645499999990288E-2</v>
      </c>
      <c r="J51" s="21">
        <f t="shared" si="6"/>
        <v>6.0530204886262082E-2</v>
      </c>
      <c r="L51" s="22">
        <f t="shared" si="7"/>
        <v>0.3383888951137477</v>
      </c>
    </row>
    <row r="52" spans="2:12" x14ac:dyDescent="0.2">
      <c r="B52" s="21">
        <v>10000</v>
      </c>
      <c r="D52" s="21">
        <f t="shared" si="0"/>
        <v>0.19</v>
      </c>
      <c r="E52" s="22">
        <f t="shared" si="1"/>
        <v>0.10702</v>
      </c>
      <c r="F52" s="21">
        <f t="shared" si="2"/>
        <v>9.4674499999999995E-2</v>
      </c>
      <c r="G52" s="21">
        <f t="shared" si="3"/>
        <v>8.6307599999999998E-2</v>
      </c>
      <c r="H52" s="21">
        <f t="shared" si="4"/>
        <v>6.54333E-2</v>
      </c>
      <c r="I52" s="21">
        <f t="shared" si="5"/>
        <v>5.7645500000000002E-2</v>
      </c>
      <c r="J52" s="21">
        <f t="shared" si="6"/>
        <v>6.640939999803612E-2</v>
      </c>
      <c r="L52" s="22">
        <f t="shared" si="7"/>
        <v>0.33250970000196389</v>
      </c>
    </row>
    <row r="57" spans="2:12" x14ac:dyDescent="0.2">
      <c r="C57" s="14" t="s">
        <v>26</v>
      </c>
    </row>
    <row r="58" spans="2:12" x14ac:dyDescent="0.2">
      <c r="C58" s="18" t="s">
        <v>27</v>
      </c>
      <c r="D58" s="18" t="s">
        <v>28</v>
      </c>
      <c r="E58" s="18" t="s">
        <v>29</v>
      </c>
      <c r="F58" s="18" t="s">
        <v>30</v>
      </c>
    </row>
    <row r="59" spans="2:12" x14ac:dyDescent="0.2">
      <c r="C59" s="18"/>
    </row>
    <row r="60" spans="2:12" x14ac:dyDescent="0.2">
      <c r="C60" s="18">
        <v>1</v>
      </c>
      <c r="D60" s="14">
        <v>0.18973000000000001</v>
      </c>
      <c r="E60" s="14">
        <v>0</v>
      </c>
      <c r="F60" s="15">
        <v>9.9432100000000005E-4</v>
      </c>
    </row>
    <row r="61" spans="2:12" x14ac:dyDescent="0.2">
      <c r="C61" s="18">
        <v>2</v>
      </c>
      <c r="D61" s="14">
        <v>0.10702</v>
      </c>
      <c r="E61" s="14">
        <v>0</v>
      </c>
      <c r="F61" s="15">
        <v>1.12558E-2</v>
      </c>
    </row>
    <row r="62" spans="2:12" x14ac:dyDescent="0.2">
      <c r="C62" s="18">
        <v>3</v>
      </c>
      <c r="D62" s="15">
        <v>9.4674499999999995E-2</v>
      </c>
      <c r="E62" s="14">
        <v>0</v>
      </c>
      <c r="F62" s="15">
        <v>7.4025800000000003E-2</v>
      </c>
    </row>
    <row r="63" spans="2:12" x14ac:dyDescent="0.2">
      <c r="C63" s="18">
        <v>4</v>
      </c>
      <c r="D63" s="15">
        <v>8.6307599999999998E-2</v>
      </c>
      <c r="E63" s="14">
        <v>0</v>
      </c>
      <c r="F63" s="14">
        <v>0.57113000000000003</v>
      </c>
    </row>
    <row r="64" spans="2:12" x14ac:dyDescent="0.2">
      <c r="C64" s="18">
        <v>5</v>
      </c>
      <c r="D64" s="15">
        <v>6.54333E-2</v>
      </c>
      <c r="E64" s="14">
        <v>0</v>
      </c>
      <c r="F64" s="14">
        <v>4.4292999999999996</v>
      </c>
    </row>
    <row r="65" spans="3:6" x14ac:dyDescent="0.2">
      <c r="C65" s="18">
        <v>6</v>
      </c>
      <c r="D65" s="15">
        <v>5.7645500000000002E-2</v>
      </c>
      <c r="E65" s="14">
        <v>0</v>
      </c>
      <c r="F65" s="14">
        <v>34</v>
      </c>
    </row>
    <row r="66" spans="3:6" x14ac:dyDescent="0.2">
      <c r="C66" s="18">
        <v>7</v>
      </c>
      <c r="D66" s="15">
        <v>6.6409399999999993E-2</v>
      </c>
      <c r="E66" s="14">
        <v>0</v>
      </c>
      <c r="F66" s="14">
        <v>412.47</v>
      </c>
    </row>
    <row r="68" spans="3:6" x14ac:dyDescent="0.2">
      <c r="C68" s="23" t="s">
        <v>10</v>
      </c>
      <c r="D68" s="14">
        <f>SUM(D60:D66)</f>
        <v>0.66722029999999999</v>
      </c>
    </row>
    <row r="79" spans="3:6" x14ac:dyDescent="0.2">
      <c r="C79" s="15"/>
    </row>
    <row r="80" spans="3:6" x14ac:dyDescent="0.2">
      <c r="C80" s="15"/>
    </row>
    <row r="81" spans="3:3" x14ac:dyDescent="0.2">
      <c r="C81" s="15"/>
    </row>
    <row r="82" spans="3:3" x14ac:dyDescent="0.2">
      <c r="C82" s="15"/>
    </row>
    <row r="83" spans="3:3" x14ac:dyDescent="0.2">
      <c r="C83" s="15"/>
    </row>
    <row r="84" spans="3:3" x14ac:dyDescent="0.2">
      <c r="C84" s="15"/>
    </row>
    <row r="85" spans="3:3" x14ac:dyDescent="0.2">
      <c r="C85" s="15"/>
    </row>
    <row r="86" spans="3:3" x14ac:dyDescent="0.2">
      <c r="C86" s="15"/>
    </row>
    <row r="87" spans="3:3" x14ac:dyDescent="0.2">
      <c r="C87" s="15"/>
    </row>
    <row r="88" spans="3:3" x14ac:dyDescent="0.2">
      <c r="C88" s="15"/>
    </row>
    <row r="89" spans="3:3" x14ac:dyDescent="0.2">
      <c r="C89" s="15"/>
    </row>
    <row r="90" spans="3:3" x14ac:dyDescent="0.2">
      <c r="C90" s="15"/>
    </row>
    <row r="91" spans="3:3" x14ac:dyDescent="0.2">
      <c r="C91" s="15"/>
    </row>
    <row r="92" spans="3:3" x14ac:dyDescent="0.2">
      <c r="C92" s="15"/>
    </row>
    <row r="93" spans="3:3" x14ac:dyDescent="0.2">
      <c r="C93" s="15"/>
    </row>
    <row r="94" spans="3:3" x14ac:dyDescent="0.2">
      <c r="C94" s="15"/>
    </row>
    <row r="95" spans="3:3" x14ac:dyDescent="0.2">
      <c r="C95" s="15"/>
    </row>
    <row r="96" spans="3:3" x14ac:dyDescent="0.2">
      <c r="C96" s="15"/>
    </row>
    <row r="97" spans="3:3" x14ac:dyDescent="0.2">
      <c r="C97" s="15"/>
    </row>
    <row r="98" spans="3:3" x14ac:dyDescent="0.2">
      <c r="C98" s="15"/>
    </row>
    <row r="99" spans="3:3" x14ac:dyDescent="0.2">
      <c r="C99" s="15"/>
    </row>
    <row r="100" spans="3:3" x14ac:dyDescent="0.2">
      <c r="C100" s="15"/>
    </row>
    <row r="101" spans="3:3" x14ac:dyDescent="0.2">
      <c r="C101" s="15"/>
    </row>
    <row r="102" spans="3:3" x14ac:dyDescent="0.2">
      <c r="C102" s="15"/>
    </row>
    <row r="103" spans="3:3" x14ac:dyDescent="0.2">
      <c r="C103" s="15"/>
    </row>
    <row r="104" spans="3:3" x14ac:dyDescent="0.2">
      <c r="C104" s="15"/>
    </row>
    <row r="105" spans="3:3" x14ac:dyDescent="0.2">
      <c r="C105" s="15"/>
    </row>
    <row r="106" spans="3:3" x14ac:dyDescent="0.2">
      <c r="C106" s="15"/>
    </row>
    <row r="107" spans="3:3" x14ac:dyDescent="0.2">
      <c r="C107" s="15"/>
    </row>
    <row r="108" spans="3:3" x14ac:dyDescent="0.2">
      <c r="C108" s="15"/>
    </row>
    <row r="109" spans="3:3" x14ac:dyDescent="0.2">
      <c r="C109" s="15"/>
    </row>
    <row r="110" spans="3:3" x14ac:dyDescent="0.2">
      <c r="C110" s="15"/>
    </row>
    <row r="111" spans="3:3" x14ac:dyDescent="0.2">
      <c r="C111" s="15"/>
    </row>
    <row r="112" spans="3:3" x14ac:dyDescent="0.2">
      <c r="C112" s="15"/>
    </row>
    <row r="113" spans="3:3" x14ac:dyDescent="0.2">
      <c r="C113" s="15"/>
    </row>
    <row r="114" spans="3:3" x14ac:dyDescent="0.2">
      <c r="C114" s="15"/>
    </row>
    <row r="115" spans="3:3" x14ac:dyDescent="0.2">
      <c r="C115" s="15"/>
    </row>
    <row r="116" spans="3:3" x14ac:dyDescent="0.2">
      <c r="C116" s="15"/>
    </row>
    <row r="117" spans="3:3" x14ac:dyDescent="0.2">
      <c r="C117" s="15"/>
    </row>
    <row r="118" spans="3:3" x14ac:dyDescent="0.2">
      <c r="C118" s="15"/>
    </row>
    <row r="119" spans="3:3" x14ac:dyDescent="0.2">
      <c r="C119" s="15"/>
    </row>
    <row r="120" spans="3:3" x14ac:dyDescent="0.2">
      <c r="C120" s="15"/>
    </row>
    <row r="121" spans="3:3" x14ac:dyDescent="0.2">
      <c r="C121" s="15"/>
    </row>
    <row r="122" spans="3:3" x14ac:dyDescent="0.2">
      <c r="C122" s="15"/>
    </row>
    <row r="123" spans="3:3" x14ac:dyDescent="0.2">
      <c r="C123" s="15"/>
    </row>
    <row r="124" spans="3:3" x14ac:dyDescent="0.2">
      <c r="C124" s="15"/>
    </row>
    <row r="125" spans="3:3" x14ac:dyDescent="0.2">
      <c r="C125" s="15"/>
    </row>
    <row r="126" spans="3:3" x14ac:dyDescent="0.2">
      <c r="C126" s="15"/>
    </row>
    <row r="127" spans="3:3" x14ac:dyDescent="0.2">
      <c r="C127" s="15"/>
    </row>
    <row r="128" spans="3:3" x14ac:dyDescent="0.2">
      <c r="C128" s="15"/>
    </row>
    <row r="129" spans="3:3" x14ac:dyDescent="0.2">
      <c r="C129" s="15"/>
    </row>
    <row r="130" spans="3:3" x14ac:dyDescent="0.2">
      <c r="C130" s="15"/>
    </row>
    <row r="131" spans="3:3" x14ac:dyDescent="0.2">
      <c r="C131" s="15"/>
    </row>
    <row r="132" spans="3:3" x14ac:dyDescent="0.2">
      <c r="C132" s="15"/>
    </row>
    <row r="133" spans="3:3" x14ac:dyDescent="0.2">
      <c r="C133" s="15"/>
    </row>
    <row r="134" spans="3:3" x14ac:dyDescent="0.2">
      <c r="C134" s="15"/>
    </row>
    <row r="135" spans="3:3" x14ac:dyDescent="0.2">
      <c r="C135" s="15"/>
    </row>
    <row r="136" spans="3:3" x14ac:dyDescent="0.2">
      <c r="C136" s="15"/>
    </row>
    <row r="137" spans="3:3" x14ac:dyDescent="0.2">
      <c r="C137" s="15"/>
    </row>
    <row r="138" spans="3:3" x14ac:dyDescent="0.2">
      <c r="C138" s="15"/>
    </row>
    <row r="139" spans="3:3" x14ac:dyDescent="0.2">
      <c r="C139" s="15"/>
    </row>
    <row r="140" spans="3:3" x14ac:dyDescent="0.2">
      <c r="C140" s="15"/>
    </row>
    <row r="141" spans="3:3" x14ac:dyDescent="0.2">
      <c r="C141" s="15"/>
    </row>
    <row r="142" spans="3:3" x14ac:dyDescent="0.2">
      <c r="C142" s="15"/>
    </row>
    <row r="143" spans="3:3" x14ac:dyDescent="0.2">
      <c r="C143" s="15"/>
    </row>
    <row r="144" spans="3:3" x14ac:dyDescent="0.2">
      <c r="C144" s="15"/>
    </row>
    <row r="145" spans="3:3" x14ac:dyDescent="0.2">
      <c r="C145" s="15"/>
    </row>
    <row r="146" spans="3:3" x14ac:dyDescent="0.2">
      <c r="C146" s="15"/>
    </row>
    <row r="147" spans="3:3" x14ac:dyDescent="0.2">
      <c r="C147" s="15"/>
    </row>
    <row r="148" spans="3:3" x14ac:dyDescent="0.2">
      <c r="C148" s="15"/>
    </row>
    <row r="149" spans="3:3" x14ac:dyDescent="0.2">
      <c r="C149" s="15"/>
    </row>
    <row r="150" spans="3:3" x14ac:dyDescent="0.2">
      <c r="C150" s="15"/>
    </row>
    <row r="151" spans="3:3" x14ac:dyDescent="0.2">
      <c r="C151" s="15"/>
    </row>
    <row r="152" spans="3:3" x14ac:dyDescent="0.2">
      <c r="C152" s="15"/>
    </row>
    <row r="153" spans="3:3" x14ac:dyDescent="0.2">
      <c r="C153" s="15"/>
    </row>
    <row r="154" spans="3:3" x14ac:dyDescent="0.2">
      <c r="C154" s="15"/>
    </row>
    <row r="155" spans="3:3" x14ac:dyDescent="0.2">
      <c r="C155" s="15"/>
    </row>
    <row r="156" spans="3:3" x14ac:dyDescent="0.2">
      <c r="C156" s="15"/>
    </row>
    <row r="157" spans="3:3" x14ac:dyDescent="0.2">
      <c r="C157" s="15"/>
    </row>
    <row r="158" spans="3:3" x14ac:dyDescent="0.2">
      <c r="C158" s="15"/>
    </row>
    <row r="159" spans="3:3" x14ac:dyDescent="0.2">
      <c r="C159" s="15"/>
    </row>
    <row r="160" spans="3:3" x14ac:dyDescent="0.2">
      <c r="C160" s="15"/>
    </row>
    <row r="161" spans="3:3" x14ac:dyDescent="0.2">
      <c r="C161" s="15"/>
    </row>
    <row r="162" spans="3:3" x14ac:dyDescent="0.2">
      <c r="C162" s="15"/>
    </row>
    <row r="163" spans="3:3" x14ac:dyDescent="0.2">
      <c r="C163" s="15"/>
    </row>
    <row r="164" spans="3:3" x14ac:dyDescent="0.2">
      <c r="C164" s="15"/>
    </row>
    <row r="165" spans="3:3" x14ac:dyDescent="0.2">
      <c r="C165" s="15"/>
    </row>
    <row r="166" spans="3:3" x14ac:dyDescent="0.2">
      <c r="C166" s="15"/>
    </row>
    <row r="167" spans="3:3" x14ac:dyDescent="0.2">
      <c r="C167" s="15"/>
    </row>
    <row r="168" spans="3:3" x14ac:dyDescent="0.2">
      <c r="C168" s="15"/>
    </row>
    <row r="169" spans="3:3" x14ac:dyDescent="0.2">
      <c r="C169" s="15"/>
    </row>
    <row r="170" spans="3:3" x14ac:dyDescent="0.2">
      <c r="C170" s="15"/>
    </row>
    <row r="171" spans="3:3" x14ac:dyDescent="0.2">
      <c r="C171" s="15"/>
    </row>
    <row r="172" spans="3:3" x14ac:dyDescent="0.2">
      <c r="C172" s="15"/>
    </row>
    <row r="173" spans="3:3" x14ac:dyDescent="0.2">
      <c r="C173" s="15"/>
    </row>
    <row r="174" spans="3:3" x14ac:dyDescent="0.2">
      <c r="C174" s="15"/>
    </row>
    <row r="175" spans="3:3" x14ac:dyDescent="0.2">
      <c r="C175" s="15"/>
    </row>
    <row r="176" spans="3:3" x14ac:dyDescent="0.2">
      <c r="C176" s="15"/>
    </row>
    <row r="177" spans="3:3" x14ac:dyDescent="0.2">
      <c r="C177" s="15"/>
    </row>
    <row r="178" spans="3:3" x14ac:dyDescent="0.2">
      <c r="C178" s="15"/>
    </row>
    <row r="179" spans="3:3" x14ac:dyDescent="0.2">
      <c r="C179" s="15"/>
    </row>
    <row r="180" spans="3:3" x14ac:dyDescent="0.2">
      <c r="C180" s="15"/>
    </row>
    <row r="181" spans="3:3" x14ac:dyDescent="0.2">
      <c r="C181" s="15"/>
    </row>
    <row r="182" spans="3:3" x14ac:dyDescent="0.2">
      <c r="C182" s="15"/>
    </row>
    <row r="183" spans="3:3" x14ac:dyDescent="0.2">
      <c r="C183" s="15"/>
    </row>
    <row r="184" spans="3:3" x14ac:dyDescent="0.2">
      <c r="C184" s="15"/>
    </row>
    <row r="185" spans="3:3" x14ac:dyDescent="0.2">
      <c r="C185" s="15"/>
    </row>
    <row r="186" spans="3:3" x14ac:dyDescent="0.2">
      <c r="C186" s="15"/>
    </row>
    <row r="187" spans="3:3" x14ac:dyDescent="0.2">
      <c r="C187" s="15"/>
    </row>
    <row r="188" spans="3:3" x14ac:dyDescent="0.2">
      <c r="C188" s="15"/>
    </row>
    <row r="189" spans="3:3" x14ac:dyDescent="0.2">
      <c r="C189" s="15"/>
    </row>
    <row r="190" spans="3:3" x14ac:dyDescent="0.2">
      <c r="C190" s="15"/>
    </row>
    <row r="191" spans="3:3" x14ac:dyDescent="0.2">
      <c r="C191" s="15"/>
    </row>
    <row r="192" spans="3:3" x14ac:dyDescent="0.2">
      <c r="C192" s="15"/>
    </row>
    <row r="193" spans="3:3" x14ac:dyDescent="0.2">
      <c r="C193" s="15"/>
    </row>
    <row r="194" spans="3:3" x14ac:dyDescent="0.2">
      <c r="C194" s="15"/>
    </row>
    <row r="195" spans="3:3" x14ac:dyDescent="0.2">
      <c r="C195" s="15"/>
    </row>
    <row r="196" spans="3:3" x14ac:dyDescent="0.2">
      <c r="C196" s="15"/>
    </row>
    <row r="197" spans="3:3" x14ac:dyDescent="0.2">
      <c r="C197" s="15"/>
    </row>
    <row r="198" spans="3:3" x14ac:dyDescent="0.2">
      <c r="C198" s="15"/>
    </row>
    <row r="199" spans="3:3" x14ac:dyDescent="0.2">
      <c r="C199" s="15"/>
    </row>
    <row r="200" spans="3:3" x14ac:dyDescent="0.2">
      <c r="C200" s="15"/>
    </row>
    <row r="201" spans="3:3" x14ac:dyDescent="0.2">
      <c r="C201" s="15"/>
    </row>
    <row r="202" spans="3:3" x14ac:dyDescent="0.2">
      <c r="C202" s="15"/>
    </row>
    <row r="203" spans="3:3" x14ac:dyDescent="0.2">
      <c r="C203" s="15"/>
    </row>
    <row r="204" spans="3:3" x14ac:dyDescent="0.2">
      <c r="C204" s="15"/>
    </row>
    <row r="205" spans="3:3" x14ac:dyDescent="0.2">
      <c r="C205" s="15"/>
    </row>
    <row r="206" spans="3:3" x14ac:dyDescent="0.2">
      <c r="C206" s="15"/>
    </row>
    <row r="207" spans="3:3" x14ac:dyDescent="0.2">
      <c r="C207" s="15"/>
    </row>
    <row r="208" spans="3:3" x14ac:dyDescent="0.2">
      <c r="C208" s="15"/>
    </row>
    <row r="209" spans="3:3" x14ac:dyDescent="0.2">
      <c r="C209" s="15"/>
    </row>
    <row r="210" spans="3:3" x14ac:dyDescent="0.2">
      <c r="C210" s="15"/>
    </row>
    <row r="211" spans="3:3" x14ac:dyDescent="0.2">
      <c r="C211" s="15"/>
    </row>
    <row r="212" spans="3:3" x14ac:dyDescent="0.2">
      <c r="C212" s="15"/>
    </row>
    <row r="213" spans="3:3" x14ac:dyDescent="0.2">
      <c r="C213" s="15"/>
    </row>
    <row r="214" spans="3:3" x14ac:dyDescent="0.2">
      <c r="C214" s="15"/>
    </row>
    <row r="215" spans="3:3" x14ac:dyDescent="0.2">
      <c r="C215" s="15"/>
    </row>
    <row r="216" spans="3:3" x14ac:dyDescent="0.2">
      <c r="C216" s="15"/>
    </row>
    <row r="217" spans="3:3" x14ac:dyDescent="0.2">
      <c r="C217" s="15"/>
    </row>
    <row r="218" spans="3:3" x14ac:dyDescent="0.2">
      <c r="C218" s="15"/>
    </row>
    <row r="219" spans="3:3" x14ac:dyDescent="0.2">
      <c r="C219" s="15"/>
    </row>
    <row r="220" spans="3:3" x14ac:dyDescent="0.2">
      <c r="C220" s="15"/>
    </row>
    <row r="221" spans="3:3" x14ac:dyDescent="0.2">
      <c r="C221" s="15"/>
    </row>
    <row r="222" spans="3:3" x14ac:dyDescent="0.2">
      <c r="C222" s="15"/>
    </row>
    <row r="223" spans="3:3" x14ac:dyDescent="0.2">
      <c r="C223" s="15"/>
    </row>
    <row r="224" spans="3:3" x14ac:dyDescent="0.2">
      <c r="C224" s="15"/>
    </row>
    <row r="225" spans="3:3" x14ac:dyDescent="0.2">
      <c r="C225" s="15"/>
    </row>
    <row r="226" spans="3:3" x14ac:dyDescent="0.2">
      <c r="C226" s="15"/>
    </row>
    <row r="227" spans="3:3" x14ac:dyDescent="0.2">
      <c r="C227" s="15"/>
    </row>
    <row r="228" spans="3:3" x14ac:dyDescent="0.2">
      <c r="C228" s="15"/>
    </row>
    <row r="229" spans="3:3" x14ac:dyDescent="0.2">
      <c r="C229" s="15"/>
    </row>
    <row r="230" spans="3:3" x14ac:dyDescent="0.2">
      <c r="C230" s="15"/>
    </row>
    <row r="231" spans="3:3" x14ac:dyDescent="0.2">
      <c r="C231" s="15"/>
    </row>
    <row r="232" spans="3:3" x14ac:dyDescent="0.2">
      <c r="C232" s="15"/>
    </row>
    <row r="233" spans="3:3" x14ac:dyDescent="0.2">
      <c r="C233" s="15"/>
    </row>
    <row r="234" spans="3:3" x14ac:dyDescent="0.2">
      <c r="C234" s="15"/>
    </row>
    <row r="235" spans="3:3" x14ac:dyDescent="0.2">
      <c r="C235" s="15"/>
    </row>
    <row r="236" spans="3:3" x14ac:dyDescent="0.2">
      <c r="C236" s="15"/>
    </row>
    <row r="237" spans="3:3" x14ac:dyDescent="0.2">
      <c r="C237" s="15"/>
    </row>
    <row r="238" spans="3:3" x14ac:dyDescent="0.2">
      <c r="C238" s="15"/>
    </row>
    <row r="239" spans="3:3" x14ac:dyDescent="0.2">
      <c r="C239" s="15"/>
    </row>
    <row r="240" spans="3:3" x14ac:dyDescent="0.2">
      <c r="C240" s="15"/>
    </row>
    <row r="242" spans="2:3" x14ac:dyDescent="0.2">
      <c r="B242" s="23"/>
      <c r="C242" s="15"/>
    </row>
  </sheetData>
  <pageMargins left="0.75" right="0.75" top="1" bottom="1" header="0.5" footer="0.5"/>
  <pageSetup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Scroll Bar 1">
              <controlPr defaultSize="0" autoPict="0">
                <anchor moveWithCells="1">
                  <from>
                    <xdr:col>8</xdr:col>
                    <xdr:colOff>85725</xdr:colOff>
                    <xdr:row>1</xdr:row>
                    <xdr:rowOff>0</xdr:rowOff>
                  </from>
                  <to>
                    <xdr:col>11</xdr:col>
                    <xdr:colOff>85725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Scroll Bar 2">
              <controlPr defaultSize="0" autoPict="0">
                <anchor moveWithCells="1">
                  <from>
                    <xdr:col>2</xdr:col>
                    <xdr:colOff>57150</xdr:colOff>
                    <xdr:row>0</xdr:row>
                    <xdr:rowOff>152400</xdr:rowOff>
                  </from>
                  <to>
                    <xdr:col>4</xdr:col>
                    <xdr:colOff>438150</xdr:colOff>
                    <xdr:row>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30</vt:i4>
      </vt:variant>
    </vt:vector>
  </HeadingPairs>
  <TitlesOfParts>
    <vt:vector size="34" baseType="lpstr">
      <vt:lpstr>Intro</vt:lpstr>
      <vt:lpstr>Test Data</vt:lpstr>
      <vt:lpstr>Prony Representation w 1 term</vt:lpstr>
      <vt:lpstr>Prony Representation w 7 terms</vt:lpstr>
      <vt:lpstr>'Prony Representation w 7 terms'!G_1</vt:lpstr>
      <vt:lpstr>G_1</vt:lpstr>
      <vt:lpstr>'Prony Representation w 7 terms'!G_2</vt:lpstr>
      <vt:lpstr>G_2</vt:lpstr>
      <vt:lpstr>'Prony Representation w 7 terms'!G_3</vt:lpstr>
      <vt:lpstr>G_3</vt:lpstr>
      <vt:lpstr>'Prony Representation w 7 terms'!G_4</vt:lpstr>
      <vt:lpstr>G_4</vt:lpstr>
      <vt:lpstr>'Prony Representation w 7 terms'!G_5</vt:lpstr>
      <vt:lpstr>G_5</vt:lpstr>
      <vt:lpstr>'Prony Representation w 7 terms'!G_6</vt:lpstr>
      <vt:lpstr>G_6</vt:lpstr>
      <vt:lpstr>'Prony Representation w 7 terms'!G_7</vt:lpstr>
      <vt:lpstr>G_7</vt:lpstr>
      <vt:lpstr>'Prony Representation w 7 terms'!Sum_G</vt:lpstr>
      <vt:lpstr>Sum_G</vt:lpstr>
      <vt:lpstr>'Prony Representation w 7 terms'!Tau_1</vt:lpstr>
      <vt:lpstr>Tau_1</vt:lpstr>
      <vt:lpstr>'Prony Representation w 7 terms'!Tau_2</vt:lpstr>
      <vt:lpstr>Tau_2</vt:lpstr>
      <vt:lpstr>'Prony Representation w 7 terms'!Tau_3</vt:lpstr>
      <vt:lpstr>Tau_3</vt:lpstr>
      <vt:lpstr>'Prony Representation w 7 terms'!Tau_4</vt:lpstr>
      <vt:lpstr>Tau_4</vt:lpstr>
      <vt:lpstr>'Prony Representation w 7 terms'!Tau_5</vt:lpstr>
      <vt:lpstr>Tau_5</vt:lpstr>
      <vt:lpstr>'Prony Representation w 7 terms'!Tau_6</vt:lpstr>
      <vt:lpstr>Tau_6</vt:lpstr>
      <vt:lpstr>'Prony Representation w 7 terms'!Tau_7</vt:lpstr>
      <vt:lpstr>Tau_7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DALRYMPLE Tod</dc:creator>
  <cp:lastModifiedBy>DALRYMPLE Tod</cp:lastModifiedBy>
  <cp:lastPrinted>2006-08-09T21:19:14Z</cp:lastPrinted>
  <dcterms:created xsi:type="dcterms:W3CDTF">1996-10-14T23:33:28Z</dcterms:created>
  <dcterms:modified xsi:type="dcterms:W3CDTF">2014-01-16T17:21:58Z</dcterms:modified>
</cp:coreProperties>
</file>