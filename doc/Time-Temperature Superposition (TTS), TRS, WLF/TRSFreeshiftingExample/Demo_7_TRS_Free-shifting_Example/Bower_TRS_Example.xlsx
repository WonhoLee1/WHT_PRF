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0" yWindow="15" windowWidth="28335" windowHeight="12630"/>
  </bookViews>
  <sheets>
    <sheet name="Original Test Data" sheetId="11" r:id="rId1"/>
    <sheet name="Test Data Master Curve" sheetId="1" r:id="rId2"/>
    <sheet name="WLF Calculations" sheetId="2" r:id="rId3"/>
    <sheet name="Prony Setup" sheetId="3" r:id="rId4"/>
    <sheet name="Prony Representation w 4 terms" sheetId="4" r:id="rId5"/>
    <sheet name="Sim_27" sheetId="6" r:id="rId6"/>
    <sheet name="Sim_35" sheetId="7" r:id="rId7"/>
    <sheet name="Sim_45" sheetId="8" r:id="rId8"/>
    <sheet name="Sim_55" sheetId="9" r:id="rId9"/>
    <sheet name="Sim_65" sheetId="10" r:id="rId10"/>
    <sheet name="PSF File" sheetId="12" r:id="rId11"/>
  </sheets>
  <externalReferences>
    <externalReference r:id="rId12"/>
    <externalReference r:id="rId13"/>
  </externalReferences>
  <definedNames>
    <definedName name="_C1" localSheetId="0">'[1]WLF Calculations'!$H$3</definedName>
    <definedName name="_C1">'WLF Calculations'!$H$3</definedName>
    <definedName name="_C2" localSheetId="0">'[1]WLF Calculations'!$H$4</definedName>
    <definedName name="_C2">'WLF Calculations'!$H$4</definedName>
    <definedName name="G_1" localSheetId="4">'Prony Representation w 4 terms'!$B$2</definedName>
    <definedName name="G_1">'[2]Prony Representation w 1 term'!$B$8</definedName>
    <definedName name="G_2" localSheetId="4">'Prony Representation w 4 terms'!$B$3</definedName>
    <definedName name="G_3" localSheetId="4">'Prony Representation w 4 terms'!$B$4</definedName>
    <definedName name="G_4" localSheetId="4">'Prony Representation w 4 terms'!$B$5</definedName>
    <definedName name="G_5" localSheetId="4">'Prony Representation w 4 terms'!#REF!</definedName>
    <definedName name="G_6" localSheetId="4">'Prony Representation w 4 terms'!#REF!</definedName>
    <definedName name="G_7" localSheetId="4">'Prony Representation w 4 terms'!#REF!</definedName>
    <definedName name="solver_adj" localSheetId="4" hidden="1">'Prony Representation w 4 terms'!$B$2,'Prony Representation w 4 terms'!$B$3,'Prony Representation w 4 terms'!$B$4,'Prony Representation w 4 terms'!$B$5,'Prony Representation w 4 terms'!#REF!,'Prony Representation w 4 terms'!#REF!,'Prony Representation w 4 terms'!#REF!,'Prony Representation w 4 terms'!#REF!,'Prony Representation w 4 terms'!#REF!</definedName>
    <definedName name="solver_adj" localSheetId="2" hidden="1">'WLF Calculations'!$H$3:$H$4</definedName>
    <definedName name="solver_cvg" localSheetId="4" hidden="1">0.0001</definedName>
    <definedName name="solver_cvg" localSheetId="2" hidden="1">0.0001</definedName>
    <definedName name="solver_drv" localSheetId="4" hidden="1">1</definedName>
    <definedName name="solver_drv" localSheetId="2" hidden="1">1</definedName>
    <definedName name="solver_eng" localSheetId="4" hidden="1">1</definedName>
    <definedName name="solver_eng" localSheetId="2" hidden="1">1</definedName>
    <definedName name="solver_est" localSheetId="4" hidden="1">1</definedName>
    <definedName name="solver_est" localSheetId="2" hidden="1">1</definedName>
    <definedName name="solver_itr" localSheetId="4" hidden="1">100</definedName>
    <definedName name="solver_itr" localSheetId="2" hidden="1">2147483647</definedName>
    <definedName name="solver_lhs1" localSheetId="4" hidden="1">'Prony Representation w 4 terms'!$B$2</definedName>
    <definedName name="solver_lhs2" localSheetId="4" hidden="1">'Prony Representation w 4 terms'!$B$3</definedName>
    <definedName name="solver_lhs3" localSheetId="4" hidden="1">'Prony Representation w 4 terms'!$B$4</definedName>
    <definedName name="solver_lhs4" localSheetId="4" hidden="1">'Prony Representation w 4 terms'!$B$5</definedName>
    <definedName name="solver_lhs5" localSheetId="4" hidden="1">'Prony Representation w 4 terms'!#REF!</definedName>
    <definedName name="solver_lhs6" localSheetId="4" hidden="1">'Prony Representation w 4 terms'!#REF!</definedName>
    <definedName name="solver_lhs7" localSheetId="4" hidden="1">'Prony Representation w 4 terms'!#REF!</definedName>
    <definedName name="solver_lin" localSheetId="4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4" hidden="1">2</definedName>
    <definedName name="solver_neg" localSheetId="2" hidden="1">1</definedName>
    <definedName name="solver_nod" localSheetId="2" hidden="1">2147483647</definedName>
    <definedName name="solver_num" localSheetId="4" hidden="1">7</definedName>
    <definedName name="solver_num" localSheetId="2" hidden="1">0</definedName>
    <definedName name="solver_nwt" localSheetId="4" hidden="1">1</definedName>
    <definedName name="solver_nwt" localSheetId="2" hidden="1">1</definedName>
    <definedName name="solver_opt" localSheetId="4" hidden="1">'Prony Representation w 4 terms'!#REF!</definedName>
    <definedName name="solver_opt" localSheetId="2" hidden="1">'WLF Calculations'!$D$9</definedName>
    <definedName name="solver_pre" localSheetId="4" hidden="1">0.000001</definedName>
    <definedName name="solver_pre" localSheetId="2" hidden="1">0.000001</definedName>
    <definedName name="solver_rbv" localSheetId="2" hidden="1">1</definedName>
    <definedName name="solver_rel1" localSheetId="4" hidden="1">3</definedName>
    <definedName name="solver_rel2" localSheetId="4" hidden="1">3</definedName>
    <definedName name="solver_rel3" localSheetId="4" hidden="1">3</definedName>
    <definedName name="solver_rel4" localSheetId="4" hidden="1">3</definedName>
    <definedName name="solver_rel5" localSheetId="4" hidden="1">3</definedName>
    <definedName name="solver_rel6" localSheetId="4" hidden="1">3</definedName>
    <definedName name="solver_rel7" localSheetId="4" hidden="1">2</definedName>
    <definedName name="solver_rhs1" localSheetId="4" hidden="1">'Prony Representation w 4 terms'!G_2</definedName>
    <definedName name="solver_rhs2" localSheetId="4" hidden="1">'Prony Representation w 4 terms'!G_3</definedName>
    <definedName name="solver_rhs3" localSheetId="4" hidden="1">'Prony Representation w 4 terms'!G_4</definedName>
    <definedName name="solver_rhs4" localSheetId="4" hidden="1">'Prony Representation w 4 terms'!G_5</definedName>
    <definedName name="solver_rhs5" localSheetId="4" hidden="1">'Prony Representation w 4 terms'!G_6</definedName>
    <definedName name="solver_rhs6" localSheetId="4" hidden="1">'Prony Representation w 4 terms'!G_7</definedName>
    <definedName name="solver_rhs7" localSheetId="4" hidden="1">0.03</definedName>
    <definedName name="solver_rlx" localSheetId="2" hidden="1">2</definedName>
    <definedName name="solver_rsd" localSheetId="2" hidden="1">0</definedName>
    <definedName name="solver_scl" localSheetId="4" hidden="1">2</definedName>
    <definedName name="solver_scl" localSheetId="2" hidden="1">1</definedName>
    <definedName name="solver_sho" localSheetId="4" hidden="1">2</definedName>
    <definedName name="solver_sho" localSheetId="2" hidden="1">2</definedName>
    <definedName name="solver_ssz" localSheetId="2" hidden="1">100</definedName>
    <definedName name="solver_tim" localSheetId="4" hidden="1">100</definedName>
    <definedName name="solver_tim" localSheetId="2" hidden="1">2147483647</definedName>
    <definedName name="solver_tol" localSheetId="4" hidden="1">0.05</definedName>
    <definedName name="solver_tol" localSheetId="2" hidden="1">0.01</definedName>
    <definedName name="solver_typ" localSheetId="4" hidden="1">2</definedName>
    <definedName name="solver_typ" localSheetId="2" hidden="1">2</definedName>
    <definedName name="solver_val" localSheetId="4" hidden="1">0</definedName>
    <definedName name="solver_val" localSheetId="2" hidden="1">0</definedName>
    <definedName name="solver_ver" localSheetId="4" hidden="1">3</definedName>
    <definedName name="solver_ver" localSheetId="2" hidden="1">3</definedName>
    <definedName name="Sum_G" localSheetId="4">'Prony Representation w 4 terms'!$B$7</definedName>
    <definedName name="T0" localSheetId="0">'[1]WLF Calculations'!$H$5</definedName>
    <definedName name="T0">'WLF Calculations'!$H$5</definedName>
    <definedName name="Tau_1" localSheetId="4">'Prony Representation w 4 terms'!$F$2</definedName>
    <definedName name="Tau_1">'[2]Prony Representation w 1 term'!$D$8</definedName>
    <definedName name="Tau_2" localSheetId="4">'Prony Representation w 4 terms'!$F$3</definedName>
    <definedName name="Tau_3" localSheetId="4">'Prony Representation w 4 terms'!$F$4</definedName>
    <definedName name="Tau_4" localSheetId="4">'Prony Representation w 4 terms'!$F$5</definedName>
    <definedName name="Tau_5" localSheetId="4">'Prony Representation w 4 terms'!#REF!</definedName>
    <definedName name="Tau_6" localSheetId="4">'Prony Representation w 4 terms'!#REF!</definedName>
    <definedName name="Tau_7" localSheetId="4">'Prony Representation w 4 terms'!#REF!</definedName>
  </definedNames>
  <calcPr calcId="145621"/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N66" i="3"/>
  <c r="M66" i="3"/>
  <c r="N64" i="3"/>
  <c r="M64" i="3"/>
  <c r="N62" i="3"/>
  <c r="M62" i="3"/>
  <c r="N60" i="3"/>
  <c r="M60" i="3"/>
  <c r="N58" i="3"/>
  <c r="M58" i="3"/>
  <c r="N56" i="3"/>
  <c r="M56" i="3"/>
  <c r="N72" i="3"/>
  <c r="M72" i="3"/>
  <c r="N71" i="3"/>
  <c r="M71" i="3"/>
  <c r="N70" i="3"/>
  <c r="M70" i="3"/>
  <c r="N69" i="3"/>
  <c r="M69" i="3"/>
  <c r="N68" i="3"/>
  <c r="M68" i="3"/>
  <c r="N67" i="3"/>
  <c r="M67" i="3"/>
  <c r="N65" i="3"/>
  <c r="M65" i="3"/>
  <c r="N63" i="3"/>
  <c r="M63" i="3"/>
  <c r="N61" i="3"/>
  <c r="M61" i="3"/>
  <c r="N59" i="3"/>
  <c r="M59" i="3"/>
  <c r="N57" i="3"/>
  <c r="M57" i="3"/>
  <c r="N55" i="3"/>
  <c r="M55" i="3"/>
  <c r="N54" i="3"/>
  <c r="M54" i="3"/>
  <c r="N53" i="3"/>
  <c r="M53" i="3"/>
  <c r="M50" i="3"/>
  <c r="M51" i="3"/>
  <c r="M52" i="3"/>
  <c r="N52" i="3"/>
  <c r="N51" i="3"/>
  <c r="N50" i="3"/>
  <c r="N49" i="3"/>
  <c r="N48" i="3"/>
  <c r="N45" i="3"/>
  <c r="M45" i="3"/>
  <c r="H66" i="3"/>
  <c r="G66" i="3"/>
  <c r="H64" i="3"/>
  <c r="G64" i="3"/>
  <c r="H62" i="3"/>
  <c r="G62" i="3"/>
  <c r="H60" i="3"/>
  <c r="G60" i="3"/>
  <c r="H58" i="3"/>
  <c r="G58" i="3"/>
  <c r="H56" i="3"/>
  <c r="G56" i="3"/>
  <c r="H54" i="3"/>
  <c r="G54" i="3"/>
  <c r="H51" i="3"/>
  <c r="G51" i="3"/>
  <c r="H49" i="3"/>
  <c r="G49" i="3"/>
  <c r="M49" i="3" s="1"/>
  <c r="H47" i="3"/>
  <c r="N47" i="3" s="1"/>
  <c r="G47" i="3"/>
  <c r="M47" i="3" s="1"/>
  <c r="H45" i="3"/>
  <c r="G45" i="3"/>
  <c r="H43" i="3"/>
  <c r="N43" i="3" s="1"/>
  <c r="G43" i="3"/>
  <c r="M43" i="3" s="1"/>
  <c r="H41" i="3"/>
  <c r="N41" i="3" s="1"/>
  <c r="G41" i="3"/>
  <c r="M41" i="3" s="1"/>
  <c r="B7" i="4"/>
  <c r="D62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D49" i="4" l="1"/>
  <c r="I49" i="4" s="1"/>
  <c r="D10" i="4"/>
  <c r="I10" i="4" s="1"/>
  <c r="D11" i="4"/>
  <c r="I11" i="4" s="1"/>
  <c r="D12" i="4"/>
  <c r="I12" i="4" s="1"/>
  <c r="D13" i="4"/>
  <c r="I13" i="4" s="1"/>
  <c r="D14" i="4"/>
  <c r="I14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J72" i="3" l="1"/>
  <c r="J71" i="3"/>
  <c r="J70" i="3"/>
  <c r="J69" i="3"/>
  <c r="J68" i="3"/>
  <c r="J67" i="3"/>
  <c r="J65" i="3"/>
  <c r="J63" i="3"/>
  <c r="J61" i="3"/>
  <c r="J59" i="3"/>
  <c r="J57" i="3"/>
  <c r="J55" i="3"/>
  <c r="J52" i="3"/>
  <c r="D34" i="3"/>
  <c r="N34" i="3" s="1"/>
  <c r="F53" i="3"/>
  <c r="F50" i="3"/>
  <c r="F48" i="3"/>
  <c r="F46" i="3"/>
  <c r="N46" i="3" s="1"/>
  <c r="F44" i="3"/>
  <c r="N44" i="3" s="1"/>
  <c r="F42" i="3"/>
  <c r="N42" i="3" s="1"/>
  <c r="F40" i="3"/>
  <c r="N40" i="3" s="1"/>
  <c r="F39" i="3"/>
  <c r="N39" i="3" s="1"/>
  <c r="F38" i="3"/>
  <c r="N38" i="3" s="1"/>
  <c r="F37" i="3"/>
  <c r="N37" i="3" s="1"/>
  <c r="F35" i="3"/>
  <c r="N35" i="3" s="1"/>
  <c r="F33" i="3"/>
  <c r="N33" i="3" s="1"/>
  <c r="F31" i="3"/>
  <c r="N31" i="3" s="1"/>
  <c r="D36" i="3"/>
  <c r="N36" i="3" s="1"/>
  <c r="D32" i="3"/>
  <c r="N32" i="3" s="1"/>
  <c r="D30" i="3"/>
  <c r="N30" i="3" s="1"/>
  <c r="D29" i="3"/>
  <c r="N29" i="3" s="1"/>
  <c r="D28" i="3"/>
  <c r="N28" i="3" s="1"/>
  <c r="D27" i="3"/>
  <c r="N27" i="3" s="1"/>
  <c r="D26" i="3"/>
  <c r="N26" i="3" s="1"/>
  <c r="D25" i="3"/>
  <c r="N25" i="3" s="1"/>
  <c r="D24" i="3"/>
  <c r="N24" i="3" s="1"/>
  <c r="D22" i="3"/>
  <c r="N22" i="3" s="1"/>
  <c r="D20" i="3"/>
  <c r="N20" i="3" s="1"/>
  <c r="D18" i="3"/>
  <c r="N18" i="3" s="1"/>
  <c r="B23" i="3"/>
  <c r="N23" i="3" s="1"/>
  <c r="A23" i="3"/>
  <c r="M23" i="3" s="1"/>
  <c r="B21" i="3"/>
  <c r="N21" i="3" s="1"/>
  <c r="A21" i="3"/>
  <c r="M21" i="3" s="1"/>
  <c r="B19" i="3"/>
  <c r="N19" i="3" s="1"/>
  <c r="A19" i="3"/>
  <c r="M19" i="3" s="1"/>
  <c r="B17" i="3"/>
  <c r="N17" i="3" s="1"/>
  <c r="A17" i="3"/>
  <c r="M17" i="3" s="1"/>
  <c r="B16" i="3"/>
  <c r="N16" i="3" s="1"/>
  <c r="A16" i="3"/>
  <c r="M16" i="3" s="1"/>
  <c r="B15" i="3"/>
  <c r="N15" i="3" s="1"/>
  <c r="A15" i="3"/>
  <c r="M15" i="3" s="1"/>
  <c r="B14" i="3"/>
  <c r="N14" i="3" s="1"/>
  <c r="A14" i="3"/>
  <c r="M14" i="3" s="1"/>
  <c r="B13" i="3"/>
  <c r="N13" i="3" s="1"/>
  <c r="A13" i="3"/>
  <c r="M13" i="3" s="1"/>
  <c r="B12" i="3"/>
  <c r="N12" i="3" s="1"/>
  <c r="A12" i="3"/>
  <c r="M12" i="3" s="1"/>
  <c r="B11" i="3"/>
  <c r="N11" i="3" s="1"/>
  <c r="A11" i="3"/>
  <c r="M11" i="3" s="1"/>
  <c r="B10" i="3"/>
  <c r="N10" i="3" s="1"/>
  <c r="A10" i="3"/>
  <c r="M10" i="3" s="1"/>
  <c r="B9" i="3"/>
  <c r="N9" i="3" s="1"/>
  <c r="A9" i="3"/>
  <c r="M9" i="3" s="1"/>
  <c r="B8" i="3"/>
  <c r="N8" i="3" s="1"/>
  <c r="A8" i="3"/>
  <c r="M8" i="3" s="1"/>
  <c r="B7" i="3"/>
  <c r="N7" i="3" s="1"/>
  <c r="A7" i="3"/>
  <c r="M7" i="3" s="1"/>
  <c r="O14" i="2" l="1"/>
  <c r="O24" i="2"/>
  <c r="O23" i="2"/>
  <c r="O22" i="2"/>
  <c r="O21" i="2"/>
  <c r="O20" i="2"/>
  <c r="O19" i="2"/>
  <c r="O18" i="2"/>
  <c r="O17" i="2"/>
  <c r="O16" i="2"/>
  <c r="O15" i="2"/>
  <c r="O13" i="2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8" i="2" l="1"/>
  <c r="C7" i="2"/>
  <c r="C6" i="2"/>
  <c r="C5" i="2"/>
  <c r="C4" i="2"/>
  <c r="B8" i="2"/>
  <c r="B7" i="2"/>
  <c r="B6" i="2"/>
  <c r="B5" i="2"/>
  <c r="B4" i="2"/>
  <c r="S19" i="1"/>
  <c r="I72" i="3" s="1"/>
  <c r="S18" i="1"/>
  <c r="I71" i="3" s="1"/>
  <c r="S17" i="1"/>
  <c r="I70" i="3" s="1"/>
  <c r="S16" i="1"/>
  <c r="I69" i="3" s="1"/>
  <c r="S15" i="1"/>
  <c r="I68" i="3" s="1"/>
  <c r="S14" i="1"/>
  <c r="I67" i="3" s="1"/>
  <c r="S13" i="1"/>
  <c r="I65" i="3" s="1"/>
  <c r="S12" i="1"/>
  <c r="I63" i="3" s="1"/>
  <c r="S11" i="1"/>
  <c r="I61" i="3" s="1"/>
  <c r="S10" i="1"/>
  <c r="I59" i="3" s="1"/>
  <c r="S9" i="1"/>
  <c r="I57" i="3" s="1"/>
  <c r="S8" i="1"/>
  <c r="I55" i="3" s="1"/>
  <c r="S7" i="1"/>
  <c r="I52" i="3" s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G19" i="1"/>
  <c r="C36" i="3" s="1"/>
  <c r="M36" i="3" s="1"/>
  <c r="G18" i="1"/>
  <c r="C34" i="3" s="1"/>
  <c r="M34" i="3" s="1"/>
  <c r="G17" i="1"/>
  <c r="C32" i="3" s="1"/>
  <c r="M32" i="3" s="1"/>
  <c r="G16" i="1"/>
  <c r="C30" i="3" s="1"/>
  <c r="M30" i="3" s="1"/>
  <c r="G15" i="1"/>
  <c r="C29" i="3" s="1"/>
  <c r="M29" i="3" s="1"/>
  <c r="G14" i="1"/>
  <c r="C28" i="3" s="1"/>
  <c r="M28" i="3" s="1"/>
  <c r="G13" i="1"/>
  <c r="C27" i="3" s="1"/>
  <c r="M27" i="3" s="1"/>
  <c r="G12" i="1"/>
  <c r="C26" i="3" s="1"/>
  <c r="M26" i="3" s="1"/>
  <c r="G11" i="1"/>
  <c r="C25" i="3" s="1"/>
  <c r="M25" i="3" s="1"/>
  <c r="G10" i="1"/>
  <c r="C24" i="3" s="1"/>
  <c r="M24" i="3" s="1"/>
  <c r="G9" i="1"/>
  <c r="C22" i="3" s="1"/>
  <c r="M22" i="3" s="1"/>
  <c r="G8" i="1"/>
  <c r="C20" i="3" s="1"/>
  <c r="M20" i="3" s="1"/>
  <c r="K19" i="1"/>
  <c r="E53" i="3" s="1"/>
  <c r="K18" i="1"/>
  <c r="E50" i="3" s="1"/>
  <c r="K17" i="1"/>
  <c r="E48" i="3" s="1"/>
  <c r="M48" i="3" s="1"/>
  <c r="K16" i="1"/>
  <c r="E46" i="3" s="1"/>
  <c r="M46" i="3" s="1"/>
  <c r="K15" i="1"/>
  <c r="E44" i="3" s="1"/>
  <c r="M44" i="3" s="1"/>
  <c r="K14" i="1"/>
  <c r="E42" i="3" s="1"/>
  <c r="M42" i="3" s="1"/>
  <c r="K13" i="1"/>
  <c r="E40" i="3" s="1"/>
  <c r="M40" i="3" s="1"/>
  <c r="K12" i="1"/>
  <c r="E39" i="3" s="1"/>
  <c r="M39" i="3" s="1"/>
  <c r="K11" i="1"/>
  <c r="E38" i="3" s="1"/>
  <c r="M38" i="3" s="1"/>
  <c r="K10" i="1"/>
  <c r="E37" i="3" s="1"/>
  <c r="M37" i="3" s="1"/>
  <c r="K9" i="1"/>
  <c r="E35" i="3" s="1"/>
  <c r="M35" i="3" s="1"/>
  <c r="K8" i="1"/>
  <c r="E33" i="3" s="1"/>
  <c r="M33" i="3" s="1"/>
  <c r="K7" i="1"/>
  <c r="E31" i="3" s="1"/>
  <c r="M31" i="3" s="1"/>
  <c r="G7" i="1"/>
  <c r="C18" i="3" s="1"/>
  <c r="M18" i="3" s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20" i="1"/>
  <c r="D6" i="2" l="1"/>
  <c r="D8" i="2"/>
  <c r="D7" i="2"/>
  <c r="D5" i="2"/>
  <c r="D9" i="2" l="1"/>
</calcChain>
</file>

<file path=xl/comments1.xml><?xml version="1.0" encoding="utf-8"?>
<comments xmlns="http://schemas.openxmlformats.org/spreadsheetml/2006/main">
  <authors>
    <author>Author</author>
  </authors>
  <commentList>
    <comment ref="L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Columns L and M into A/CAE to fit the Prony series to the normalized master curve
</t>
        </r>
      </text>
    </comment>
  </commentList>
</comments>
</file>

<file path=xl/sharedStrings.xml><?xml version="1.0" encoding="utf-8"?>
<sst xmlns="http://schemas.openxmlformats.org/spreadsheetml/2006/main" count="387" uniqueCount="264">
  <si>
    <r>
      <t xml:space="preserve">27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</si>
  <si>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35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</si>
  <si>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55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</si>
  <si>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65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</si>
  <si>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Time</t>
  </si>
  <si>
    <t>(Sec)</t>
  </si>
  <si>
    <t>Modulus</t>
  </si>
  <si>
    <t>(GPa)</t>
  </si>
  <si>
    <t>GPa</t>
  </si>
  <si>
    <r>
      <t xml:space="preserve">45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</si>
  <si>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Log(time)</t>
  </si>
  <si>
    <t>log(t)+h</t>
  </si>
  <si>
    <t>Temp.</t>
  </si>
  <si>
    <t>Shift</t>
  </si>
  <si>
    <t>C1=</t>
  </si>
  <si>
    <t>C2=</t>
  </si>
  <si>
    <r>
      <t>T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=</t>
    </r>
  </si>
  <si>
    <t>Relative</t>
  </si>
  <si>
    <t>SQUARE</t>
  </si>
  <si>
    <t>ERROR</t>
  </si>
  <si>
    <t>Test</t>
  </si>
  <si>
    <t>Factors</t>
  </si>
  <si>
    <t>WLF</t>
  </si>
  <si>
    <t>Shift Factors (h) -&gt;</t>
  </si>
  <si>
    <t>Error Sum</t>
  </si>
  <si>
    <t>temp</t>
  </si>
  <si>
    <t>Master Curve Data</t>
  </si>
  <si>
    <t>Normalized</t>
  </si>
  <si>
    <t>Shear</t>
  </si>
  <si>
    <t>(secs)</t>
  </si>
  <si>
    <t>Gpa</t>
  </si>
  <si>
    <r>
      <t xml:space="preserve">27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</si>
  <si>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t>g_1</t>
  </si>
  <si>
    <t>Tau_1</t>
  </si>
  <si>
    <t>g_2</t>
  </si>
  <si>
    <t>Tau_2</t>
  </si>
  <si>
    <t>g_3</t>
  </si>
  <si>
    <t>Tau_3</t>
  </si>
  <si>
    <t>g_4</t>
  </si>
  <si>
    <t>Tau_4</t>
  </si>
  <si>
    <t>Sum of g's</t>
  </si>
  <si>
    <t>time</t>
  </si>
  <si>
    <t>Term 1</t>
  </si>
  <si>
    <t>Term 2</t>
  </si>
  <si>
    <t>Term 3</t>
  </si>
  <si>
    <t>Term 4</t>
  </si>
  <si>
    <t>1-Sum</t>
  </si>
  <si>
    <t>I</t>
  </si>
  <si>
    <t>G(I)</t>
  </si>
  <si>
    <t>K(I)</t>
  </si>
  <si>
    <t>TAU(I)</t>
  </si>
  <si>
    <t>modulus</t>
  </si>
  <si>
    <r>
      <t>35</t>
    </r>
    <r>
      <rPr>
        <b/>
        <vertAlign val="superscript"/>
        <sz val="11"/>
        <color theme="1"/>
        <rFont val="Calibri"/>
        <family val="2"/>
        <scheme val="minor"/>
      </rPr>
      <t xml:space="preserve"> 0</t>
    </r>
    <r>
      <rPr>
        <b/>
        <sz val="11"/>
        <color theme="1"/>
        <rFont val="Calibri"/>
        <family val="2"/>
        <scheme val="minor"/>
      </rPr>
      <t>C</t>
    </r>
  </si>
  <si>
    <r>
      <t>45</t>
    </r>
    <r>
      <rPr>
        <b/>
        <vertAlign val="superscript"/>
        <sz val="11"/>
        <color theme="1"/>
        <rFont val="Calibri"/>
        <family val="2"/>
        <scheme val="minor"/>
      </rPr>
      <t xml:space="preserve"> 0</t>
    </r>
    <r>
      <rPr>
        <b/>
        <sz val="11"/>
        <color theme="1"/>
        <rFont val="Calibri"/>
        <family val="2"/>
        <scheme val="minor"/>
      </rPr>
      <t>C</t>
    </r>
  </si>
  <si>
    <r>
      <t xml:space="preserve">55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</si>
  <si>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r>
      <t xml:space="preserve">65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</si>
  <si>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t>Note: From Abaqus with default errtol = 0.01</t>
  </si>
  <si>
    <t>Relaxation</t>
  </si>
  <si>
    <t>*Material, name=mat</t>
  </si>
  <si>
    <t xml:space="preserve">** </t>
  </si>
  <si>
    <t>** Units: [length]=meter, [force] = Newton, [time] = seconds, [temperature] = Celsius</t>
  </si>
  <si>
    <t>** Reference Temperature for TRS is 27 degrees C</t>
  </si>
  <si>
    <t>*Hyperelastic, neohooke, moduli=instant</t>
  </si>
  <si>
    <t>11.975, 0.0</t>
  </si>
  <si>
    <t>*Viscoelastic, time=prony</t>
  </si>
  <si>
    <t>** g_i, kappa_i, tau_i</t>
  </si>
  <si>
    <t>0.20763, 0.0, 1694</t>
  </si>
  <si>
    <t>0.41734, 0.0, 168000</t>
  </si>
  <si>
    <t>0.16637, 0.0, 17200000</t>
  </si>
  <si>
    <t>0.10436, 0.0, 17400000000</t>
  </si>
  <si>
    <t>*TRS, Definition=WLF</t>
  </si>
  <si>
    <t>27, 14.94, 38.13</t>
  </si>
  <si>
    <t>**              [stress] =GPa</t>
  </si>
  <si>
    <r>
      <t xml:space="preserve">35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</si>
  <si>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r>
      <t xml:space="preserve">45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</si>
  <si>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r>
      <t>65</t>
    </r>
    <r>
      <rPr>
        <vertAlign val="superscript"/>
        <sz val="11"/>
        <color theme="1"/>
        <rFont val="Calibri"/>
        <family val="2"/>
        <scheme val="minor"/>
      </rPr>
      <t xml:space="preserve"> 0</t>
    </r>
    <r>
      <rPr>
        <sz val="11"/>
        <color theme="1"/>
        <rFont val="Calibri"/>
        <family val="2"/>
        <scheme val="minor"/>
      </rPr>
      <t>C</t>
    </r>
  </si>
  <si>
    <t>http://solidmechanics.org/text/Chapter3_6/Chapter3_6.htm</t>
  </si>
  <si>
    <t>http://solidmechanics.org/problems/Chapter3_6/Chapter3_6.php</t>
  </si>
  <si>
    <t>see Problem 3.6.5</t>
  </si>
  <si>
    <r>
      <t xml:space="preserve">3.6.5.      The table above lists measured relaxation (shear) modulus for a (fictitious) polymer at various temperatures.  The polymer has a glass transition temperature of 30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C.
3.6.5.1.            Plot a graph of the modulus as a function of time for each temperature, using a log scale for both axes
3.6.5.2.            Hence, show that the data for various temperatures can be collapsed onto a single master-curve by scaling the times in each experiment by a temperature dependent factor A(T,T1), as described in Section 3.6.1.  Plot the master-curve corresponding to relaxation at 27 0C.
3.6.5.3.            Plot a graph of log(A(T,T1)) as a function of temperature, and show that the data can be fit by a function of the form log[A(T;T1)]=−C1(T−T1)/{C2+(T−T1)}.  Determine the values of C1,C2 that best fit the data
3.6.5.4.            Hence, determine the constants C</t>
    </r>
    <r>
      <rPr>
        <vertAlign val="superscript"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,C</t>
    </r>
    <r>
      <rPr>
        <vertAlign val="superscript"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for the material, as discussed in Section 3.6.1
3.6.5.5.            Hence, scale the times in the experimental data to plot the relaxation modulus at the glass transition temperature G(t,Tg).
3.6.5.6.            Find a Prony series fit to G(t,Tg).  Use four terms in the series, together with an appropriate value for G</t>
    </r>
    <r>
      <rPr>
        <vertAlign val="subscript"/>
        <sz val="11"/>
        <color theme="1"/>
        <rFont val="Calibri"/>
        <family val="2"/>
        <scheme val="minor"/>
      </rPr>
      <t>∞</t>
    </r>
  </si>
  <si>
    <t>*Heading</t>
  </si>
  <si>
    <t xml:space="preserve"> Template file for running Parametric Study</t>
  </si>
  <si>
    <t>**</t>
  </si>
  <si>
    <t>*Parameter</t>
  </si>
  <si>
    <t>temperature = 27.0</t>
  </si>
  <si>
    <t>**        [stress]=GPa</t>
  </si>
  <si>
    <t>0.20763, 0.0, 1694.</t>
  </si>
  <si>
    <t>0.41734, 0.0, 168038.</t>
  </si>
  <si>
    <t>0.16637, 0.0, 17225100.</t>
  </si>
  <si>
    <t>0.10436, 0.0, 17440800000.</t>
  </si>
  <si>
    <t>** PARTS</t>
  </si>
  <si>
    <t>1, 0, 0, 0</t>
  </si>
  <si>
    <t>2, 0, 0, 1</t>
  </si>
  <si>
    <t>3, 1, 0, 1</t>
  </si>
  <si>
    <t>4, 1, 0, 0</t>
  </si>
  <si>
    <t>5, 0, 1, 0</t>
  </si>
  <si>
    <t>6, 0, 1, 1</t>
  </si>
  <si>
    <t>7, 1, 1, 1</t>
  </si>
  <si>
    <t>8, 1, 1, 0</t>
  </si>
  <si>
    <t>1, 2, 5, 6</t>
  </si>
  <si>
    <t>1, 2, 3, 4</t>
  </si>
  <si>
    <t>1, 4, 5, 8</t>
  </si>
  <si>
    <t>2, 3, 6, 7</t>
  </si>
  <si>
    <t>5, 6, 7, 8</t>
  </si>
  <si>
    <t>3, 4, 7, 8</t>
  </si>
  <si>
    <t>1, 1, 2, 3, 4, 5, 6, 7, 8</t>
  </si>
  <si>
    <t>*End Part</t>
  </si>
  <si>
    <t>*End Instance</t>
  </si>
  <si>
    <t>*End Assembly</t>
  </si>
  <si>
    <t>*Boundary</t>
  </si>
  <si>
    <t>1,</t>
  </si>
  <si>
    <t>2,</t>
  </si>
  <si>
    <t>3,</t>
  </si>
  <si>
    <t>5,</t>
  </si>
  <si>
    <t>10,</t>
  </si>
  <si>
    <t>20,</t>
  </si>
  <si>
    <t>30,</t>
  </si>
  <si>
    <t>50,</t>
  </si>
  <si>
    <t>100,</t>
  </si>
  <si>
    <t>200,</t>
  </si>
  <si>
    <t>300,</t>
  </si>
  <si>
    <t>500,</t>
  </si>
  <si>
    <t>1000,</t>
  </si>
  <si>
    <t>2000,</t>
  </si>
  <si>
    <t>3000,</t>
  </si>
  <si>
    <t>5000,</t>
  </si>
  <si>
    <t>10000,</t>
  </si>
  <si>
    <t>20000,</t>
  </si>
  <si>
    <t>30000,</t>
  </si>
  <si>
    <t>0.1, 1,,0.1</t>
  </si>
  <si>
    <t>*Node Output</t>
  </si>
  <si>
    <t>u</t>
  </si>
  <si>
    <t>*Element Output</t>
  </si>
  <si>
    <t>s, le, temp</t>
  </si>
  <si>
    <t>s12, le12, temp</t>
  </si>
  <si>
    <t>0.1, 30000,,1000</t>
  </si>
  <si>
    <t>from odbAccess import openOdb</t>
  </si>
  <si>
    <t>import win32com.client</t>
  </si>
  <si>
    <t>from textRepr import prettyPrint as pp</t>
  </si>
  <si>
    <t xml:space="preserve">        </t>
  </si>
  <si>
    <t>#~~~~~~~~~~~~~~~~~~~~~~~~~~~~~~~~~~~~~~~~~~~~~~~~~~~~~~~~~~~~~~~~~~~~~~~~~</t>
  </si>
  <si>
    <t xml:space="preserve"># Automates the running of 5 different stress relaxation tests </t>
  </si>
  <si>
    <t># Each Stress Relaxation test loads the specimen at different temperatures</t>
  </si>
  <si>
    <t># Temperatures are: 27, 35, 45, 55, 65 C</t>
  </si>
  <si>
    <t>#</t>
  </si>
  <si>
    <t>studyName = 'SSSR'</t>
  </si>
  <si>
    <t>spreadsheetName = 'Bower_TRS_Example.xlsx'</t>
  </si>
  <si>
    <t>bergs = ParStudy(par=('temperature'), name=studyName)</t>
  </si>
  <si>
    <t>domaineamp = (27, 35, 45, 55, 65)</t>
  </si>
  <si>
    <t>bergs.define(DISCRETE, par='temperature', domain=domaineamp)</t>
  </si>
  <si>
    <t>bergs.sample(VALUES, par='temperature', values=domaineamp)</t>
  </si>
  <si>
    <t>bergs.combine(MESH)</t>
  </si>
  <si>
    <t>bergs.generate(template='Relax')</t>
  </si>
  <si>
    <t>bergs.execute('ALL')</t>
  </si>
  <si>
    <t>import sys</t>
  </si>
  <si>
    <t>import os</t>
  </si>
  <si>
    <t>path=os.getcwd()</t>
  </si>
  <si>
    <t>files=os.listdir(path)</t>
  </si>
  <si>
    <t>extensions=['.com', '.lck', '.ipm', '.stt', '.mdl', '.prt', '.dat', '.sim',</t>
  </si>
  <si>
    <t xml:space="preserve">            '.res', '.fil', '.log', '.par', '.pes', '.pmg', '.sta', '.msg']</t>
  </si>
  <si>
    <t>for outFile in files:</t>
  </si>
  <si>
    <t xml:space="preserve">    for ext in extensions:</t>
  </si>
  <si>
    <t xml:space="preserve">        if (outFile[-4:]==ext): os.remove(outFile)</t>
  </si>
  <si>
    <t>def getResults(odbName):</t>
  </si>
  <si>
    <t xml:space="preserve">    """Method to extract the stress Vs strain data"""</t>
  </si>
  <si>
    <t xml:space="preserve">    </t>
  </si>
  <si>
    <t>#    if os.path.isfile(odbName):</t>
  </si>
  <si>
    <t>#        odb = openOdb(odbName)</t>
  </si>
  <si>
    <t>#        step = odb.steps.values()[-1]</t>
  </si>
  <si>
    <t xml:space="preserve">    if os.path.isfile(odbName):</t>
  </si>
  <si>
    <t xml:space="preserve">        odb = openOdb(odbName)</t>
  </si>
  <si>
    <t xml:space="preserve">        evs = []</t>
  </si>
  <si>
    <t xml:space="preserve">        inFirstStep = True</t>
  </si>
  <si>
    <t xml:space="preserve">        for step in odb.steps.values():</t>
  </si>
  <si>
    <t xml:space="preserve">            totalTime = step.totalTime</t>
  </si>
  <si>
    <t xml:space="preserve">            for hrName in step.historyRegions.keys():</t>
  </si>
  <si>
    <t xml:space="preserve">                if hrName.startswith('E'):</t>
  </si>
  <si>
    <t xml:space="preserve">                    connOut = step.historyRegions[hrName]</t>
  </si>
  <si>
    <t xml:space="preserve">                    pullOut = step.historyRegions[hrName]</t>
  </si>
  <si>
    <t xml:space="preserve">            if inFirstStep:</t>
  </si>
  <si>
    <t xml:space="preserve">                inFirstStep = False</t>
  </si>
  <si>
    <t xml:space="preserve">            else:</t>
  </si>
  <si>
    <t xml:space="preserve">                s12 = pullOut.historyOutputs['S12'].data</t>
  </si>
  <si>
    <t>#               add 1 to time, since this is step time and I want total time</t>
  </si>
  <si>
    <t xml:space="preserve">                s = tuple(map(lambda x: (x[0]+1,x[1]/0.01), s12))</t>
  </si>
  <si>
    <t xml:space="preserve">                evs.append(s)</t>
  </si>
  <si>
    <t xml:space="preserve">        return evs</t>
  </si>
  <si>
    <t xml:space="preserve">    else:</t>
  </si>
  <si>
    <t xml:space="preserve">        print 'Not found. Skipping.'</t>
  </si>
  <si>
    <t xml:space="preserve">        return None</t>
  </si>
  <si>
    <t>#~~~~~~~~~~~~~~~~~~~~~~~~~~~~~~~~~~~~~~~~~~~~~~~~~~~~~~~~~~~~~~~~~~~~~~~~~~~~</t>
  </si>
  <si>
    <t>xl = win32com.client.Dispatch("Excel.Application")</t>
  </si>
  <si>
    <t>ss = xl.Workbooks.Open(os.path.join(os.getcwd(), spreadsheetName))</t>
  </si>
  <si>
    <t>for job in bergs.job.values():</t>
  </si>
  <si>
    <t xml:space="preserve">    print 'Processing ',job.design[0],'strain excitation'</t>
  </si>
  <si>
    <t xml:space="preserve">    evs1 = []</t>
  </si>
  <si>
    <t xml:space="preserve">    evs1 = getResults(odbName='%s_%s.odb' % (job.root, job.designName))</t>
  </si>
  <si>
    <t xml:space="preserve">    try:</t>
  </si>
  <si>
    <t xml:space="preserve">        len(evs1)</t>
  </si>
  <si>
    <t xml:space="preserve">    except:</t>
  </si>
  <si>
    <t xml:space="preserve">        print 'No data in ODB file'</t>
  </si>
  <si>
    <t xml:space="preserve">        continue</t>
  </si>
  <si>
    <t xml:space="preserve">    nData = len(evs1[0])+6</t>
  </si>
  <si>
    <t xml:space="preserve">    worksheetName = 'Sim_%s' % job.design[0]</t>
  </si>
  <si>
    <t xml:space="preserve">    foundWs = False</t>
  </si>
  <si>
    <t xml:space="preserve">    for ws in ss.Worksheets:</t>
  </si>
  <si>
    <t xml:space="preserve">        if ws.Name == worksheetName:</t>
  </si>
  <si>
    <t xml:space="preserve">            foundWs = True</t>
  </si>
  <si>
    <t xml:space="preserve">            break</t>
  </si>
  <si>
    <t xml:space="preserve">    if not foundWs:</t>
  </si>
  <si>
    <t xml:space="preserve">        print 'Worksheet %s not found. Skipping' % worksheetName</t>
  </si>
  <si>
    <t xml:space="preserve">    endCell = 'B%s' % (nData)</t>
  </si>
  <si>
    <t xml:space="preserve">    ws.Range('A7', 'B10000').ClearContents()</t>
  </si>
  <si>
    <t xml:space="preserve">    ws.Range('A7', endCell).Value = evs1[0]</t>
  </si>
  <si>
    <t>ss.Save()</t>
  </si>
  <si>
    <t>ss.Close()</t>
  </si>
  <si>
    <t>xl.Quit()</t>
  </si>
  <si>
    <t>print</t>
  </si>
  <si>
    <t>print 'Completed !'</t>
  </si>
  <si>
    <t xml:space="preserve"># The script computes the shear modulus=shear strain, S12, divided by </t>
  </si>
  <si>
    <t># the shear strain (0.01).</t>
  </si>
  <si>
    <t xml:space="preserve"># The script saves the(Time, Shear Modulus) data back to an Excel sheet. </t>
  </si>
  <si>
    <t>#               divide stress by strain=0.01 to get shear modulus</t>
  </si>
  <si>
    <t xml:space="preserve"> Run Parametric Study using commnad "abaqus script=Bower_TRS_Example.psf"</t>
  </si>
  <si>
    <t xml:space="preserve"> Unit Cube in Simple Shear, Stress Relaxation</t>
  </si>
  <si>
    <t xml:space="preserve"> Loading:</t>
  </si>
  <si>
    <t xml:space="preserve">      Step 1:  Impose linear ramp of strain in 1 second.</t>
  </si>
  <si>
    <t xml:space="preserve">      Step 2:  Hold strain constant for 30,000 secs.</t>
  </si>
  <si>
    <t xml:space="preserve"> Linear Viscoelastic + TRS material model</t>
  </si>
  <si>
    <t>max_strain  =  0.01</t>
  </si>
  <si>
    <t>*Material, Name=mat</t>
  </si>
  <si>
    <t>** Linear viscoelasticity with TRS</t>
  </si>
  <si>
    <t>*Hyperelastic, Neohooke, Moduli=instant</t>
  </si>
  <si>
    <t>*Viscoelastic, Time=Prony</t>
  </si>
  <si>
    <t>*Part, Name=UnitCube</t>
  </si>
  <si>
    <t>*Node, Nset=all</t>
  </si>
  <si>
    <t>*Nset, Nset=nLeft</t>
  </si>
  <si>
    <t>*Nset, Nset=nBot</t>
  </si>
  <si>
    <t>*Nset, Nset=nBack</t>
  </si>
  <si>
    <t>*Nset, Nset=nFront</t>
  </si>
  <si>
    <t>*Nset, Nset=nTop</t>
  </si>
  <si>
    <t>*Nset, Nset=nRight</t>
  </si>
  <si>
    <t>*Element, Type=C3D8RH, Elset=all</t>
  </si>
  <si>
    <t>*Solid Section, Elset=all, Material=mat</t>
  </si>
  <si>
    <t>*Assembly, Name=Assembly</t>
  </si>
  <si>
    <t>*Instance, Name=Cube, Part=UnitCube</t>
  </si>
  <si>
    <t>Cube.nBot, 1</t>
  </si>
  <si>
    <t>Cube.nBot, 2</t>
  </si>
  <si>
    <t>Cube.nTop, 2</t>
  </si>
  <si>
    <t>Cube.nBack, 3</t>
  </si>
  <si>
    <t>*Initial Conditions, Type=temperature</t>
  </si>
  <si>
    <t>Cube.all, &lt;temperature&gt;</t>
  </si>
  <si>
    <t>*Time Points, Name=TimePts</t>
  </si>
  <si>
    <t>*Amplitude, Name=load_hold, Time=Total</t>
  </si>
  <si>
    <t>0, 0, 1, &lt;max_strain&gt;, 50000, &lt;max_strain&gt;</t>
  </si>
  <si>
    <t>**************************************************</t>
  </si>
  <si>
    <t>*Step, Nlgeom, Inc=999</t>
  </si>
  <si>
    <t>*Visco, Cetol=1.0e-3</t>
  </si>
  <si>
    <t>*Boundary, Amplitude=load_hold</t>
  </si>
  <si>
    <t>Cube.nTop, 1,1, 1</t>
  </si>
  <si>
    <t>*Output, Field, Time points=TimePts</t>
  </si>
  <si>
    <t>*Output, History, Time Points=TimePts</t>
  </si>
  <si>
    <t>*Element Output, Elset=Cube.all</t>
  </si>
  <si>
    <t>*End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</si>
</sst>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00"/>
    <numFmt numFmtId="165" formatCode="0.0000E+00"/>
    <numFmt numFmtId="166" formatCode="0.000E+00"/>
    <numFmt numFmtId="167" formatCode="0.0000000"/>
    <numFmt numFmtId="168" formatCode="0.0E+00"/>
    <numFmt numFmtId="169" formatCode="0.0000"/>
    <numFmt numFmtId="170" formatCode="0.0"/>
  </numFmts>
  <fonts count="2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63377788628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10" applyNumberFormat="0" applyAlignment="0" applyProtection="0"/>
    <xf numFmtId="0" fontId="11" fillId="6" borderId="11" applyNumberFormat="0" applyAlignment="0" applyProtection="0"/>
    <xf numFmtId="0" fontId="12" fillId="6" borderId="10" applyNumberFormat="0" applyAlignment="0" applyProtection="0"/>
    <xf numFmtId="0" fontId="13" fillId="0" borderId="12" applyNumberFormat="0" applyFill="0" applyAlignment="0" applyProtection="0"/>
    <xf numFmtId="0" fontId="14" fillId="7" borderId="13" applyNumberFormat="0" applyAlignment="0" applyProtection="0"/>
    <xf numFmtId="0" fontId="15" fillId="0" borderId="0" applyNumberFormat="0" applyFill="0" applyBorder="0" applyAlignment="0" applyProtection="0"/>
    <xf numFmtId="0" fontId="2" fillId="8" borderId="1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1" fillId="0" borderId="0"/>
    <xf numFmtId="0" fontId="24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2" fontId="0" fillId="33" borderId="0" xfId="0" applyNumberFormat="1" applyFill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1" fillId="0" borderId="0" xfId="42"/>
    <xf numFmtId="11" fontId="21" fillId="0" borderId="0" xfId="42" applyNumberFormat="1"/>
    <xf numFmtId="0" fontId="21" fillId="0" borderId="0" xfId="42" applyNumberFormat="1" applyAlignment="1">
      <alignment horizontal="left"/>
    </xf>
    <xf numFmtId="11" fontId="21" fillId="0" borderId="0" xfId="42" applyNumberFormat="1" applyAlignment="1">
      <alignment horizontal="left"/>
    </xf>
    <xf numFmtId="0" fontId="21" fillId="0" borderId="0" xfId="42" applyAlignment="1">
      <alignment horizontal="center"/>
    </xf>
    <xf numFmtId="0" fontId="21" fillId="0" borderId="0" xfId="42" applyAlignment="1">
      <alignment horizontal="left"/>
    </xf>
    <xf numFmtId="164" fontId="21" fillId="0" borderId="0" xfId="42" applyNumberFormat="1" applyAlignment="1">
      <alignment horizontal="center"/>
    </xf>
    <xf numFmtId="168" fontId="21" fillId="0" borderId="0" xfId="42" applyNumberFormat="1" applyAlignment="1">
      <alignment horizontal="center"/>
    </xf>
    <xf numFmtId="11" fontId="21" fillId="0" borderId="0" xfId="42" applyNumberFormat="1" applyAlignment="1">
      <alignment horizontal="center"/>
    </xf>
    <xf numFmtId="0" fontId="21" fillId="0" borderId="0" xfId="42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/>
    <xf numFmtId="0" fontId="0" fillId="0" borderId="21" xfId="0" applyBorder="1"/>
    <xf numFmtId="1" fontId="0" fillId="0" borderId="17" xfId="0" applyNumberFormat="1" applyBorder="1"/>
    <xf numFmtId="166" fontId="0" fillId="0" borderId="17" xfId="0" applyNumberFormat="1" applyBorder="1"/>
    <xf numFmtId="166" fontId="0" fillId="0" borderId="19" xfId="0" applyNumberFormat="1" applyBorder="1"/>
    <xf numFmtId="0" fontId="1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8" xfId="0" applyNumberFormat="1" applyBorder="1"/>
    <xf numFmtId="2" fontId="0" fillId="0" borderId="0" xfId="0" applyNumberFormat="1" applyBorder="1"/>
    <xf numFmtId="169" fontId="21" fillId="0" borderId="0" xfId="42" applyNumberFormat="1" applyAlignment="1">
      <alignment horizontal="center"/>
    </xf>
    <xf numFmtId="170" fontId="0" fillId="0" borderId="0" xfId="0" applyNumberFormat="1"/>
    <xf numFmtId="166" fontId="21" fillId="0" borderId="0" xfId="42" applyNumberFormat="1"/>
    <xf numFmtId="11" fontId="0" fillId="0" borderId="0" xfId="0" applyNumberFormat="1"/>
    <xf numFmtId="0" fontId="0" fillId="0" borderId="0" xfId="0" applyBorder="1" applyAlignment="1">
      <alignment horizontal="center" vertical="center" wrapText="1"/>
    </xf>
    <xf numFmtId="166" fontId="21" fillId="0" borderId="0" xfId="42" applyNumberFormat="1" applyAlignment="1">
      <alignment horizontal="left"/>
    </xf>
    <xf numFmtId="0" fontId="24" fillId="0" borderId="0" xfId="43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Raw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44163827171523"/>
          <c:y val="0.10101680946767351"/>
          <c:w val="0.83526180783317805"/>
          <c:h val="0.76508618916022975"/>
        </c:manualLayout>
      </c:layout>
      <c:scatterChart>
        <c:scatterStyle val="lineMarker"/>
        <c:varyColors val="0"/>
        <c:ser>
          <c:idx val="0"/>
          <c:order val="0"/>
          <c:tx>
            <c:v>27 C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'Original Test Data'!$A$7:$A$20</c:f>
              <c:numCache>
                <c:formatCode>General</c:formatCode>
                <c:ptCount val="14"/>
                <c:pt idx="0">
                  <c:v>9</c:v>
                </c:pt>
                <c:pt idx="1">
                  <c:v>17</c:v>
                </c:pt>
                <c:pt idx="2">
                  <c:v>29</c:v>
                </c:pt>
                <c:pt idx="3">
                  <c:v>52</c:v>
                </c:pt>
                <c:pt idx="4">
                  <c:v>93</c:v>
                </c:pt>
                <c:pt idx="5">
                  <c:v>166</c:v>
                </c:pt>
                <c:pt idx="6">
                  <c:v>295</c:v>
                </c:pt>
                <c:pt idx="7">
                  <c:v>525</c:v>
                </c:pt>
                <c:pt idx="8">
                  <c:v>933</c:v>
                </c:pt>
                <c:pt idx="9">
                  <c:v>1660</c:v>
                </c:pt>
                <c:pt idx="10">
                  <c:v>2952</c:v>
                </c:pt>
                <c:pt idx="11">
                  <c:v>5250</c:v>
                </c:pt>
                <c:pt idx="12">
                  <c:v>9337</c:v>
                </c:pt>
                <c:pt idx="13">
                  <c:v>16600</c:v>
                </c:pt>
              </c:numCache>
            </c:numRef>
          </c:xVal>
          <c:yVal>
            <c:numRef>
              <c:f>'Original Test Data'!$B$7:$B$20</c:f>
              <c:numCache>
                <c:formatCode>General</c:formatCode>
                <c:ptCount val="14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18.46</c:v>
                </c:pt>
                <c:pt idx="13">
                  <c:v>18.04</c:v>
                </c:pt>
              </c:numCache>
            </c:numRef>
          </c:yVal>
          <c:smooth val="0"/>
        </c:ser>
        <c:ser>
          <c:idx val="1"/>
          <c:order val="1"/>
          <c:tx>
            <c:v>35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'Original Test Data'!$C$7:$C$19</c:f>
              <c:numCache>
                <c:formatCode>General</c:formatCode>
                <c:ptCount val="13"/>
                <c:pt idx="0">
                  <c:v>13</c:v>
                </c:pt>
                <c:pt idx="1">
                  <c:v>23</c:v>
                </c:pt>
                <c:pt idx="2">
                  <c:v>41</c:v>
                </c:pt>
                <c:pt idx="3">
                  <c:v>73</c:v>
                </c:pt>
                <c:pt idx="4">
                  <c:v>131</c:v>
                </c:pt>
                <c:pt idx="5">
                  <c:v>233</c:v>
                </c:pt>
                <c:pt idx="6">
                  <c:v>415</c:v>
                </c:pt>
                <c:pt idx="7">
                  <c:v>738</c:v>
                </c:pt>
                <c:pt idx="8">
                  <c:v>1312</c:v>
                </c:pt>
                <c:pt idx="9">
                  <c:v>2334</c:v>
                </c:pt>
                <c:pt idx="10">
                  <c:v>4151</c:v>
                </c:pt>
                <c:pt idx="11">
                  <c:v>7381</c:v>
                </c:pt>
                <c:pt idx="12">
                  <c:v>13126</c:v>
                </c:pt>
              </c:numCache>
            </c:numRef>
          </c:xVal>
          <c:yVal>
            <c:numRef>
              <c:f>'Original Test Data'!$D$7:$D$19</c:f>
              <c:numCache>
                <c:formatCode>General</c:formatCode>
                <c:ptCount val="13"/>
                <c:pt idx="0">
                  <c:v>18.89</c:v>
                </c:pt>
                <c:pt idx="1">
                  <c:v>18.46</c:v>
                </c:pt>
                <c:pt idx="2">
                  <c:v>18.04</c:v>
                </c:pt>
                <c:pt idx="3">
                  <c:v>17.36</c:v>
                </c:pt>
                <c:pt idx="4">
                  <c:v>16.27</c:v>
                </c:pt>
                <c:pt idx="5">
                  <c:v>14.67</c:v>
                </c:pt>
                <c:pt idx="6">
                  <c:v>12.63</c:v>
                </c:pt>
                <c:pt idx="7">
                  <c:v>10.61</c:v>
                </c:pt>
                <c:pt idx="8">
                  <c:v>9.2899999999999991</c:v>
                </c:pt>
                <c:pt idx="9">
                  <c:v>8.81</c:v>
                </c:pt>
                <c:pt idx="10">
                  <c:v>8.61</c:v>
                </c:pt>
                <c:pt idx="11">
                  <c:v>8.34</c:v>
                </c:pt>
                <c:pt idx="12">
                  <c:v>7.91</c:v>
                </c:pt>
              </c:numCache>
            </c:numRef>
          </c:yVal>
          <c:smooth val="0"/>
        </c:ser>
        <c:ser>
          <c:idx val="4"/>
          <c:order val="2"/>
          <c:tx>
            <c:v>45 C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'Original Test Data'!$E$7:$E$19</c:f>
              <c:numCache>
                <c:formatCode>General</c:formatCode>
                <c:ptCount val="13"/>
                <c:pt idx="0">
                  <c:v>17</c:v>
                </c:pt>
                <c:pt idx="1">
                  <c:v>31</c:v>
                </c:pt>
                <c:pt idx="2">
                  <c:v>55</c:v>
                </c:pt>
                <c:pt idx="3">
                  <c:v>98</c:v>
                </c:pt>
                <c:pt idx="4">
                  <c:v>174</c:v>
                </c:pt>
                <c:pt idx="5">
                  <c:v>310</c:v>
                </c:pt>
                <c:pt idx="6">
                  <c:v>552</c:v>
                </c:pt>
                <c:pt idx="7">
                  <c:v>982</c:v>
                </c:pt>
                <c:pt idx="8">
                  <c:v>1746</c:v>
                </c:pt>
                <c:pt idx="9">
                  <c:v>3106</c:v>
                </c:pt>
                <c:pt idx="10">
                  <c:v>5523</c:v>
                </c:pt>
                <c:pt idx="11">
                  <c:v>9822</c:v>
                </c:pt>
                <c:pt idx="12">
                  <c:v>17467</c:v>
                </c:pt>
              </c:numCache>
            </c:numRef>
          </c:xVal>
          <c:yVal>
            <c:numRef>
              <c:f>'Original Test Data'!$F$7:$F$19</c:f>
              <c:numCache>
                <c:formatCode>General</c:formatCode>
                <c:ptCount val="13"/>
                <c:pt idx="0">
                  <c:v>8.81</c:v>
                </c:pt>
                <c:pt idx="1">
                  <c:v>8.61</c:v>
                </c:pt>
                <c:pt idx="2">
                  <c:v>8.34</c:v>
                </c:pt>
                <c:pt idx="3">
                  <c:v>7.91</c:v>
                </c:pt>
                <c:pt idx="4">
                  <c:v>7.27</c:v>
                </c:pt>
                <c:pt idx="5">
                  <c:v>6.46</c:v>
                </c:pt>
                <c:pt idx="6">
                  <c:v>5.67</c:v>
                </c:pt>
                <c:pt idx="7">
                  <c:v>5.16</c:v>
                </c:pt>
                <c:pt idx="8">
                  <c:v>5</c:v>
                </c:pt>
                <c:pt idx="9">
                  <c:v>4.97</c:v>
                </c:pt>
                <c:pt idx="10">
                  <c:v>4.95</c:v>
                </c:pt>
                <c:pt idx="11">
                  <c:v>4.92</c:v>
                </c:pt>
                <c:pt idx="12">
                  <c:v>4.8600000000000003</c:v>
                </c:pt>
              </c:numCache>
            </c:numRef>
          </c:yVal>
          <c:smooth val="0"/>
        </c:ser>
        <c:ser>
          <c:idx val="2"/>
          <c:order val="3"/>
          <c:tx>
            <c:v>55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'Original Test Data'!$G$7:$G$19</c:f>
              <c:numCache>
                <c:formatCode>General</c:formatCode>
                <c:ptCount val="13"/>
                <c:pt idx="0">
                  <c:v>15</c:v>
                </c:pt>
                <c:pt idx="1">
                  <c:v>27</c:v>
                </c:pt>
                <c:pt idx="2">
                  <c:v>48</c:v>
                </c:pt>
                <c:pt idx="3">
                  <c:v>85</c:v>
                </c:pt>
                <c:pt idx="4">
                  <c:v>152</c:v>
                </c:pt>
                <c:pt idx="5">
                  <c:v>271</c:v>
                </c:pt>
                <c:pt idx="6">
                  <c:v>482</c:v>
                </c:pt>
                <c:pt idx="7">
                  <c:v>857</c:v>
                </c:pt>
                <c:pt idx="8">
                  <c:v>1524</c:v>
                </c:pt>
                <c:pt idx="9">
                  <c:v>2711</c:v>
                </c:pt>
                <c:pt idx="10">
                  <c:v>4822</c:v>
                </c:pt>
                <c:pt idx="11">
                  <c:v>8574</c:v>
                </c:pt>
                <c:pt idx="12">
                  <c:v>15248</c:v>
                </c:pt>
              </c:numCache>
            </c:numRef>
          </c:xVal>
          <c:yVal>
            <c:numRef>
              <c:f>'Original Test Data'!$H$7:$H$19</c:f>
              <c:numCache>
                <c:formatCode>General</c:formatCode>
                <c:ptCount val="13"/>
                <c:pt idx="0">
                  <c:v>5.67</c:v>
                </c:pt>
                <c:pt idx="1">
                  <c:v>5.16</c:v>
                </c:pt>
                <c:pt idx="2">
                  <c:v>5</c:v>
                </c:pt>
                <c:pt idx="3">
                  <c:v>4.97</c:v>
                </c:pt>
                <c:pt idx="4">
                  <c:v>4.95</c:v>
                </c:pt>
                <c:pt idx="5">
                  <c:v>4.92</c:v>
                </c:pt>
                <c:pt idx="6">
                  <c:v>4.8600000000000003</c:v>
                </c:pt>
                <c:pt idx="7">
                  <c:v>4.76</c:v>
                </c:pt>
                <c:pt idx="8">
                  <c:v>4.59</c:v>
                </c:pt>
                <c:pt idx="9">
                  <c:v>4.32</c:v>
                </c:pt>
                <c:pt idx="10">
                  <c:v>3.92</c:v>
                </c:pt>
                <c:pt idx="11">
                  <c:v>3.41</c:v>
                </c:pt>
                <c:pt idx="12">
                  <c:v>2.92</c:v>
                </c:pt>
              </c:numCache>
            </c:numRef>
          </c:yVal>
          <c:smooth val="0"/>
        </c:ser>
        <c:ser>
          <c:idx val="3"/>
          <c:order val="4"/>
          <c:tx>
            <c:v>65 C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'Original Test Data'!$I$7:$I$19</c:f>
              <c:numCache>
                <c:formatCode>General</c:formatCode>
                <c:ptCount val="13"/>
                <c:pt idx="0">
                  <c:v>17</c:v>
                </c:pt>
                <c:pt idx="1">
                  <c:v>30</c:v>
                </c:pt>
                <c:pt idx="2">
                  <c:v>55</c:v>
                </c:pt>
                <c:pt idx="3">
                  <c:v>97</c:v>
                </c:pt>
                <c:pt idx="4">
                  <c:v>174</c:v>
                </c:pt>
                <c:pt idx="5">
                  <c:v>309</c:v>
                </c:pt>
                <c:pt idx="6">
                  <c:v>550</c:v>
                </c:pt>
                <c:pt idx="7">
                  <c:v>979</c:v>
                </c:pt>
                <c:pt idx="8">
                  <c:v>1742</c:v>
                </c:pt>
                <c:pt idx="9">
                  <c:v>3097</c:v>
                </c:pt>
                <c:pt idx="10">
                  <c:v>5508</c:v>
                </c:pt>
                <c:pt idx="11">
                  <c:v>8000</c:v>
                </c:pt>
                <c:pt idx="12">
                  <c:v>17500</c:v>
                </c:pt>
              </c:numCache>
            </c:numRef>
          </c:xVal>
          <c:yVal>
            <c:numRef>
              <c:f>'Original Test Data'!$J$7:$J$19</c:f>
              <c:numCache>
                <c:formatCode>General</c:formatCode>
                <c:ptCount val="13"/>
                <c:pt idx="0">
                  <c:v>4.92</c:v>
                </c:pt>
                <c:pt idx="1">
                  <c:v>4.8600000000000003</c:v>
                </c:pt>
                <c:pt idx="2">
                  <c:v>4.76</c:v>
                </c:pt>
                <c:pt idx="3">
                  <c:v>4.59</c:v>
                </c:pt>
                <c:pt idx="4">
                  <c:v>4.32</c:v>
                </c:pt>
                <c:pt idx="5">
                  <c:v>3.92</c:v>
                </c:pt>
                <c:pt idx="6">
                  <c:v>3.41</c:v>
                </c:pt>
                <c:pt idx="7">
                  <c:v>2.92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59360"/>
        <c:axId val="150161280"/>
      </c:scatterChart>
      <c:valAx>
        <c:axId val="150159360"/>
        <c:scaling>
          <c:logBase val="10"/>
          <c:orientation val="minMax"/>
          <c:max val="30000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50161280"/>
        <c:crosses val="autoZero"/>
        <c:crossBetween val="midCat"/>
      </c:valAx>
      <c:valAx>
        <c:axId val="15016128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Relaxation Shear Modulus (GPa)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501593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9102166524160165E-2"/>
          <c:y val="0.54090512215276976"/>
          <c:w val="0.10876674451349985"/>
          <c:h val="0.31063582161636444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Raw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423591058273347E-2"/>
          <c:y val="0.10101680946767351"/>
          <c:w val="0.85903267458294008"/>
          <c:h val="0.78300335293334267"/>
        </c:manualLayout>
      </c:layout>
      <c:scatterChart>
        <c:scatterStyle val="lineMarker"/>
        <c:varyColors val="0"/>
        <c:ser>
          <c:idx val="0"/>
          <c:order val="0"/>
          <c:tx>
            <c:v>27 C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Curve'!$A$7:$A$20</c:f>
              <c:numCache>
                <c:formatCode>General</c:formatCode>
                <c:ptCount val="14"/>
                <c:pt idx="0">
                  <c:v>9</c:v>
                </c:pt>
                <c:pt idx="1">
                  <c:v>17</c:v>
                </c:pt>
                <c:pt idx="2">
                  <c:v>29</c:v>
                </c:pt>
                <c:pt idx="3">
                  <c:v>52</c:v>
                </c:pt>
                <c:pt idx="4">
                  <c:v>93</c:v>
                </c:pt>
                <c:pt idx="5">
                  <c:v>166</c:v>
                </c:pt>
                <c:pt idx="6">
                  <c:v>295</c:v>
                </c:pt>
                <c:pt idx="7">
                  <c:v>525</c:v>
                </c:pt>
                <c:pt idx="8">
                  <c:v>933</c:v>
                </c:pt>
                <c:pt idx="9">
                  <c:v>1660</c:v>
                </c:pt>
                <c:pt idx="10">
                  <c:v>2952</c:v>
                </c:pt>
                <c:pt idx="11">
                  <c:v>5250</c:v>
                </c:pt>
                <c:pt idx="12">
                  <c:v>9337</c:v>
                </c:pt>
                <c:pt idx="13">
                  <c:v>16600</c:v>
                </c:pt>
              </c:numCache>
            </c:numRef>
          </c:xVal>
          <c:yVal>
            <c:numRef>
              <c:f>'Test Data Master Curve'!$D$7:$D$20</c:f>
              <c:numCache>
                <c:formatCode>General</c:formatCode>
                <c:ptCount val="14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18.46</c:v>
                </c:pt>
                <c:pt idx="13">
                  <c:v>18.04</c:v>
                </c:pt>
              </c:numCache>
            </c:numRef>
          </c:yVal>
          <c:smooth val="0"/>
        </c:ser>
        <c:ser>
          <c:idx val="1"/>
          <c:order val="1"/>
          <c:tx>
            <c:v>35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'Test Data Master Curve'!$E$7:$E$19</c:f>
              <c:numCache>
                <c:formatCode>General</c:formatCode>
                <c:ptCount val="13"/>
                <c:pt idx="0">
                  <c:v>13</c:v>
                </c:pt>
                <c:pt idx="1">
                  <c:v>23</c:v>
                </c:pt>
                <c:pt idx="2">
                  <c:v>41</c:v>
                </c:pt>
                <c:pt idx="3">
                  <c:v>73</c:v>
                </c:pt>
                <c:pt idx="4">
                  <c:v>131</c:v>
                </c:pt>
                <c:pt idx="5">
                  <c:v>233</c:v>
                </c:pt>
                <c:pt idx="6">
                  <c:v>415</c:v>
                </c:pt>
                <c:pt idx="7">
                  <c:v>738</c:v>
                </c:pt>
                <c:pt idx="8">
                  <c:v>1312</c:v>
                </c:pt>
                <c:pt idx="9">
                  <c:v>2334</c:v>
                </c:pt>
                <c:pt idx="10">
                  <c:v>4151</c:v>
                </c:pt>
                <c:pt idx="11">
                  <c:v>7381</c:v>
                </c:pt>
                <c:pt idx="12">
                  <c:v>13126</c:v>
                </c:pt>
              </c:numCache>
            </c:numRef>
          </c:xVal>
          <c:yVal>
            <c:numRef>
              <c:f>'Test Data Master Curve'!$H$7:$H$19</c:f>
              <c:numCache>
                <c:formatCode>General</c:formatCode>
                <c:ptCount val="13"/>
                <c:pt idx="0">
                  <c:v>18.89</c:v>
                </c:pt>
                <c:pt idx="1">
                  <c:v>18.46</c:v>
                </c:pt>
                <c:pt idx="2">
                  <c:v>18.04</c:v>
                </c:pt>
                <c:pt idx="3">
                  <c:v>17.36</c:v>
                </c:pt>
                <c:pt idx="4">
                  <c:v>16.27</c:v>
                </c:pt>
                <c:pt idx="5">
                  <c:v>14.67</c:v>
                </c:pt>
                <c:pt idx="6">
                  <c:v>12.63</c:v>
                </c:pt>
                <c:pt idx="7">
                  <c:v>10.61</c:v>
                </c:pt>
                <c:pt idx="8">
                  <c:v>9.2899999999999991</c:v>
                </c:pt>
                <c:pt idx="9">
                  <c:v>8.81</c:v>
                </c:pt>
                <c:pt idx="10">
                  <c:v>8.61</c:v>
                </c:pt>
                <c:pt idx="11">
                  <c:v>8.34</c:v>
                </c:pt>
                <c:pt idx="12">
                  <c:v>7.91</c:v>
                </c:pt>
              </c:numCache>
            </c:numRef>
          </c:yVal>
          <c:smooth val="0"/>
        </c:ser>
        <c:ser>
          <c:idx val="4"/>
          <c:order val="2"/>
          <c:tx>
            <c:v>45 C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'Test Data Master Curve'!$I$7:$I$19</c:f>
              <c:numCache>
                <c:formatCode>General</c:formatCode>
                <c:ptCount val="13"/>
                <c:pt idx="0">
                  <c:v>17</c:v>
                </c:pt>
                <c:pt idx="1">
                  <c:v>31</c:v>
                </c:pt>
                <c:pt idx="2">
                  <c:v>55</c:v>
                </c:pt>
                <c:pt idx="3">
                  <c:v>98</c:v>
                </c:pt>
                <c:pt idx="4">
                  <c:v>174</c:v>
                </c:pt>
                <c:pt idx="5">
                  <c:v>310</c:v>
                </c:pt>
                <c:pt idx="6">
                  <c:v>552</c:v>
                </c:pt>
                <c:pt idx="7">
                  <c:v>982</c:v>
                </c:pt>
                <c:pt idx="8">
                  <c:v>1746</c:v>
                </c:pt>
                <c:pt idx="9">
                  <c:v>3106</c:v>
                </c:pt>
                <c:pt idx="10">
                  <c:v>5523</c:v>
                </c:pt>
                <c:pt idx="11">
                  <c:v>9822</c:v>
                </c:pt>
                <c:pt idx="12">
                  <c:v>17467</c:v>
                </c:pt>
              </c:numCache>
            </c:numRef>
          </c:xVal>
          <c:yVal>
            <c:numRef>
              <c:f>'Test Data Master Curve'!$L$7:$L$19</c:f>
              <c:numCache>
                <c:formatCode>General</c:formatCode>
                <c:ptCount val="13"/>
                <c:pt idx="0">
                  <c:v>8.81</c:v>
                </c:pt>
                <c:pt idx="1">
                  <c:v>8.61</c:v>
                </c:pt>
                <c:pt idx="2">
                  <c:v>8.34</c:v>
                </c:pt>
                <c:pt idx="3">
                  <c:v>7.91</c:v>
                </c:pt>
                <c:pt idx="4">
                  <c:v>7.27</c:v>
                </c:pt>
                <c:pt idx="5">
                  <c:v>6.46</c:v>
                </c:pt>
                <c:pt idx="6">
                  <c:v>5.67</c:v>
                </c:pt>
                <c:pt idx="7">
                  <c:v>5.16</c:v>
                </c:pt>
                <c:pt idx="8">
                  <c:v>5</c:v>
                </c:pt>
                <c:pt idx="9">
                  <c:v>4.97</c:v>
                </c:pt>
                <c:pt idx="10">
                  <c:v>4.95</c:v>
                </c:pt>
                <c:pt idx="11">
                  <c:v>4.92</c:v>
                </c:pt>
                <c:pt idx="12">
                  <c:v>4.8600000000000003</c:v>
                </c:pt>
              </c:numCache>
            </c:numRef>
          </c:yVal>
          <c:smooth val="0"/>
        </c:ser>
        <c:ser>
          <c:idx val="2"/>
          <c:order val="3"/>
          <c:tx>
            <c:v>55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'Test Data Master Curve'!$M$7:$M$19</c:f>
              <c:numCache>
                <c:formatCode>General</c:formatCode>
                <c:ptCount val="13"/>
                <c:pt idx="0">
                  <c:v>15</c:v>
                </c:pt>
                <c:pt idx="1">
                  <c:v>27</c:v>
                </c:pt>
                <c:pt idx="2">
                  <c:v>48</c:v>
                </c:pt>
                <c:pt idx="3">
                  <c:v>85</c:v>
                </c:pt>
                <c:pt idx="4">
                  <c:v>152</c:v>
                </c:pt>
                <c:pt idx="5">
                  <c:v>271</c:v>
                </c:pt>
                <c:pt idx="6">
                  <c:v>482</c:v>
                </c:pt>
                <c:pt idx="7">
                  <c:v>857</c:v>
                </c:pt>
                <c:pt idx="8">
                  <c:v>1524</c:v>
                </c:pt>
                <c:pt idx="9">
                  <c:v>2711</c:v>
                </c:pt>
                <c:pt idx="10">
                  <c:v>4822</c:v>
                </c:pt>
                <c:pt idx="11">
                  <c:v>8574</c:v>
                </c:pt>
                <c:pt idx="12">
                  <c:v>15248</c:v>
                </c:pt>
              </c:numCache>
            </c:numRef>
          </c:xVal>
          <c:yVal>
            <c:numRef>
              <c:f>'Test Data Master Curve'!$P$7:$P$19</c:f>
              <c:numCache>
                <c:formatCode>General</c:formatCode>
                <c:ptCount val="13"/>
                <c:pt idx="0">
                  <c:v>5.67</c:v>
                </c:pt>
                <c:pt idx="1">
                  <c:v>5.16</c:v>
                </c:pt>
                <c:pt idx="2">
                  <c:v>5</c:v>
                </c:pt>
                <c:pt idx="3">
                  <c:v>4.97</c:v>
                </c:pt>
                <c:pt idx="4">
                  <c:v>4.95</c:v>
                </c:pt>
                <c:pt idx="5">
                  <c:v>4.92</c:v>
                </c:pt>
                <c:pt idx="6">
                  <c:v>4.8600000000000003</c:v>
                </c:pt>
                <c:pt idx="7">
                  <c:v>4.76</c:v>
                </c:pt>
                <c:pt idx="8">
                  <c:v>4.59</c:v>
                </c:pt>
                <c:pt idx="9">
                  <c:v>4.32</c:v>
                </c:pt>
                <c:pt idx="10">
                  <c:v>3.92</c:v>
                </c:pt>
                <c:pt idx="11">
                  <c:v>3.41</c:v>
                </c:pt>
                <c:pt idx="12">
                  <c:v>2.92</c:v>
                </c:pt>
              </c:numCache>
            </c:numRef>
          </c:yVal>
          <c:smooth val="0"/>
        </c:ser>
        <c:ser>
          <c:idx val="3"/>
          <c:order val="4"/>
          <c:tx>
            <c:v>65 C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Curve'!$Q$7:$Q$19</c:f>
              <c:numCache>
                <c:formatCode>General</c:formatCode>
                <c:ptCount val="13"/>
                <c:pt idx="0">
                  <c:v>17</c:v>
                </c:pt>
                <c:pt idx="1">
                  <c:v>30</c:v>
                </c:pt>
                <c:pt idx="2">
                  <c:v>55</c:v>
                </c:pt>
                <c:pt idx="3">
                  <c:v>97</c:v>
                </c:pt>
                <c:pt idx="4">
                  <c:v>174</c:v>
                </c:pt>
                <c:pt idx="5">
                  <c:v>309</c:v>
                </c:pt>
                <c:pt idx="6">
                  <c:v>550</c:v>
                </c:pt>
                <c:pt idx="7">
                  <c:v>979</c:v>
                </c:pt>
                <c:pt idx="8">
                  <c:v>1742</c:v>
                </c:pt>
                <c:pt idx="9">
                  <c:v>3097</c:v>
                </c:pt>
                <c:pt idx="10">
                  <c:v>5508</c:v>
                </c:pt>
                <c:pt idx="11">
                  <c:v>8000</c:v>
                </c:pt>
                <c:pt idx="12">
                  <c:v>17500</c:v>
                </c:pt>
              </c:numCache>
            </c:numRef>
          </c:xVal>
          <c:yVal>
            <c:numRef>
              <c:f>'Test Data Master Curve'!$T$7:$T$19</c:f>
              <c:numCache>
                <c:formatCode>General</c:formatCode>
                <c:ptCount val="13"/>
                <c:pt idx="0">
                  <c:v>4.92</c:v>
                </c:pt>
                <c:pt idx="1">
                  <c:v>4.8600000000000003</c:v>
                </c:pt>
                <c:pt idx="2">
                  <c:v>4.76</c:v>
                </c:pt>
                <c:pt idx="3">
                  <c:v>4.59</c:v>
                </c:pt>
                <c:pt idx="4">
                  <c:v>4.32</c:v>
                </c:pt>
                <c:pt idx="5">
                  <c:v>3.92</c:v>
                </c:pt>
                <c:pt idx="6">
                  <c:v>3.41</c:v>
                </c:pt>
                <c:pt idx="7">
                  <c:v>2.92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0368"/>
        <c:axId val="150904832"/>
      </c:scatterChart>
      <c:valAx>
        <c:axId val="150890368"/>
        <c:scaling>
          <c:logBase val="10"/>
          <c:orientation val="minMax"/>
          <c:max val="30000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0904832"/>
        <c:crosses val="autoZero"/>
        <c:crossBetween val="midCat"/>
      </c:valAx>
      <c:valAx>
        <c:axId val="15090483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Relaxation Shear Modulus (Gpa)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08903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9102166524160165E-2"/>
          <c:y val="0.54090512215276976"/>
          <c:w val="0.10876674451349985"/>
          <c:h val="0.310635821616364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Master Curve at Ref Temp=27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1988407699037624E-2"/>
          <c:y val="0.12602657583067012"/>
          <c:w val="0.889462055233875"/>
          <c:h val="0.73298382020734965"/>
        </c:manualLayout>
      </c:layout>
      <c:scatterChart>
        <c:scatterStyle val="lineMarker"/>
        <c:varyColors val="0"/>
        <c:ser>
          <c:idx val="0"/>
          <c:order val="0"/>
          <c:tx>
            <c:v>27 C</c:v>
          </c:tx>
          <c:spPr>
            <a:ln w="28575">
              <a:solidFill>
                <a:schemeClr val="accent1"/>
              </a:solidFill>
            </a:ln>
          </c:spPr>
          <c:marker>
            <c:symbol val="diamond"/>
            <c:size val="5"/>
          </c:marker>
          <c:xVal>
            <c:numRef>
              <c:f>'Test Data Master Curve'!$C$7:$C$20</c:f>
              <c:numCache>
                <c:formatCode>0.000</c:formatCode>
                <c:ptCount val="14"/>
                <c:pt idx="0">
                  <c:v>0.95424250943932487</c:v>
                </c:pt>
                <c:pt idx="1">
                  <c:v>1.2304489213782739</c:v>
                </c:pt>
                <c:pt idx="2">
                  <c:v>1.4623979978989561</c:v>
                </c:pt>
                <c:pt idx="3">
                  <c:v>1.7160033436347992</c:v>
                </c:pt>
                <c:pt idx="4">
                  <c:v>1.968482948553935</c:v>
                </c:pt>
                <c:pt idx="5">
                  <c:v>2.220108088040055</c:v>
                </c:pt>
                <c:pt idx="6">
                  <c:v>2.469822015978163</c:v>
                </c:pt>
                <c:pt idx="7">
                  <c:v>2.720159303405957</c:v>
                </c:pt>
                <c:pt idx="8">
                  <c:v>2.9698816437465001</c:v>
                </c:pt>
                <c:pt idx="9">
                  <c:v>3.220108088040055</c:v>
                </c:pt>
                <c:pt idx="10">
                  <c:v>3.470116353151004</c:v>
                </c:pt>
                <c:pt idx="11">
                  <c:v>3.720159303405957</c:v>
                </c:pt>
                <c:pt idx="12">
                  <c:v>3.9702073588068547</c:v>
                </c:pt>
                <c:pt idx="13">
                  <c:v>4.220108088040055</c:v>
                </c:pt>
              </c:numCache>
            </c:numRef>
          </c:xVal>
          <c:yVal>
            <c:numRef>
              <c:f>'Test Data Master Curve'!$D$7:$D$20</c:f>
              <c:numCache>
                <c:formatCode>General</c:formatCode>
                <c:ptCount val="14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18.46</c:v>
                </c:pt>
                <c:pt idx="13">
                  <c:v>18.04</c:v>
                </c:pt>
              </c:numCache>
            </c:numRef>
          </c:yVal>
          <c:smooth val="0"/>
        </c:ser>
        <c:ser>
          <c:idx val="1"/>
          <c:order val="1"/>
          <c:tx>
            <c:v>35 C</c:v>
          </c:tx>
          <c:spPr>
            <a:ln w="28575">
              <a:solidFill>
                <a:srgbClr val="FF0000"/>
              </a:solidFill>
              <a:prstDash val="dash"/>
            </a:ln>
          </c:spPr>
          <c:marker>
            <c:symbol val="square"/>
            <c:size val="4"/>
          </c:marker>
          <c:xVal>
            <c:numRef>
              <c:f>'Test Data Master Curve'!$G$7:$G$19</c:f>
              <c:numCache>
                <c:formatCode>0.000</c:formatCode>
                <c:ptCount val="13"/>
                <c:pt idx="0">
                  <c:v>3.7199433523068368</c:v>
                </c:pt>
                <c:pt idx="1">
                  <c:v>3.9677278360175929</c:v>
                </c:pt>
                <c:pt idx="2">
                  <c:v>4.2187838567197353</c:v>
                </c:pt>
                <c:pt idx="3">
                  <c:v>4.4693228601204558</c:v>
                </c:pt>
                <c:pt idx="4">
                  <c:v>4.7232712956557643</c:v>
                </c:pt>
                <c:pt idx="5">
                  <c:v>4.9733559210260188</c:v>
                </c:pt>
                <c:pt idx="6">
                  <c:v>5.2240480967120924</c:v>
                </c:pt>
                <c:pt idx="7">
                  <c:v>5.4740563618230418</c:v>
                </c:pt>
                <c:pt idx="8">
                  <c:v>5.7239338350396416</c:v>
                </c:pt>
                <c:pt idx="9">
                  <c:v>5.9741008517093519</c:v>
                </c:pt>
                <c:pt idx="10">
                  <c:v>6.2241527333785189</c:v>
                </c:pt>
                <c:pt idx="11">
                  <c:v>6.4741152053272168</c:v>
                </c:pt>
                <c:pt idx="12">
                  <c:v>6.7241323999209044</c:v>
                </c:pt>
              </c:numCache>
            </c:numRef>
          </c:xVal>
          <c:yVal>
            <c:numRef>
              <c:f>'Test Data Master Curve'!$H$7:$H$19</c:f>
              <c:numCache>
                <c:formatCode>General</c:formatCode>
                <c:ptCount val="13"/>
                <c:pt idx="0">
                  <c:v>18.89</c:v>
                </c:pt>
                <c:pt idx="1">
                  <c:v>18.46</c:v>
                </c:pt>
                <c:pt idx="2">
                  <c:v>18.04</c:v>
                </c:pt>
                <c:pt idx="3">
                  <c:v>17.36</c:v>
                </c:pt>
                <c:pt idx="4">
                  <c:v>16.27</c:v>
                </c:pt>
                <c:pt idx="5">
                  <c:v>14.67</c:v>
                </c:pt>
                <c:pt idx="6">
                  <c:v>12.63</c:v>
                </c:pt>
                <c:pt idx="7">
                  <c:v>10.61</c:v>
                </c:pt>
                <c:pt idx="8">
                  <c:v>9.2899999999999991</c:v>
                </c:pt>
                <c:pt idx="9">
                  <c:v>8.81</c:v>
                </c:pt>
                <c:pt idx="10">
                  <c:v>8.61</c:v>
                </c:pt>
                <c:pt idx="11">
                  <c:v>8.34</c:v>
                </c:pt>
                <c:pt idx="12">
                  <c:v>7.91</c:v>
                </c:pt>
              </c:numCache>
            </c:numRef>
          </c:yVal>
          <c:smooth val="0"/>
        </c:ser>
        <c:ser>
          <c:idx val="4"/>
          <c:order val="2"/>
          <c:tx>
            <c:v>45 C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'Test Data Master Curve'!$K$7:$K$19</c:f>
              <c:numCache>
                <c:formatCode>0.000</c:formatCode>
                <c:ptCount val="13"/>
                <c:pt idx="0">
                  <c:v>5.9744489213782739</c:v>
                </c:pt>
                <c:pt idx="1">
                  <c:v>6.2353616938342729</c:v>
                </c:pt>
                <c:pt idx="2">
                  <c:v>6.4843626894942439</c:v>
                </c:pt>
                <c:pt idx="3">
                  <c:v>6.7352260756924949</c:v>
                </c:pt>
                <c:pt idx="4">
                  <c:v>6.9845492482825993</c:v>
                </c:pt>
                <c:pt idx="5">
                  <c:v>7.2353616938342729</c:v>
                </c:pt>
                <c:pt idx="6">
                  <c:v>7.4859390777291992</c:v>
                </c:pt>
                <c:pt idx="7">
                  <c:v>7.7361114877869497</c:v>
                </c:pt>
                <c:pt idx="8">
                  <c:v>7.9860442393695505</c:v>
                </c:pt>
                <c:pt idx="9">
                  <c:v>8.2362014513925388</c:v>
                </c:pt>
                <c:pt idx="10">
                  <c:v>8.4861750432236764</c:v>
                </c:pt>
                <c:pt idx="11">
                  <c:v>8.7361999297955855</c:v>
                </c:pt>
                <c:pt idx="12">
                  <c:v>8.9862183202476125</c:v>
                </c:pt>
              </c:numCache>
            </c:numRef>
          </c:xVal>
          <c:yVal>
            <c:numRef>
              <c:f>'Test Data Master Curve'!$L$7:$L$19</c:f>
              <c:numCache>
                <c:formatCode>General</c:formatCode>
                <c:ptCount val="13"/>
                <c:pt idx="0">
                  <c:v>8.81</c:v>
                </c:pt>
                <c:pt idx="1">
                  <c:v>8.61</c:v>
                </c:pt>
                <c:pt idx="2">
                  <c:v>8.34</c:v>
                </c:pt>
                <c:pt idx="3">
                  <c:v>7.91</c:v>
                </c:pt>
                <c:pt idx="4">
                  <c:v>7.27</c:v>
                </c:pt>
                <c:pt idx="5">
                  <c:v>6.46</c:v>
                </c:pt>
                <c:pt idx="6">
                  <c:v>5.67</c:v>
                </c:pt>
                <c:pt idx="7">
                  <c:v>5.16</c:v>
                </c:pt>
                <c:pt idx="8">
                  <c:v>5</c:v>
                </c:pt>
                <c:pt idx="9">
                  <c:v>4.97</c:v>
                </c:pt>
                <c:pt idx="10">
                  <c:v>4.95</c:v>
                </c:pt>
                <c:pt idx="11">
                  <c:v>4.92</c:v>
                </c:pt>
                <c:pt idx="12">
                  <c:v>4.8600000000000003</c:v>
                </c:pt>
              </c:numCache>
            </c:numRef>
          </c:yVal>
          <c:smooth val="0"/>
        </c:ser>
        <c:ser>
          <c:idx val="2"/>
          <c:order val="3"/>
          <c:tx>
            <c:v>55 C</c:v>
          </c:tx>
          <c:spPr>
            <a:ln w="28575">
              <a:solidFill>
                <a:srgbClr val="00B050"/>
              </a:solidFill>
              <a:prstDash val="dash"/>
            </a:ln>
          </c:spPr>
          <c:marker>
            <c:symbol val="diamond"/>
            <c:size val="4"/>
          </c:marker>
          <c:xVal>
            <c:numRef>
              <c:f>'Test Data Master Curve'!$O$7:$O$19</c:f>
              <c:numCache>
                <c:formatCode>0.000</c:formatCode>
                <c:ptCount val="13"/>
                <c:pt idx="0">
                  <c:v>7.486091259055681</c:v>
                </c:pt>
                <c:pt idx="1">
                  <c:v>7.7413637641589865</c:v>
                </c:pt>
                <c:pt idx="2">
                  <c:v>7.9912412373755863</c:v>
                </c:pt>
                <c:pt idx="3">
                  <c:v>8.2394189257142916</c:v>
                </c:pt>
                <c:pt idx="4">
                  <c:v>8.4918435879447713</c:v>
                </c:pt>
                <c:pt idx="5">
                  <c:v>8.7429692908744059</c:v>
                </c:pt>
                <c:pt idx="6">
                  <c:v>8.9930470382388492</c:v>
                </c:pt>
                <c:pt idx="7">
                  <c:v>9.2429808219231973</c:v>
                </c:pt>
                <c:pt idx="8">
                  <c:v>9.4929849670035811</c:v>
                </c:pt>
                <c:pt idx="9">
                  <c:v>9.7431295175804848</c:v>
                </c:pt>
                <c:pt idx="10">
                  <c:v>9.9932272060414356</c:v>
                </c:pt>
                <c:pt idx="11">
                  <c:v>10.243183479174613</c:v>
                </c:pt>
                <c:pt idx="12">
                  <c:v>10.493212883294252</c:v>
                </c:pt>
              </c:numCache>
            </c:numRef>
          </c:xVal>
          <c:yVal>
            <c:numRef>
              <c:f>'Test Data Master Curve'!$P$7:$P$19</c:f>
              <c:numCache>
                <c:formatCode>General</c:formatCode>
                <c:ptCount val="13"/>
                <c:pt idx="0">
                  <c:v>5.67</c:v>
                </c:pt>
                <c:pt idx="1">
                  <c:v>5.16</c:v>
                </c:pt>
                <c:pt idx="2">
                  <c:v>5</c:v>
                </c:pt>
                <c:pt idx="3">
                  <c:v>4.97</c:v>
                </c:pt>
                <c:pt idx="4">
                  <c:v>4.95</c:v>
                </c:pt>
                <c:pt idx="5">
                  <c:v>4.92</c:v>
                </c:pt>
                <c:pt idx="6">
                  <c:v>4.8600000000000003</c:v>
                </c:pt>
                <c:pt idx="7">
                  <c:v>4.76</c:v>
                </c:pt>
                <c:pt idx="8">
                  <c:v>4.59</c:v>
                </c:pt>
                <c:pt idx="9">
                  <c:v>4.32</c:v>
                </c:pt>
                <c:pt idx="10">
                  <c:v>3.92</c:v>
                </c:pt>
                <c:pt idx="11">
                  <c:v>3.41</c:v>
                </c:pt>
                <c:pt idx="12">
                  <c:v>2.92</c:v>
                </c:pt>
              </c:numCache>
            </c:numRef>
          </c:yVal>
          <c:smooth val="0"/>
        </c:ser>
        <c:ser>
          <c:idx val="3"/>
          <c:order val="4"/>
          <c:tx>
            <c:v>65 C</c:v>
          </c:tx>
          <c:spPr>
            <a:ln w="28575">
              <a:solidFill>
                <a:srgbClr val="7030A0"/>
              </a:solidFill>
            </a:ln>
          </c:spPr>
          <c:marker>
            <c:symbol val="diamond"/>
            <c:size val="5"/>
          </c:marker>
          <c:xVal>
            <c:numRef>
              <c:f>'Test Data Master Curve'!$S$7:$S$19</c:f>
              <c:numCache>
                <c:formatCode>0.000</c:formatCode>
                <c:ptCount val="13"/>
                <c:pt idx="0">
                  <c:v>8.7334489213782742</c:v>
                </c:pt>
                <c:pt idx="1">
                  <c:v>8.9801212547196627</c:v>
                </c:pt>
                <c:pt idx="2">
                  <c:v>9.2433626894942442</c:v>
                </c:pt>
                <c:pt idx="3">
                  <c:v>9.4897717342662453</c:v>
                </c:pt>
                <c:pt idx="4">
                  <c:v>9.7435492482825996</c:v>
                </c:pt>
                <c:pt idx="5">
                  <c:v>9.9929584794248356</c:v>
                </c:pt>
                <c:pt idx="6">
                  <c:v>10.243362689494244</c:v>
                </c:pt>
                <c:pt idx="7">
                  <c:v>10.493782691803137</c:v>
                </c:pt>
                <c:pt idx="8">
                  <c:v>10.744048150671645</c:v>
                </c:pt>
                <c:pt idx="9">
                  <c:v>10.993941205356787</c:v>
                </c:pt>
                <c:pt idx="10">
                  <c:v>11.243993931584885</c:v>
                </c:pt>
                <c:pt idx="11">
                  <c:v>11.406089986991944</c:v>
                </c:pt>
                <c:pt idx="12">
                  <c:v>11.746038048686295</c:v>
                </c:pt>
              </c:numCache>
            </c:numRef>
          </c:xVal>
          <c:yVal>
            <c:numRef>
              <c:f>'Test Data Master Curve'!$T$7:$T$19</c:f>
              <c:numCache>
                <c:formatCode>General</c:formatCode>
                <c:ptCount val="13"/>
                <c:pt idx="0">
                  <c:v>4.92</c:v>
                </c:pt>
                <c:pt idx="1">
                  <c:v>4.8600000000000003</c:v>
                </c:pt>
                <c:pt idx="2">
                  <c:v>4.76</c:v>
                </c:pt>
                <c:pt idx="3">
                  <c:v>4.59</c:v>
                </c:pt>
                <c:pt idx="4">
                  <c:v>4.32</c:v>
                </c:pt>
                <c:pt idx="5">
                  <c:v>3.92</c:v>
                </c:pt>
                <c:pt idx="6">
                  <c:v>3.41</c:v>
                </c:pt>
                <c:pt idx="7">
                  <c:v>2.92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36960"/>
        <c:axId val="150951424"/>
      </c:scatterChart>
      <c:valAx>
        <c:axId val="150936960"/>
        <c:scaling>
          <c:orientation val="minMax"/>
          <c:max val="12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Log(Time)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50951424"/>
        <c:crosses val="autoZero"/>
        <c:crossBetween val="midCat"/>
      </c:valAx>
      <c:valAx>
        <c:axId val="150951424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Relaxation Shear Modulus (Gpa)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509369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9914474237772962E-2"/>
          <c:y val="0.49713803101752579"/>
          <c:w val="9.644906269059958E-2"/>
          <c:h val="0.35752913354698301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Time-Temperature Shift Factors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288644185131507"/>
          <c:y val="0.10810727288121243"/>
          <c:w val="0.82273095369720151"/>
          <c:h val="0.78685399204131745"/>
        </c:manualLayout>
      </c:layout>
      <c:scatterChart>
        <c:scatterStyle val="smoothMarker"/>
        <c:varyColors val="0"/>
        <c:ser>
          <c:idx val="0"/>
          <c:order val="0"/>
          <c:tx>
            <c:v>Shift Factors from Test</c:v>
          </c:tx>
          <c:spPr>
            <a:ln>
              <a:noFill/>
            </a:ln>
          </c:spPr>
          <c:xVal>
            <c:numRef>
              <c:f>('WLF Calculations'!$A$4,'WLF Calculations'!$A$5,'WLF Calculations'!$A$6,'WLF Calculations'!$A$7,'WLF Calculations'!$A$8)</c:f>
              <c:numCache>
                <c:formatCode>General</c:formatCode>
                <c:ptCount val="5"/>
                <c:pt idx="0">
                  <c:v>27</c:v>
                </c:pt>
                <c:pt idx="1">
                  <c:v>35</c:v>
                </c:pt>
                <c:pt idx="2">
                  <c:v>45</c:v>
                </c:pt>
                <c:pt idx="3">
                  <c:v>55</c:v>
                </c:pt>
                <c:pt idx="4">
                  <c:v>65</c:v>
                </c:pt>
              </c:numCache>
            </c:numRef>
          </c:xVal>
          <c:yVal>
            <c:numRef>
              <c:f>('WLF Calculations'!$B$4,'WLF Calculations'!$B$5,'WLF Calculations'!$B$6,'WLF Calculations'!$B$7,'WLF Calculations'!$B$8)</c:f>
              <c:numCache>
                <c:formatCode>0.00</c:formatCode>
                <c:ptCount val="5"/>
                <c:pt idx="0">
                  <c:v>0</c:v>
                </c:pt>
                <c:pt idx="1">
                  <c:v>-2.6059999999999999</c:v>
                </c:pt>
                <c:pt idx="2">
                  <c:v>-4.7439999999999998</c:v>
                </c:pt>
                <c:pt idx="3">
                  <c:v>-6.31</c:v>
                </c:pt>
                <c:pt idx="4">
                  <c:v>-7.5030000000000001</c:v>
                </c:pt>
              </c:numCache>
            </c:numRef>
          </c:yVal>
          <c:smooth val="1"/>
        </c:ser>
        <c:ser>
          <c:idx val="1"/>
          <c:order val="1"/>
          <c:tx>
            <c:v>WLF Shift Factors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'WLF Calculations'!$N$13:$N$24</c:f>
              <c:numCache>
                <c:formatCode>General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80</c:v>
                </c:pt>
                <c:pt idx="10">
                  <c:v>100</c:v>
                </c:pt>
                <c:pt idx="11">
                  <c:v>110</c:v>
                </c:pt>
              </c:numCache>
            </c:numRef>
          </c:xVal>
          <c:yVal>
            <c:numRef>
              <c:f>'WLF Calculations'!$O$13:$O$24</c:f>
              <c:numCache>
                <c:formatCode>0.00</c:formatCode>
                <c:ptCount val="12"/>
                <c:pt idx="0">
                  <c:v>12.017536172809754</c:v>
                </c:pt>
                <c:pt idx="1">
                  <c:v>6.8597828534733063</c:v>
                </c:pt>
                <c:pt idx="2">
                  <c:v>3.3588387949030327</c:v>
                </c:pt>
                <c:pt idx="3">
                  <c:v>-1.0895193768527316</c:v>
                </c:pt>
                <c:pt idx="4">
                  <c:v>-3.7978804967463535</c:v>
                </c:pt>
                <c:pt idx="5">
                  <c:v>-5.6201520532899609</c:v>
                </c:pt>
                <c:pt idx="6">
                  <c:v>-6.9300504474176599</c:v>
                </c:pt>
                <c:pt idx="7">
                  <c:v>-7.9170379440621046</c:v>
                </c:pt>
                <c:pt idx="8">
                  <c:v>-8.6874160779140599</c:v>
                </c:pt>
                <c:pt idx="9">
                  <c:v>-8.6874160779140599</c:v>
                </c:pt>
                <c:pt idx="10">
                  <c:v>-9.8122412586234269</c:v>
                </c:pt>
                <c:pt idx="11">
                  <c:v>-10.235363099217462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99808"/>
        <c:axId val="151001728"/>
      </c:scatterChart>
      <c:valAx>
        <c:axId val="15099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Temperature </a:t>
                </a:r>
                <a:r>
                  <a:rPr lang="en-US" sz="1400" baseline="30000"/>
                  <a:t>O</a:t>
                </a:r>
                <a:r>
                  <a:rPr lang="en-US" sz="1400"/>
                  <a:t>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001728"/>
        <c:crossesAt val="-15"/>
        <c:crossBetween val="midCat"/>
      </c:valAx>
      <c:valAx>
        <c:axId val="151001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Shift Factor</a:t>
                </a:r>
              </a:p>
            </c:rich>
          </c:tx>
          <c:layout>
            <c:manualLayout>
              <c:xMode val="edge"/>
              <c:yMode val="edge"/>
              <c:x val="2.4781684073172067E-2"/>
              <c:y val="0.4287279611319310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50999808"/>
        <c:crossesAt val="-8"/>
        <c:crossBetween val="midCat"/>
      </c:valAx>
    </c:plotArea>
    <c:legend>
      <c:legendPos val="r"/>
      <c:layout>
        <c:manualLayout>
          <c:xMode val="edge"/>
          <c:yMode val="edge"/>
          <c:x val="0.52262301025321478"/>
          <c:y val="0.30017314367962067"/>
          <c:w val="0.26909450707150817"/>
          <c:h val="0.14518034036068073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464637107527332E-2"/>
          <c:y val="3.3453915986308293E-2"/>
          <c:w val="0.92510045335242186"/>
          <c:h val="0.89106088455169896"/>
        </c:manualLayout>
      </c:layout>
      <c:scatterChart>
        <c:scatterStyle val="lineMarker"/>
        <c:varyColors val="0"/>
        <c:ser>
          <c:idx val="0"/>
          <c:order val="0"/>
          <c:tx>
            <c:v>Relaxation Master Curve</c:v>
          </c:tx>
          <c:spPr>
            <a:ln w="28575">
              <a:noFill/>
            </a:ln>
          </c:spPr>
          <c:xVal>
            <c:numRef>
              <c:f>'Prony Setup'!$M$7:$M$72</c:f>
              <c:numCache>
                <c:formatCode>General</c:formatCode>
                <c:ptCount val="66"/>
                <c:pt idx="0">
                  <c:v>9.0000000000000018</c:v>
                </c:pt>
                <c:pt idx="1">
                  <c:v>17</c:v>
                </c:pt>
                <c:pt idx="2">
                  <c:v>29.000000000000004</c:v>
                </c:pt>
                <c:pt idx="3">
                  <c:v>52.000000000000036</c:v>
                </c:pt>
                <c:pt idx="4">
                  <c:v>93.000000000000028</c:v>
                </c:pt>
                <c:pt idx="5">
                  <c:v>166.00000000000006</c:v>
                </c:pt>
                <c:pt idx="6">
                  <c:v>295.00000000000011</c:v>
                </c:pt>
                <c:pt idx="7">
                  <c:v>525.00000000000034</c:v>
                </c:pt>
                <c:pt idx="8">
                  <c:v>933.00000000000091</c:v>
                </c:pt>
                <c:pt idx="9">
                  <c:v>1660.0000000000011</c:v>
                </c:pt>
                <c:pt idx="10">
                  <c:v>2952.0000000000032</c:v>
                </c:pt>
                <c:pt idx="11" formatCode="0">
                  <c:v>5247.3901085788657</c:v>
                </c:pt>
                <c:pt idx="12" formatCode="0">
                  <c:v>5250.0000000000045</c:v>
                </c:pt>
                <c:pt idx="13" formatCode="0">
                  <c:v>9283.8440382549197</c:v>
                </c:pt>
                <c:pt idx="14" formatCode="0">
                  <c:v>9337.0000000000036</c:v>
                </c:pt>
                <c:pt idx="15" formatCode="0">
                  <c:v>16549.461111671804</c:v>
                </c:pt>
                <c:pt idx="16" formatCode="0">
                  <c:v>16600.000000000015</c:v>
                </c:pt>
                <c:pt idx="17" formatCode="0">
                  <c:v>29466.113686635177</c:v>
                </c:pt>
                <c:pt idx="18" formatCode="0">
                  <c:v>52877.546478756267</c:v>
                </c:pt>
                <c:pt idx="19" formatCode="0">
                  <c:v>94049.376561452067</c:v>
                </c:pt>
                <c:pt idx="20" formatCode="0">
                  <c:v>167512.83808155611</c:v>
                </c:pt>
                <c:pt idx="21" formatCode="0">
                  <c:v>297890.3000100932</c:v>
                </c:pt>
                <c:pt idx="22" formatCode="0">
                  <c:v>529582.7555734989</c:v>
                </c:pt>
                <c:pt idx="23" formatCode="0">
                  <c:v>942108.34718639229</c:v>
                </c:pt>
                <c:pt idx="24" formatCode="0.000E+00">
                  <c:v>942863.71202844928</c:v>
                </c:pt>
                <c:pt idx="25" formatCode="0.000E+00">
                  <c:v>1675532.0262085272</c:v>
                </c:pt>
                <c:pt idx="26" formatCode="0.000E+00">
                  <c:v>1719339.7101695251</c:v>
                </c:pt>
                <c:pt idx="27" formatCode="0.000E+00">
                  <c:v>2979306.645493893</c:v>
                </c:pt>
                <c:pt idx="28" formatCode="0.000E+00">
                  <c:v>3050441.421268513</c:v>
                </c:pt>
                <c:pt idx="29" formatCode="0.000E+00">
                  <c:v>5298249.4280927917</c:v>
                </c:pt>
                <c:pt idx="30" formatCode="0.000E+00">
                  <c:v>5435331.9869875377</c:v>
                </c:pt>
                <c:pt idx="31" formatCode="0.000E+00">
                  <c:v>9650487.4054676499</c:v>
                </c:pt>
                <c:pt idx="32" formatCode="0.000E+00">
                  <c:v>17193397.10169524</c:v>
                </c:pt>
                <c:pt idx="33" formatCode="0.000E+00">
                  <c:v>30615339.355276778</c:v>
                </c:pt>
                <c:pt idx="34" formatCode="0.000E+00">
                  <c:v>30626069.170042958</c:v>
                </c:pt>
                <c:pt idx="35" formatCode="0.000E+00">
                  <c:v>54464245.012466982</c:v>
                </c:pt>
                <c:pt idx="36" formatCode="0.000E+00">
                  <c:v>55126924.506077304</c:v>
                </c:pt>
                <c:pt idx="37" formatCode="0.000E+00">
                  <c:v>96837649.482451305</c:v>
                </c:pt>
                <c:pt idx="38" formatCode="0.000E+00">
                  <c:v>98003421.344137222</c:v>
                </c:pt>
                <c:pt idx="39" formatCode="0.000E+00">
                  <c:v>172266746.44472724</c:v>
                </c:pt>
                <c:pt idx="40" formatCode="0.000E+00">
                  <c:v>173547725.29690975</c:v>
                </c:pt>
                <c:pt idx="41" formatCode="0.000E+00">
                  <c:v>306319781.26665384</c:v>
                </c:pt>
                <c:pt idx="42" formatCode="0.000E+00">
                  <c:v>310344167.58976853</c:v>
                </c:pt>
                <c:pt idx="43" formatCode="0.000E+00">
                  <c:v>544753375.26726222</c:v>
                </c:pt>
                <c:pt idx="44" formatCode="0.000E+00">
                  <c:v>553310983.00544357</c:v>
                </c:pt>
                <c:pt idx="45" formatCode="0.000E+00">
                  <c:v>541313578.69344354</c:v>
                </c:pt>
                <c:pt idx="46" formatCode="0.000E+00">
                  <c:v>968764732.82358456</c:v>
                </c:pt>
                <c:pt idx="47" formatCode="0.000E+00">
                  <c:v>984117689.33071315</c:v>
                </c:pt>
                <c:pt idx="48" formatCode="0.000E+00">
                  <c:v>955259256.5178411</c:v>
                </c:pt>
                <c:pt idx="49" formatCode="0.000E+00">
                  <c:v>1749769418.5817857</c:v>
                </c:pt>
                <c:pt idx="50" formatCode="0.000E+00">
                  <c:v>1751308636.9493732</c:v>
                </c:pt>
                <c:pt idx="51" formatCode="0.000E+00">
                  <c:v>3111608627.6763616</c:v>
                </c:pt>
                <c:pt idx="52" formatCode="0.000E+00">
                  <c:v>3088671596.0743456</c:v>
                </c:pt>
                <c:pt idx="53" formatCode="0.000E+00">
                  <c:v>5535151567.9990959</c:v>
                </c:pt>
                <c:pt idx="54" formatCode="0.000E+00">
                  <c:v>5540503687.8034658</c:v>
                </c:pt>
                <c:pt idx="55" formatCode="0.000E+00">
                  <c:v>9845260369.1965027</c:v>
                </c:pt>
                <c:pt idx="56" formatCode="0.000E+00">
                  <c:v>9839170342.1337528</c:v>
                </c:pt>
                <c:pt idx="57" formatCode="0.000E+00">
                  <c:v>17505861137.596523</c:v>
                </c:pt>
                <c:pt idx="58" formatCode="0.000E+00">
                  <c:v>17513086369.493752</c:v>
                </c:pt>
                <c:pt idx="59" formatCode="0.000E+00">
                  <c:v>31132420180.321072</c:v>
                </c:pt>
                <c:pt idx="60" formatCode="0.000E+00">
                  <c:v>31173293737.698807</c:v>
                </c:pt>
                <c:pt idx="61" formatCode="0.000E+00">
                  <c:v>55468720828.469383</c:v>
                </c:pt>
                <c:pt idx="62" formatCode="0.000E+00">
                  <c:v>98614597247.858475</c:v>
                </c:pt>
                <c:pt idx="63" formatCode="0.000E+00">
                  <c:v>175385599496.67532</c:v>
                </c:pt>
                <c:pt idx="64" formatCode="0.000E+00">
                  <c:v>254735801738.09082</c:v>
                </c:pt>
                <c:pt idx="65" formatCode="0.000E+00">
                  <c:v>557234566302.0741</c:v>
                </c:pt>
              </c:numCache>
            </c:numRef>
          </c:xVal>
          <c:yVal>
            <c:numRef>
              <c:f>'Prony Setup'!$N$7:$N$72</c:f>
              <c:numCache>
                <c:formatCode>General</c:formatCode>
                <c:ptCount val="66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18.89</c:v>
                </c:pt>
                <c:pt idx="13">
                  <c:v>18.46</c:v>
                </c:pt>
                <c:pt idx="14">
                  <c:v>18.46</c:v>
                </c:pt>
                <c:pt idx="15">
                  <c:v>18.04</c:v>
                </c:pt>
                <c:pt idx="16">
                  <c:v>18.04</c:v>
                </c:pt>
                <c:pt idx="17">
                  <c:v>17.36</c:v>
                </c:pt>
                <c:pt idx="18">
                  <c:v>16.27</c:v>
                </c:pt>
                <c:pt idx="19">
                  <c:v>14.67</c:v>
                </c:pt>
                <c:pt idx="20">
                  <c:v>12.63</c:v>
                </c:pt>
                <c:pt idx="21">
                  <c:v>10.61</c:v>
                </c:pt>
                <c:pt idx="22">
                  <c:v>9.2899999999999991</c:v>
                </c:pt>
                <c:pt idx="23">
                  <c:v>8.81</c:v>
                </c:pt>
                <c:pt idx="24">
                  <c:v>8.81</c:v>
                </c:pt>
                <c:pt idx="25">
                  <c:v>8.61</c:v>
                </c:pt>
                <c:pt idx="26">
                  <c:v>8.61</c:v>
                </c:pt>
                <c:pt idx="27">
                  <c:v>8.34</c:v>
                </c:pt>
                <c:pt idx="28">
                  <c:v>8.34</c:v>
                </c:pt>
                <c:pt idx="29">
                  <c:v>7.91</c:v>
                </c:pt>
                <c:pt idx="30">
                  <c:v>7.91</c:v>
                </c:pt>
                <c:pt idx="31">
                  <c:v>7.27</c:v>
                </c:pt>
                <c:pt idx="32">
                  <c:v>6.46</c:v>
                </c:pt>
                <c:pt idx="33">
                  <c:v>5.67</c:v>
                </c:pt>
                <c:pt idx="34">
                  <c:v>5.67</c:v>
                </c:pt>
                <c:pt idx="35">
                  <c:v>5.16</c:v>
                </c:pt>
                <c:pt idx="36">
                  <c:v>5.16</c:v>
                </c:pt>
                <c:pt idx="37" formatCode="0.00">
                  <c:v>5</c:v>
                </c:pt>
                <c:pt idx="38" formatCode="0.00">
                  <c:v>5</c:v>
                </c:pt>
                <c:pt idx="39">
                  <c:v>4.97</c:v>
                </c:pt>
                <c:pt idx="40">
                  <c:v>4.97</c:v>
                </c:pt>
                <c:pt idx="41">
                  <c:v>4.95</c:v>
                </c:pt>
                <c:pt idx="42">
                  <c:v>4.95</c:v>
                </c:pt>
                <c:pt idx="43">
                  <c:v>4.92</c:v>
                </c:pt>
                <c:pt idx="44">
                  <c:v>4.92</c:v>
                </c:pt>
                <c:pt idx="45">
                  <c:v>4.92</c:v>
                </c:pt>
                <c:pt idx="46">
                  <c:v>4.8600000000000003</c:v>
                </c:pt>
                <c:pt idx="47">
                  <c:v>4.8600000000000003</c:v>
                </c:pt>
                <c:pt idx="48">
                  <c:v>4.8600000000000003</c:v>
                </c:pt>
                <c:pt idx="49">
                  <c:v>4.76</c:v>
                </c:pt>
                <c:pt idx="50">
                  <c:v>4.76</c:v>
                </c:pt>
                <c:pt idx="51">
                  <c:v>4.59</c:v>
                </c:pt>
                <c:pt idx="52">
                  <c:v>4.59</c:v>
                </c:pt>
                <c:pt idx="53">
                  <c:v>4.32</c:v>
                </c:pt>
                <c:pt idx="54">
                  <c:v>4.32</c:v>
                </c:pt>
                <c:pt idx="55">
                  <c:v>3.92</c:v>
                </c:pt>
                <c:pt idx="56">
                  <c:v>3.92</c:v>
                </c:pt>
                <c:pt idx="57">
                  <c:v>3.41</c:v>
                </c:pt>
                <c:pt idx="58">
                  <c:v>3.41</c:v>
                </c:pt>
                <c:pt idx="59">
                  <c:v>2.92</c:v>
                </c:pt>
                <c:pt idx="60">
                  <c:v>2.92</c:v>
                </c:pt>
                <c:pt idx="61">
                  <c:v>2.6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83328"/>
        <c:axId val="163284864"/>
      </c:scatterChart>
      <c:valAx>
        <c:axId val="163283328"/>
        <c:scaling>
          <c:logBase val="10"/>
          <c:orientation val="minMax"/>
        </c:scaling>
        <c:delete val="0"/>
        <c:axPos val="b"/>
        <c:numFmt formatCode="0.E+00" sourceLinked="0"/>
        <c:majorTickMark val="out"/>
        <c:minorTickMark val="none"/>
        <c:tickLblPos val="nextTo"/>
        <c:crossAx val="163284864"/>
        <c:crosses val="autoZero"/>
        <c:crossBetween val="midCat"/>
      </c:valAx>
      <c:valAx>
        <c:axId val="16328486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2833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024643844653105"/>
          <c:y val="0.22567549260192565"/>
          <c:w val="0.15163415460381288"/>
          <c:h val="5.328297985435479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63455149501661"/>
          <c:y val="6.5163066756409468E-2"/>
          <c:w val="0.81561461794019929"/>
          <c:h val="0.76190662669032616"/>
        </c:manualLayout>
      </c:layout>
      <c:scatterChart>
        <c:scatterStyle val="lineMarker"/>
        <c:varyColors val="0"/>
        <c:ser>
          <c:idx val="0"/>
          <c:order val="0"/>
          <c:tx>
            <c:v>Prony Series Relaxation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'Prony Representation w 4 terms'!$B$10:$B$49</c:f>
              <c:numCache>
                <c:formatCode>0.0E+00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100000</c:v>
                </c:pt>
                <c:pt idx="16">
                  <c:v>200000</c:v>
                </c:pt>
                <c:pt idx="17">
                  <c:v>300000</c:v>
                </c:pt>
                <c:pt idx="18">
                  <c:v>1000000</c:v>
                </c:pt>
                <c:pt idx="19">
                  <c:v>2000000</c:v>
                </c:pt>
                <c:pt idx="20">
                  <c:v>3000000</c:v>
                </c:pt>
                <c:pt idx="21">
                  <c:v>10000000</c:v>
                </c:pt>
                <c:pt idx="22">
                  <c:v>20000000</c:v>
                </c:pt>
                <c:pt idx="23">
                  <c:v>30000000</c:v>
                </c:pt>
                <c:pt idx="24">
                  <c:v>100000000</c:v>
                </c:pt>
                <c:pt idx="25">
                  <c:v>200000000</c:v>
                </c:pt>
                <c:pt idx="26">
                  <c:v>300000000</c:v>
                </c:pt>
                <c:pt idx="27">
                  <c:v>1000000000</c:v>
                </c:pt>
                <c:pt idx="28">
                  <c:v>2000000000</c:v>
                </c:pt>
                <c:pt idx="29">
                  <c:v>3000000000</c:v>
                </c:pt>
                <c:pt idx="30">
                  <c:v>10000000000</c:v>
                </c:pt>
                <c:pt idx="31">
                  <c:v>20000000000</c:v>
                </c:pt>
                <c:pt idx="32">
                  <c:v>30000000000</c:v>
                </c:pt>
                <c:pt idx="33">
                  <c:v>100000000000</c:v>
                </c:pt>
                <c:pt idx="34">
                  <c:v>200000000000</c:v>
                </c:pt>
                <c:pt idx="35">
                  <c:v>300000000000</c:v>
                </c:pt>
                <c:pt idx="36">
                  <c:v>1000000000000</c:v>
                </c:pt>
                <c:pt idx="37">
                  <c:v>2000000000000</c:v>
                </c:pt>
                <c:pt idx="38">
                  <c:v>3000000000000</c:v>
                </c:pt>
                <c:pt idx="39">
                  <c:v>10000000000000</c:v>
                </c:pt>
              </c:numCache>
            </c:numRef>
          </c:xVal>
          <c:yVal>
            <c:numRef>
              <c:f>'Prony Representation w 4 terms'!$I$10:$I$49</c:f>
              <c:numCache>
                <c:formatCode>0.00E+00</c:formatCode>
                <c:ptCount val="40"/>
                <c:pt idx="0">
                  <c:v>0.99987497502121381</c:v>
                </c:pt>
                <c:pt idx="1">
                  <c:v>0.99975002236863519</c:v>
                </c:pt>
                <c:pt idx="2">
                  <c:v>0.99962514199958996</c:v>
                </c:pt>
                <c:pt idx="3">
                  <c:v>0.9987529997758493</c:v>
                </c:pt>
                <c:pt idx="4">
                  <c:v>0.99751319387681481</c:v>
                </c:pt>
                <c:pt idx="5">
                  <c:v>0.99628053996716237</c:v>
                </c:pt>
                <c:pt idx="6">
                  <c:v>0.98784871406043251</c:v>
                </c:pt>
                <c:pt idx="7">
                  <c:v>0.97637983941680928</c:v>
                </c:pt>
                <c:pt idx="8">
                  <c:v>0.96555426639429465</c:v>
                </c:pt>
                <c:pt idx="9">
                  <c:v>0.90494239709591906</c:v>
                </c:pt>
                <c:pt idx="10">
                  <c:v>0.85117252726188508</c:v>
                </c:pt>
                <c:pt idx="11">
                  <c:v>0.82028874350262782</c:v>
                </c:pt>
                <c:pt idx="12">
                  <c:v>0.76872887117068522</c:v>
                </c:pt>
                <c:pt idx="13">
                  <c:v>0.74534840789023682</c:v>
                </c:pt>
                <c:pt idx="14">
                  <c:v>0.7238444307608296</c:v>
                </c:pt>
                <c:pt idx="15">
                  <c:v>0.60423164243502869</c:v>
                </c:pt>
                <c:pt idx="16">
                  <c:v>0.50004568510912506</c:v>
                </c:pt>
                <c:pt idx="17">
                  <c:v>0.44216240529316619</c:v>
                </c:pt>
                <c:pt idx="18">
                  <c:v>0.36672684935725675</c:v>
                </c:pt>
                <c:pt idx="19">
                  <c:v>0.3567829835728229</c:v>
                </c:pt>
                <c:pt idx="20">
                  <c:v>0.34841926505516663</c:v>
                </c:pt>
                <c:pt idx="21">
                  <c:v>0.30169942501931124</c:v>
                </c:pt>
                <c:pt idx="22">
                  <c:v>0.26063794486014447</c:v>
                </c:pt>
                <c:pt idx="23">
                  <c:v>0.23763399226025839</c:v>
                </c:pt>
                <c:pt idx="24">
                  <c:v>0.20856428592022747</c:v>
                </c:pt>
                <c:pt idx="25">
                  <c:v>0.20747160977947032</c:v>
                </c:pt>
                <c:pt idx="26">
                  <c:v>0.20688025406609722</c:v>
                </c:pt>
                <c:pt idx="27">
                  <c:v>0.2028446397410415</c:v>
                </c:pt>
                <c:pt idx="28">
                  <c:v>0.19735333481881623</c:v>
                </c:pt>
                <c:pt idx="29">
                  <c:v>0.19216802756250251</c:v>
                </c:pt>
                <c:pt idx="30">
                  <c:v>0.16311978430881668</c:v>
                </c:pt>
                <c:pt idx="31">
                  <c:v>0.13745223290662822</c:v>
                </c:pt>
                <c:pt idx="32">
                  <c:v>0.12298538893180844</c:v>
                </c:pt>
                <c:pt idx="33">
                  <c:v>0.10463761959329709</c:v>
                </c:pt>
                <c:pt idx="34">
                  <c:v>0.10430109224788975</c:v>
                </c:pt>
                <c:pt idx="35">
                  <c:v>0.10430000353357882</c:v>
                </c:pt>
                <c:pt idx="36">
                  <c:v>0.10429999999999995</c:v>
                </c:pt>
                <c:pt idx="37">
                  <c:v>0.10429999999999995</c:v>
                </c:pt>
                <c:pt idx="38">
                  <c:v>0.10429999999999995</c:v>
                </c:pt>
                <c:pt idx="39">
                  <c:v>0.10429999999999995</c:v>
                </c:pt>
              </c:numCache>
            </c:numRef>
          </c:yVal>
          <c:smooth val="0"/>
        </c:ser>
        <c:ser>
          <c:idx val="2"/>
          <c:order val="1"/>
          <c:tx>
            <c:v>Relaxation Master Curve Data</c:v>
          </c:tx>
          <c:spPr>
            <a:ln w="28575">
              <a:noFill/>
            </a:ln>
          </c:spPr>
          <c:marker>
            <c:symbol val="triang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'Prony Setup'!$M$7:$M$72</c:f>
              <c:numCache>
                <c:formatCode>General</c:formatCode>
                <c:ptCount val="66"/>
                <c:pt idx="0">
                  <c:v>9.0000000000000018</c:v>
                </c:pt>
                <c:pt idx="1">
                  <c:v>17</c:v>
                </c:pt>
                <c:pt idx="2">
                  <c:v>29.000000000000004</c:v>
                </c:pt>
                <c:pt idx="3">
                  <c:v>52.000000000000036</c:v>
                </c:pt>
                <c:pt idx="4">
                  <c:v>93.000000000000028</c:v>
                </c:pt>
                <c:pt idx="5">
                  <c:v>166.00000000000006</c:v>
                </c:pt>
                <c:pt idx="6">
                  <c:v>295.00000000000011</c:v>
                </c:pt>
                <c:pt idx="7">
                  <c:v>525.00000000000034</c:v>
                </c:pt>
                <c:pt idx="8">
                  <c:v>933.00000000000091</c:v>
                </c:pt>
                <c:pt idx="9">
                  <c:v>1660.0000000000011</c:v>
                </c:pt>
                <c:pt idx="10">
                  <c:v>2952.0000000000032</c:v>
                </c:pt>
                <c:pt idx="11" formatCode="0">
                  <c:v>5247.3901085788657</c:v>
                </c:pt>
                <c:pt idx="12" formatCode="0">
                  <c:v>5250.0000000000045</c:v>
                </c:pt>
                <c:pt idx="13" formatCode="0">
                  <c:v>9283.8440382549197</c:v>
                </c:pt>
                <c:pt idx="14" formatCode="0">
                  <c:v>9337.0000000000036</c:v>
                </c:pt>
                <c:pt idx="15" formatCode="0">
                  <c:v>16549.461111671804</c:v>
                </c:pt>
                <c:pt idx="16" formatCode="0">
                  <c:v>16600.000000000015</c:v>
                </c:pt>
                <c:pt idx="17" formatCode="0">
                  <c:v>29466.113686635177</c:v>
                </c:pt>
                <c:pt idx="18" formatCode="0">
                  <c:v>52877.546478756267</c:v>
                </c:pt>
                <c:pt idx="19" formatCode="0">
                  <c:v>94049.376561452067</c:v>
                </c:pt>
                <c:pt idx="20" formatCode="0">
                  <c:v>167512.83808155611</c:v>
                </c:pt>
                <c:pt idx="21" formatCode="0">
                  <c:v>297890.3000100932</c:v>
                </c:pt>
                <c:pt idx="22" formatCode="0">
                  <c:v>529582.7555734989</c:v>
                </c:pt>
                <c:pt idx="23" formatCode="0">
                  <c:v>942108.34718639229</c:v>
                </c:pt>
                <c:pt idx="24" formatCode="0.000E+00">
                  <c:v>942863.71202844928</c:v>
                </c:pt>
                <c:pt idx="25" formatCode="0.000E+00">
                  <c:v>1675532.0262085272</c:v>
                </c:pt>
                <c:pt idx="26" formatCode="0.000E+00">
                  <c:v>1719339.7101695251</c:v>
                </c:pt>
                <c:pt idx="27" formatCode="0.000E+00">
                  <c:v>2979306.645493893</c:v>
                </c:pt>
                <c:pt idx="28" formatCode="0.000E+00">
                  <c:v>3050441.421268513</c:v>
                </c:pt>
                <c:pt idx="29" formatCode="0.000E+00">
                  <c:v>5298249.4280927917</c:v>
                </c:pt>
                <c:pt idx="30" formatCode="0.000E+00">
                  <c:v>5435331.9869875377</c:v>
                </c:pt>
                <c:pt idx="31" formatCode="0.000E+00">
                  <c:v>9650487.4054676499</c:v>
                </c:pt>
                <c:pt idx="32" formatCode="0.000E+00">
                  <c:v>17193397.10169524</c:v>
                </c:pt>
                <c:pt idx="33" formatCode="0.000E+00">
                  <c:v>30615339.355276778</c:v>
                </c:pt>
                <c:pt idx="34" formatCode="0.000E+00">
                  <c:v>30626069.170042958</c:v>
                </c:pt>
                <c:pt idx="35" formatCode="0.000E+00">
                  <c:v>54464245.012466982</c:v>
                </c:pt>
                <c:pt idx="36" formatCode="0.000E+00">
                  <c:v>55126924.506077304</c:v>
                </c:pt>
                <c:pt idx="37" formatCode="0.000E+00">
                  <c:v>96837649.482451305</c:v>
                </c:pt>
                <c:pt idx="38" formatCode="0.000E+00">
                  <c:v>98003421.344137222</c:v>
                </c:pt>
                <c:pt idx="39" formatCode="0.000E+00">
                  <c:v>172266746.44472724</c:v>
                </c:pt>
                <c:pt idx="40" formatCode="0.000E+00">
                  <c:v>173547725.29690975</c:v>
                </c:pt>
                <c:pt idx="41" formatCode="0.000E+00">
                  <c:v>306319781.26665384</c:v>
                </c:pt>
                <c:pt idx="42" formatCode="0.000E+00">
                  <c:v>310344167.58976853</c:v>
                </c:pt>
                <c:pt idx="43" formatCode="0.000E+00">
                  <c:v>544753375.26726222</c:v>
                </c:pt>
                <c:pt idx="44" formatCode="0.000E+00">
                  <c:v>553310983.00544357</c:v>
                </c:pt>
                <c:pt idx="45" formatCode="0.000E+00">
                  <c:v>541313578.69344354</c:v>
                </c:pt>
                <c:pt idx="46" formatCode="0.000E+00">
                  <c:v>968764732.82358456</c:v>
                </c:pt>
                <c:pt idx="47" formatCode="0.000E+00">
                  <c:v>984117689.33071315</c:v>
                </c:pt>
                <c:pt idx="48" formatCode="0.000E+00">
                  <c:v>955259256.5178411</c:v>
                </c:pt>
                <c:pt idx="49" formatCode="0.000E+00">
                  <c:v>1749769418.5817857</c:v>
                </c:pt>
                <c:pt idx="50" formatCode="0.000E+00">
                  <c:v>1751308636.9493732</c:v>
                </c:pt>
                <c:pt idx="51" formatCode="0.000E+00">
                  <c:v>3111608627.6763616</c:v>
                </c:pt>
                <c:pt idx="52" formatCode="0.000E+00">
                  <c:v>3088671596.0743456</c:v>
                </c:pt>
                <c:pt idx="53" formatCode="0.000E+00">
                  <c:v>5535151567.9990959</c:v>
                </c:pt>
                <c:pt idx="54" formatCode="0.000E+00">
                  <c:v>5540503687.8034658</c:v>
                </c:pt>
                <c:pt idx="55" formatCode="0.000E+00">
                  <c:v>9845260369.1965027</c:v>
                </c:pt>
                <c:pt idx="56" formatCode="0.000E+00">
                  <c:v>9839170342.1337528</c:v>
                </c:pt>
                <c:pt idx="57" formatCode="0.000E+00">
                  <c:v>17505861137.596523</c:v>
                </c:pt>
                <c:pt idx="58" formatCode="0.000E+00">
                  <c:v>17513086369.493752</c:v>
                </c:pt>
                <c:pt idx="59" formatCode="0.000E+00">
                  <c:v>31132420180.321072</c:v>
                </c:pt>
                <c:pt idx="60" formatCode="0.000E+00">
                  <c:v>31173293737.698807</c:v>
                </c:pt>
                <c:pt idx="61" formatCode="0.000E+00">
                  <c:v>55468720828.469383</c:v>
                </c:pt>
                <c:pt idx="62" formatCode="0.000E+00">
                  <c:v>98614597247.858475</c:v>
                </c:pt>
                <c:pt idx="63" formatCode="0.000E+00">
                  <c:v>175385599496.67532</c:v>
                </c:pt>
                <c:pt idx="64" formatCode="0.000E+00">
                  <c:v>254735801738.09082</c:v>
                </c:pt>
                <c:pt idx="65" formatCode="0.000E+00">
                  <c:v>557234566302.0741</c:v>
                </c:pt>
              </c:numCache>
            </c:numRef>
          </c:xVal>
          <c:yVal>
            <c:numRef>
              <c:f>'Prony Setup'!$L$7:$L$72</c:f>
              <c:numCache>
                <c:formatCode>0.0000000</c:formatCode>
                <c:ptCount val="66"/>
                <c:pt idx="0">
                  <c:v>1</c:v>
                </c:pt>
                <c:pt idx="1">
                  <c:v>0.99832985386221296</c:v>
                </c:pt>
                <c:pt idx="2">
                  <c:v>0.99540709812108563</c:v>
                </c:pt>
                <c:pt idx="3">
                  <c:v>0.99039665970772439</c:v>
                </c:pt>
                <c:pt idx="4">
                  <c:v>0.99039665970772439</c:v>
                </c:pt>
                <c:pt idx="5">
                  <c:v>0.98162839248434253</c:v>
                </c:pt>
                <c:pt idx="6">
                  <c:v>0.96701461377870568</c:v>
                </c:pt>
                <c:pt idx="7">
                  <c:v>0.94405010438413361</c:v>
                </c:pt>
                <c:pt idx="8">
                  <c:v>0.9098121085594989</c:v>
                </c:pt>
                <c:pt idx="9">
                  <c:v>0.86555323590814204</c:v>
                </c:pt>
                <c:pt idx="10">
                  <c:v>0.82087682672233819</c:v>
                </c:pt>
                <c:pt idx="11">
                  <c:v>0.78872651356993739</c:v>
                </c:pt>
                <c:pt idx="12">
                  <c:v>0.78872651356993739</c:v>
                </c:pt>
                <c:pt idx="13">
                  <c:v>0.77077244258872657</c:v>
                </c:pt>
                <c:pt idx="14">
                  <c:v>0.77077244258872657</c:v>
                </c:pt>
                <c:pt idx="15">
                  <c:v>0.7532359081419624</c:v>
                </c:pt>
                <c:pt idx="16">
                  <c:v>0.7532359081419624</c:v>
                </c:pt>
                <c:pt idx="17">
                  <c:v>0.72484342379958244</c:v>
                </c:pt>
                <c:pt idx="18">
                  <c:v>0.67933194154488519</c:v>
                </c:pt>
                <c:pt idx="19">
                  <c:v>0.61252609603340291</c:v>
                </c:pt>
                <c:pt idx="20">
                  <c:v>0.52734864300626305</c:v>
                </c:pt>
                <c:pt idx="21">
                  <c:v>0.44300626304801671</c:v>
                </c:pt>
                <c:pt idx="22">
                  <c:v>0.38789144050104379</c:v>
                </c:pt>
                <c:pt idx="23">
                  <c:v>0.36784968684759922</c:v>
                </c:pt>
                <c:pt idx="24">
                  <c:v>0.36784968684759922</c:v>
                </c:pt>
                <c:pt idx="25">
                  <c:v>0.3594989561586639</c:v>
                </c:pt>
                <c:pt idx="26">
                  <c:v>0.3594989561586639</c:v>
                </c:pt>
                <c:pt idx="27">
                  <c:v>0.34822546972860124</c:v>
                </c:pt>
                <c:pt idx="28">
                  <c:v>0.34822546972860124</c:v>
                </c:pt>
                <c:pt idx="29">
                  <c:v>0.33027139874739042</c:v>
                </c:pt>
                <c:pt idx="30">
                  <c:v>0.33027139874739042</c:v>
                </c:pt>
                <c:pt idx="31">
                  <c:v>0.30354906054279751</c:v>
                </c:pt>
                <c:pt idx="32">
                  <c:v>0.26972860125260961</c:v>
                </c:pt>
                <c:pt idx="33">
                  <c:v>0.23674321503131524</c:v>
                </c:pt>
                <c:pt idx="34">
                  <c:v>0.23674321503131524</c:v>
                </c:pt>
                <c:pt idx="35">
                  <c:v>0.21544885177453027</c:v>
                </c:pt>
                <c:pt idx="36">
                  <c:v>0.21544885177453027</c:v>
                </c:pt>
                <c:pt idx="37">
                  <c:v>0.20876826722338204</c:v>
                </c:pt>
                <c:pt idx="38">
                  <c:v>0.20876826722338204</c:v>
                </c:pt>
                <c:pt idx="39">
                  <c:v>0.20751565762004176</c:v>
                </c:pt>
                <c:pt idx="40">
                  <c:v>0.20751565762004176</c:v>
                </c:pt>
                <c:pt idx="41">
                  <c:v>0.20668058455114824</c:v>
                </c:pt>
                <c:pt idx="42">
                  <c:v>0.20668058455114824</c:v>
                </c:pt>
                <c:pt idx="43">
                  <c:v>0.20542797494780793</c:v>
                </c:pt>
                <c:pt idx="44">
                  <c:v>0.20542797494780793</c:v>
                </c:pt>
                <c:pt idx="45">
                  <c:v>0.20542797494780793</c:v>
                </c:pt>
                <c:pt idx="46">
                  <c:v>0.20292275574112736</c:v>
                </c:pt>
                <c:pt idx="47">
                  <c:v>0.20292275574112736</c:v>
                </c:pt>
                <c:pt idx="48">
                  <c:v>0.20292275574112736</c:v>
                </c:pt>
                <c:pt idx="49">
                  <c:v>0.1987473903966597</c:v>
                </c:pt>
                <c:pt idx="50">
                  <c:v>0.1987473903966597</c:v>
                </c:pt>
                <c:pt idx="51">
                  <c:v>0.19164926931106471</c:v>
                </c:pt>
                <c:pt idx="52">
                  <c:v>0.19164926931106471</c:v>
                </c:pt>
                <c:pt idx="53">
                  <c:v>0.18037578288100212</c:v>
                </c:pt>
                <c:pt idx="54">
                  <c:v>0.18037578288100212</c:v>
                </c:pt>
                <c:pt idx="55">
                  <c:v>0.16367432150313152</c:v>
                </c:pt>
                <c:pt idx="56">
                  <c:v>0.16367432150313152</c:v>
                </c:pt>
                <c:pt idx="57">
                  <c:v>0.14237995824634656</c:v>
                </c:pt>
                <c:pt idx="58">
                  <c:v>0.14237995824634656</c:v>
                </c:pt>
                <c:pt idx="59">
                  <c:v>0.12192066805845511</c:v>
                </c:pt>
                <c:pt idx="60">
                  <c:v>0.12192066805845511</c:v>
                </c:pt>
                <c:pt idx="61">
                  <c:v>0.10855949895615867</c:v>
                </c:pt>
                <c:pt idx="62">
                  <c:v>0.10438413361169102</c:v>
                </c:pt>
                <c:pt idx="63">
                  <c:v>0.10438413361169102</c:v>
                </c:pt>
                <c:pt idx="64">
                  <c:v>0.10438413361169102</c:v>
                </c:pt>
                <c:pt idx="65">
                  <c:v>0.10438413361169102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15616"/>
        <c:axId val="162927360"/>
      </c:scatterChart>
      <c:valAx>
        <c:axId val="163215616"/>
        <c:scaling>
          <c:logBase val="10"/>
          <c:orientation val="minMax"/>
          <c:max val="1000000000000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Time (secs)</a:t>
                </a:r>
              </a:p>
            </c:rich>
          </c:tx>
          <c:layout>
            <c:manualLayout>
              <c:xMode val="edge"/>
              <c:yMode val="edge"/>
              <c:x val="0.45514950166112955"/>
              <c:y val="0.9047640097619376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927360"/>
        <c:crosses val="autoZero"/>
        <c:crossBetween val="midCat"/>
      </c:valAx>
      <c:valAx>
        <c:axId val="162927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Normalized Shear Modulus</a:t>
                </a:r>
              </a:p>
            </c:rich>
          </c:tx>
          <c:layout>
            <c:manualLayout>
              <c:xMode val="edge"/>
              <c:yMode val="edge"/>
              <c:x val="1.4950191744763893E-2"/>
              <c:y val="0.1521277100636393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1561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7840531561461797"/>
          <c:y val="0.30020867939452772"/>
          <c:w val="0.4158361018826135"/>
          <c:h val="0.14452824975825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Simulation</a:t>
            </a:r>
            <a:r>
              <a:rPr lang="en-US" baseline="0"/>
              <a:t> to </a:t>
            </a:r>
            <a:r>
              <a:rPr lang="en-US"/>
              <a:t>Test Comparison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423591058273347E-2"/>
          <c:y val="0.10101680946767351"/>
          <c:w val="0.69404467607016751"/>
          <c:h val="0.78300335293334267"/>
        </c:manualLayout>
      </c:layout>
      <c:scatterChart>
        <c:scatterStyle val="lineMarker"/>
        <c:varyColors val="0"/>
        <c:ser>
          <c:idx val="0"/>
          <c:order val="0"/>
          <c:tx>
            <c:v>27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Curve'!$A$7:$A$20</c:f>
              <c:numCache>
                <c:formatCode>General</c:formatCode>
                <c:ptCount val="14"/>
                <c:pt idx="0">
                  <c:v>9</c:v>
                </c:pt>
                <c:pt idx="1">
                  <c:v>17</c:v>
                </c:pt>
                <c:pt idx="2">
                  <c:v>29</c:v>
                </c:pt>
                <c:pt idx="3">
                  <c:v>52</c:v>
                </c:pt>
                <c:pt idx="4">
                  <c:v>93</c:v>
                </c:pt>
                <c:pt idx="5">
                  <c:v>166</c:v>
                </c:pt>
                <c:pt idx="6">
                  <c:v>295</c:v>
                </c:pt>
                <c:pt idx="7">
                  <c:v>525</c:v>
                </c:pt>
                <c:pt idx="8">
                  <c:v>933</c:v>
                </c:pt>
                <c:pt idx="9">
                  <c:v>1660</c:v>
                </c:pt>
                <c:pt idx="10">
                  <c:v>2952</c:v>
                </c:pt>
                <c:pt idx="11">
                  <c:v>5250</c:v>
                </c:pt>
                <c:pt idx="12">
                  <c:v>9337</c:v>
                </c:pt>
                <c:pt idx="13">
                  <c:v>16600</c:v>
                </c:pt>
              </c:numCache>
            </c:numRef>
          </c:xVal>
          <c:yVal>
            <c:numRef>
              <c:f>'Test Data Master Curve'!$D$7:$D$20</c:f>
              <c:numCache>
                <c:formatCode>General</c:formatCode>
                <c:ptCount val="14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18.46</c:v>
                </c:pt>
                <c:pt idx="13">
                  <c:v>18.04</c:v>
                </c:pt>
              </c:numCache>
            </c:numRef>
          </c:yVal>
          <c:smooth val="0"/>
        </c:ser>
        <c:ser>
          <c:idx val="5"/>
          <c:order val="1"/>
          <c:tx>
            <c:v>27 C Simulation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Sim_27!$A$7:$A$50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Sim_27!$B$7:$B$50</c:f>
              <c:numCache>
                <c:formatCode>General</c:formatCode>
                <c:ptCount val="44"/>
                <c:pt idx="0">
                  <c:v>23.948502540588379</c:v>
                </c:pt>
                <c:pt idx="1">
                  <c:v>23.945508897304535</c:v>
                </c:pt>
                <c:pt idx="2">
                  <c:v>23.94251674413681</c:v>
                </c:pt>
                <c:pt idx="3">
                  <c:v>23.939527571201324</c:v>
                </c:pt>
                <c:pt idx="4">
                  <c:v>23.933552205562592</c:v>
                </c:pt>
                <c:pt idx="5">
                  <c:v>23.918645083904266</c:v>
                </c:pt>
                <c:pt idx="6">
                  <c:v>23.888960480690002</c:v>
                </c:pt>
                <c:pt idx="7">
                  <c:v>23.859447240829468</c:v>
                </c:pt>
                <c:pt idx="8">
                  <c:v>23.800930380821228</c:v>
                </c:pt>
                <c:pt idx="9">
                  <c:v>23.657563328742981</c:v>
                </c:pt>
                <c:pt idx="10">
                  <c:v>23.382963240146637</c:v>
                </c:pt>
                <c:pt idx="11">
                  <c:v>23.123764991760254</c:v>
                </c:pt>
                <c:pt idx="12">
                  <c:v>22.648097574710846</c:v>
                </c:pt>
                <c:pt idx="13">
                  <c:v>21.672527492046356</c:v>
                </c:pt>
                <c:pt idx="14">
                  <c:v>20.385101437568665</c:v>
                </c:pt>
                <c:pt idx="15">
                  <c:v>19.645635783672333</c:v>
                </c:pt>
                <c:pt idx="16">
                  <c:v>18.942825496196747</c:v>
                </c:pt>
                <c:pt idx="17">
                  <c:v>18.411023914813995</c:v>
                </c:pt>
                <c:pt idx="18">
                  <c:v>17.851068079471588</c:v>
                </c:pt>
                <c:pt idx="19">
                  <c:v>17.336049675941467</c:v>
                </c:pt>
              </c:numCache>
            </c:numRef>
          </c:yVal>
          <c:smooth val="0"/>
        </c:ser>
        <c:ser>
          <c:idx val="1"/>
          <c:order val="2"/>
          <c:tx>
            <c:v>35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Curve'!$E$7:$E$19</c:f>
              <c:numCache>
                <c:formatCode>General</c:formatCode>
                <c:ptCount val="13"/>
                <c:pt idx="0">
                  <c:v>13</c:v>
                </c:pt>
                <c:pt idx="1">
                  <c:v>23</c:v>
                </c:pt>
                <c:pt idx="2">
                  <c:v>41</c:v>
                </c:pt>
                <c:pt idx="3">
                  <c:v>73</c:v>
                </c:pt>
                <c:pt idx="4">
                  <c:v>131</c:v>
                </c:pt>
                <c:pt idx="5">
                  <c:v>233</c:v>
                </c:pt>
                <c:pt idx="6">
                  <c:v>415</c:v>
                </c:pt>
                <c:pt idx="7">
                  <c:v>738</c:v>
                </c:pt>
                <c:pt idx="8">
                  <c:v>1312</c:v>
                </c:pt>
                <c:pt idx="9">
                  <c:v>2334</c:v>
                </c:pt>
                <c:pt idx="10">
                  <c:v>4151</c:v>
                </c:pt>
                <c:pt idx="11">
                  <c:v>7381</c:v>
                </c:pt>
                <c:pt idx="12">
                  <c:v>13126</c:v>
                </c:pt>
              </c:numCache>
            </c:numRef>
          </c:xVal>
          <c:yVal>
            <c:numRef>
              <c:f>'Test Data Master Curve'!$H$7:$H$19</c:f>
              <c:numCache>
                <c:formatCode>General</c:formatCode>
                <c:ptCount val="13"/>
                <c:pt idx="0">
                  <c:v>18.89</c:v>
                </c:pt>
                <c:pt idx="1">
                  <c:v>18.46</c:v>
                </c:pt>
                <c:pt idx="2">
                  <c:v>18.04</c:v>
                </c:pt>
                <c:pt idx="3">
                  <c:v>17.36</c:v>
                </c:pt>
                <c:pt idx="4">
                  <c:v>16.27</c:v>
                </c:pt>
                <c:pt idx="5">
                  <c:v>14.67</c:v>
                </c:pt>
                <c:pt idx="6">
                  <c:v>12.63</c:v>
                </c:pt>
                <c:pt idx="7">
                  <c:v>10.61</c:v>
                </c:pt>
                <c:pt idx="8">
                  <c:v>9.2899999999999991</c:v>
                </c:pt>
                <c:pt idx="9">
                  <c:v>8.81</c:v>
                </c:pt>
                <c:pt idx="10">
                  <c:v>8.61</c:v>
                </c:pt>
                <c:pt idx="11">
                  <c:v>8.34</c:v>
                </c:pt>
                <c:pt idx="12">
                  <c:v>7.91</c:v>
                </c:pt>
              </c:numCache>
            </c:numRef>
          </c:yVal>
          <c:smooth val="0"/>
        </c:ser>
        <c:ser>
          <c:idx val="6"/>
          <c:order val="3"/>
          <c:tx>
            <c:v>35 C Simulation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Sim_35!$A$7:$A$50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Sim_35!$B$7:$B$50</c:f>
              <c:numCache>
                <c:formatCode>General</c:formatCode>
                <c:ptCount val="44"/>
                <c:pt idx="0">
                  <c:v>23.407603800296783</c:v>
                </c:pt>
                <c:pt idx="1">
                  <c:v>22.471143305301666</c:v>
                </c:pt>
                <c:pt idx="2">
                  <c:v>21.722489595413208</c:v>
                </c:pt>
                <c:pt idx="3">
                  <c:v>21.123041212558746</c:v>
                </c:pt>
                <c:pt idx="4">
                  <c:v>20.255409181118011</c:v>
                </c:pt>
                <c:pt idx="5">
                  <c:v>19.18039470911026</c:v>
                </c:pt>
                <c:pt idx="6">
                  <c:v>18.555629253387451</c:v>
                </c:pt>
                <c:pt idx="7">
                  <c:v>18.296077847480774</c:v>
                </c:pt>
                <c:pt idx="8">
                  <c:v>17.867599427700043</c:v>
                </c:pt>
                <c:pt idx="9">
                  <c:v>16.889268159866333</c:v>
                </c:pt>
                <c:pt idx="10">
                  <c:v>15.241016447544098</c:v>
                </c:pt>
                <c:pt idx="11">
                  <c:v>13.932229578495026</c:v>
                </c:pt>
                <c:pt idx="12">
                  <c:v>12.066448479890823</c:v>
                </c:pt>
                <c:pt idx="13">
                  <c:v>9.8736003041267395</c:v>
                </c:pt>
                <c:pt idx="14">
                  <c:v>8.9018315076828003</c:v>
                </c:pt>
                <c:pt idx="15">
                  <c:v>8.729640394449234</c:v>
                </c:pt>
                <c:pt idx="16">
                  <c:v>8.5553728044033051</c:v>
                </c:pt>
                <c:pt idx="17">
                  <c:v>8.1742629408836365</c:v>
                </c:pt>
                <c:pt idx="18">
                  <c:v>7.5300887227058411</c:v>
                </c:pt>
                <c:pt idx="19">
                  <c:v>7.0162847638130188</c:v>
                </c:pt>
              </c:numCache>
            </c:numRef>
          </c:yVal>
          <c:smooth val="0"/>
        </c:ser>
        <c:ser>
          <c:idx val="4"/>
          <c:order val="4"/>
          <c:tx>
            <c:v>45 C Test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'Test Data Master Curve'!$I$7:$I$19</c:f>
              <c:numCache>
                <c:formatCode>General</c:formatCode>
                <c:ptCount val="13"/>
                <c:pt idx="0">
                  <c:v>17</c:v>
                </c:pt>
                <c:pt idx="1">
                  <c:v>31</c:v>
                </c:pt>
                <c:pt idx="2">
                  <c:v>55</c:v>
                </c:pt>
                <c:pt idx="3">
                  <c:v>98</c:v>
                </c:pt>
                <c:pt idx="4">
                  <c:v>174</c:v>
                </c:pt>
                <c:pt idx="5">
                  <c:v>310</c:v>
                </c:pt>
                <c:pt idx="6">
                  <c:v>552</c:v>
                </c:pt>
                <c:pt idx="7">
                  <c:v>982</c:v>
                </c:pt>
                <c:pt idx="8">
                  <c:v>1746</c:v>
                </c:pt>
                <c:pt idx="9">
                  <c:v>3106</c:v>
                </c:pt>
                <c:pt idx="10">
                  <c:v>5523</c:v>
                </c:pt>
                <c:pt idx="11">
                  <c:v>9822</c:v>
                </c:pt>
                <c:pt idx="12">
                  <c:v>17467</c:v>
                </c:pt>
              </c:numCache>
            </c:numRef>
          </c:xVal>
          <c:yVal>
            <c:numRef>
              <c:f>'Test Data Master Curve'!$L$7:$L$19</c:f>
              <c:numCache>
                <c:formatCode>General</c:formatCode>
                <c:ptCount val="13"/>
                <c:pt idx="0">
                  <c:v>8.81</c:v>
                </c:pt>
                <c:pt idx="1">
                  <c:v>8.61</c:v>
                </c:pt>
                <c:pt idx="2">
                  <c:v>8.34</c:v>
                </c:pt>
                <c:pt idx="3">
                  <c:v>7.91</c:v>
                </c:pt>
                <c:pt idx="4">
                  <c:v>7.27</c:v>
                </c:pt>
                <c:pt idx="5">
                  <c:v>6.46</c:v>
                </c:pt>
                <c:pt idx="6">
                  <c:v>5.67</c:v>
                </c:pt>
                <c:pt idx="7">
                  <c:v>5.16</c:v>
                </c:pt>
                <c:pt idx="8">
                  <c:v>5</c:v>
                </c:pt>
                <c:pt idx="9">
                  <c:v>4.97</c:v>
                </c:pt>
                <c:pt idx="10">
                  <c:v>4.95</c:v>
                </c:pt>
                <c:pt idx="11">
                  <c:v>4.92</c:v>
                </c:pt>
                <c:pt idx="12">
                  <c:v>4.8600000000000003</c:v>
                </c:pt>
              </c:numCache>
            </c:numRef>
          </c:yVal>
          <c:smooth val="0"/>
        </c:ser>
        <c:ser>
          <c:idx val="7"/>
          <c:order val="5"/>
          <c:tx>
            <c:v>45 C Simulation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Sim_45!$A$7:$A$50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Sim_45!$B$7:$B$50</c:f>
              <c:numCache>
                <c:formatCode>General</c:formatCode>
                <c:ptCount val="44"/>
                <c:pt idx="0">
                  <c:v>17.474356293678284</c:v>
                </c:pt>
                <c:pt idx="1">
                  <c:v>14.750055968761444</c:v>
                </c:pt>
                <c:pt idx="2">
                  <c:v>12.954165041446686</c:v>
                </c:pt>
                <c:pt idx="3">
                  <c:v>11.706630885601044</c:v>
                </c:pt>
                <c:pt idx="4">
                  <c:v>10.233607143163681</c:v>
                </c:pt>
                <c:pt idx="5">
                  <c:v>9.0459182858467102</c:v>
                </c:pt>
                <c:pt idx="6">
                  <c:v>8.7045654654502869</c:v>
                </c:pt>
                <c:pt idx="7">
                  <c:v>8.5687950253486633</c:v>
                </c:pt>
                <c:pt idx="8">
                  <c:v>8.3211667835712433</c:v>
                </c:pt>
                <c:pt idx="9">
                  <c:v>7.774786651134491</c:v>
                </c:pt>
                <c:pt idx="10">
                  <c:v>6.9362811744213104</c:v>
                </c:pt>
                <c:pt idx="11">
                  <c:v>6.3503101468086243</c:v>
                </c:pt>
                <c:pt idx="12">
                  <c:v>5.6543797254562378</c:v>
                </c:pt>
                <c:pt idx="13">
                  <c:v>5.098545178771019</c:v>
                </c:pt>
                <c:pt idx="14">
                  <c:v>4.9827922135591507</c:v>
                </c:pt>
                <c:pt idx="15">
                  <c:v>4.9710560590028763</c:v>
                </c:pt>
                <c:pt idx="16">
                  <c:v>4.9535069614648819</c:v>
                </c:pt>
                <c:pt idx="17">
                  <c:v>4.9103822559118271</c:v>
                </c:pt>
                <c:pt idx="18">
                  <c:v>4.8263914883136749</c:v>
                </c:pt>
                <c:pt idx="19">
                  <c:v>4.7453250735998154</c:v>
                </c:pt>
              </c:numCache>
            </c:numRef>
          </c:yVal>
          <c:smooth val="0"/>
        </c:ser>
        <c:ser>
          <c:idx val="2"/>
          <c:order val="6"/>
          <c:tx>
            <c:v>55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Curve'!$M$7:$M$19</c:f>
              <c:numCache>
                <c:formatCode>General</c:formatCode>
                <c:ptCount val="13"/>
                <c:pt idx="0">
                  <c:v>15</c:v>
                </c:pt>
                <c:pt idx="1">
                  <c:v>27</c:v>
                </c:pt>
                <c:pt idx="2">
                  <c:v>48</c:v>
                </c:pt>
                <c:pt idx="3">
                  <c:v>85</c:v>
                </c:pt>
                <c:pt idx="4">
                  <c:v>152</c:v>
                </c:pt>
                <c:pt idx="5">
                  <c:v>271</c:v>
                </c:pt>
                <c:pt idx="6">
                  <c:v>482</c:v>
                </c:pt>
                <c:pt idx="7">
                  <c:v>857</c:v>
                </c:pt>
                <c:pt idx="8">
                  <c:v>1524</c:v>
                </c:pt>
                <c:pt idx="9">
                  <c:v>2711</c:v>
                </c:pt>
                <c:pt idx="10">
                  <c:v>4822</c:v>
                </c:pt>
                <c:pt idx="11">
                  <c:v>8574</c:v>
                </c:pt>
                <c:pt idx="12">
                  <c:v>15248</c:v>
                </c:pt>
              </c:numCache>
            </c:numRef>
          </c:xVal>
          <c:yVal>
            <c:numRef>
              <c:f>'Test Data Master Curve'!$P$7:$P$19</c:f>
              <c:numCache>
                <c:formatCode>General</c:formatCode>
                <c:ptCount val="13"/>
                <c:pt idx="0">
                  <c:v>5.67</c:v>
                </c:pt>
                <c:pt idx="1">
                  <c:v>5.16</c:v>
                </c:pt>
                <c:pt idx="2">
                  <c:v>5</c:v>
                </c:pt>
                <c:pt idx="3">
                  <c:v>4.97</c:v>
                </c:pt>
                <c:pt idx="4">
                  <c:v>4.95</c:v>
                </c:pt>
                <c:pt idx="5">
                  <c:v>4.92</c:v>
                </c:pt>
                <c:pt idx="6">
                  <c:v>4.8600000000000003</c:v>
                </c:pt>
                <c:pt idx="7">
                  <c:v>4.76</c:v>
                </c:pt>
                <c:pt idx="8">
                  <c:v>4.59</c:v>
                </c:pt>
                <c:pt idx="9">
                  <c:v>4.32</c:v>
                </c:pt>
                <c:pt idx="10">
                  <c:v>3.92</c:v>
                </c:pt>
                <c:pt idx="11">
                  <c:v>3.41</c:v>
                </c:pt>
                <c:pt idx="12">
                  <c:v>2.92</c:v>
                </c:pt>
              </c:numCache>
            </c:numRef>
          </c:yVal>
          <c:smooth val="0"/>
        </c:ser>
        <c:ser>
          <c:idx val="8"/>
          <c:order val="7"/>
          <c:tx>
            <c:v>55 C Simulation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Sim_55!$A$7:$A$50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Sim_55!$B$7:$B$50</c:f>
              <c:numCache>
                <c:formatCode>General</c:formatCode>
                <c:ptCount val="44"/>
                <c:pt idx="0">
                  <c:v>9.5440663397312164</c:v>
                </c:pt>
                <c:pt idx="1">
                  <c:v>8.3127692341804504</c:v>
                </c:pt>
                <c:pt idx="2">
                  <c:v>7.9289890825748444</c:v>
                </c:pt>
                <c:pt idx="3">
                  <c:v>7.5895607471466064</c:v>
                </c:pt>
                <c:pt idx="4">
                  <c:v>7.0238277316093445</c:v>
                </c:pt>
                <c:pt idx="5">
                  <c:v>6.091226264834404</c:v>
                </c:pt>
                <c:pt idx="6">
                  <c:v>5.3121544420719147</c:v>
                </c:pt>
                <c:pt idx="7">
                  <c:v>5.0820764154195786</c:v>
                </c:pt>
                <c:pt idx="8">
                  <c:v>4.9901712685823441</c:v>
                </c:pt>
                <c:pt idx="9">
                  <c:v>4.9671191722154617</c:v>
                </c:pt>
                <c:pt idx="10">
                  <c:v>4.9373123794794083</c:v>
                </c:pt>
                <c:pt idx="11">
                  <c:v>4.9078822135925293</c:v>
                </c:pt>
                <c:pt idx="12">
                  <c:v>4.8500828444957733</c:v>
                </c:pt>
                <c:pt idx="13">
                  <c:v>4.7115769237279892</c:v>
                </c:pt>
                <c:pt idx="14">
                  <c:v>4.4585525989532471</c:v>
                </c:pt>
                <c:pt idx="15">
                  <c:v>4.2344503104686737</c:v>
                </c:pt>
                <c:pt idx="16">
                  <c:v>3.8601655513048172</c:v>
                </c:pt>
                <c:pt idx="17">
                  <c:v>3.2404161989688873</c:v>
                </c:pt>
                <c:pt idx="18">
                  <c:v>2.7185309678316116</c:v>
                </c:pt>
                <c:pt idx="19">
                  <c:v>2.5635002180933952</c:v>
                </c:pt>
              </c:numCache>
            </c:numRef>
          </c:yVal>
          <c:smooth val="0"/>
        </c:ser>
        <c:ser>
          <c:idx val="3"/>
          <c:order val="8"/>
          <c:tx>
            <c:v>65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Curve'!$Q$7:$Q$19</c:f>
              <c:numCache>
                <c:formatCode>General</c:formatCode>
                <c:ptCount val="13"/>
                <c:pt idx="0">
                  <c:v>17</c:v>
                </c:pt>
                <c:pt idx="1">
                  <c:v>30</c:v>
                </c:pt>
                <c:pt idx="2">
                  <c:v>55</c:v>
                </c:pt>
                <c:pt idx="3">
                  <c:v>97</c:v>
                </c:pt>
                <c:pt idx="4">
                  <c:v>174</c:v>
                </c:pt>
                <c:pt idx="5">
                  <c:v>309</c:v>
                </c:pt>
                <c:pt idx="6">
                  <c:v>550</c:v>
                </c:pt>
                <c:pt idx="7">
                  <c:v>979</c:v>
                </c:pt>
                <c:pt idx="8">
                  <c:v>1742</c:v>
                </c:pt>
                <c:pt idx="9">
                  <c:v>3097</c:v>
                </c:pt>
                <c:pt idx="10">
                  <c:v>5508</c:v>
                </c:pt>
                <c:pt idx="11">
                  <c:v>8000</c:v>
                </c:pt>
                <c:pt idx="12">
                  <c:v>17500</c:v>
                </c:pt>
              </c:numCache>
            </c:numRef>
          </c:xVal>
          <c:yVal>
            <c:numRef>
              <c:f>'Test Data Master Curve'!$T$7:$T$19</c:f>
              <c:numCache>
                <c:formatCode>General</c:formatCode>
                <c:ptCount val="13"/>
                <c:pt idx="0">
                  <c:v>4.92</c:v>
                </c:pt>
                <c:pt idx="1">
                  <c:v>4.8600000000000003</c:v>
                </c:pt>
                <c:pt idx="2">
                  <c:v>4.76</c:v>
                </c:pt>
                <c:pt idx="3">
                  <c:v>4.59</c:v>
                </c:pt>
                <c:pt idx="4">
                  <c:v>4.32</c:v>
                </c:pt>
                <c:pt idx="5">
                  <c:v>3.92</c:v>
                </c:pt>
                <c:pt idx="6">
                  <c:v>3.41</c:v>
                </c:pt>
                <c:pt idx="7">
                  <c:v>2.92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yVal>
          <c:smooth val="0"/>
        </c:ser>
        <c:ser>
          <c:idx val="9"/>
          <c:order val="9"/>
          <c:tx>
            <c:v>65 C Simulation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Sim_65!$A$7:$A$50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Sim_65!$B$7:$B$50</c:f>
              <c:numCache>
                <c:formatCode>General</c:formatCode>
                <c:ptCount val="44"/>
                <c:pt idx="0">
                  <c:v>6.995546817779541</c:v>
                </c:pt>
                <c:pt idx="1">
                  <c:v>5.3589954972267151</c:v>
                </c:pt>
                <c:pt idx="2">
                  <c:v>5.0568226724863052</c:v>
                </c:pt>
                <c:pt idx="3">
                  <c:v>4.9962703138589859</c:v>
                </c:pt>
                <c:pt idx="4">
                  <c:v>4.975394532084465</c:v>
                </c:pt>
                <c:pt idx="5">
                  <c:v>4.9546543508768082</c:v>
                </c:pt>
                <c:pt idx="6">
                  <c:v>4.9146175384521484</c:v>
                </c:pt>
                <c:pt idx="7">
                  <c:v>4.8752330243587494</c:v>
                </c:pt>
                <c:pt idx="8">
                  <c:v>4.7983791679143906</c:v>
                </c:pt>
                <c:pt idx="9">
                  <c:v>4.6169396489858627</c:v>
                </c:pt>
                <c:pt idx="10">
                  <c:v>4.2958639562129974</c:v>
                </c:pt>
                <c:pt idx="11">
                  <c:v>4.0234394371509552</c:v>
                </c:pt>
                <c:pt idx="12">
                  <c:v>3.5961735993623734</c:v>
                </c:pt>
                <c:pt idx="13">
                  <c:v>2.9809001833200455</c:v>
                </c:pt>
                <c:pt idx="14">
                  <c:v>2.59136613458395</c:v>
                </c:pt>
                <c:pt idx="15">
                  <c:v>2.5160420686006546</c:v>
                </c:pt>
                <c:pt idx="16">
                  <c:v>2.4986602365970612</c:v>
                </c:pt>
                <c:pt idx="17">
                  <c:v>2.4979852139949799</c:v>
                </c:pt>
                <c:pt idx="18">
                  <c:v>2.4979850277304649</c:v>
                </c:pt>
                <c:pt idx="19">
                  <c:v>2.4979850277304649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62464"/>
        <c:axId val="163672832"/>
      </c:scatterChart>
      <c:valAx>
        <c:axId val="163662464"/>
        <c:scaling>
          <c:logBase val="10"/>
          <c:orientation val="minMax"/>
          <c:max val="30001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3672832"/>
        <c:crosses val="autoZero"/>
        <c:crossBetween val="midCat"/>
      </c:valAx>
      <c:valAx>
        <c:axId val="163672832"/>
        <c:scaling>
          <c:logBase val="10"/>
          <c:orientation val="minMax"/>
          <c:max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Relaxation Shear Modulus (GPa)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36624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934198153288394"/>
          <c:y val="0.2512447350792269"/>
          <c:w val="0.17915640401064975"/>
          <c:h val="0.51583255994185628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0</xdr:row>
      <xdr:rowOff>80961</xdr:rowOff>
    </xdr:from>
    <xdr:to>
      <xdr:col>19</xdr:col>
      <xdr:colOff>571500</xdr:colOff>
      <xdr:row>21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104775</xdr:colOff>
      <xdr:row>0</xdr:row>
      <xdr:rowOff>80961</xdr:rowOff>
    </xdr:from>
    <xdr:to>
      <xdr:col>28</xdr:col>
      <xdr:colOff>552450</xdr:colOff>
      <xdr:row>21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22</xdr:row>
      <xdr:rowOff>0</xdr:rowOff>
    </xdr:from>
    <xdr:to>
      <xdr:col>15</xdr:col>
      <xdr:colOff>342900</xdr:colOff>
      <xdr:row>43</xdr:row>
      <xdr:rowOff>61913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10</xdr:row>
      <xdr:rowOff>0</xdr:rowOff>
    </xdr:from>
    <xdr:to>
      <xdr:col>10</xdr:col>
      <xdr:colOff>590549</xdr:colOff>
      <xdr:row>34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28575</xdr:rowOff>
    </xdr:from>
    <xdr:to>
      <xdr:col>15</xdr:col>
      <xdr:colOff>609067</xdr:colOff>
      <xdr:row>7</xdr:row>
      <xdr:rowOff>142737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409575"/>
          <a:ext cx="4266667" cy="11047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466725</xdr:colOff>
      <xdr:row>12</xdr:row>
      <xdr:rowOff>157161</xdr:rowOff>
    </xdr:from>
    <xdr:to>
      <xdr:col>30</xdr:col>
      <xdr:colOff>504824</xdr:colOff>
      <xdr:row>34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9525</xdr:rowOff>
    </xdr:from>
    <xdr:to>
      <xdr:col>20</xdr:col>
      <xdr:colOff>466725</xdr:colOff>
      <xdr:row>26</xdr:row>
      <xdr:rowOff>85725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0</xdr:rowOff>
    </xdr:from>
    <xdr:to>
      <xdr:col>15</xdr:col>
      <xdr:colOff>609599</xdr:colOff>
      <xdr:row>25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w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ony_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Test Data"/>
      <sheetName val="Test Data Master Curve"/>
      <sheetName val="WLF Calculations"/>
      <sheetName val="Prony Setup"/>
      <sheetName val="Prony Representation w 4 terms"/>
      <sheetName val="Abaqus Results"/>
    </sheetNames>
    <sheetDataSet>
      <sheetData sheetId="0">
        <row r="7">
          <cell r="A7">
            <v>9</v>
          </cell>
        </row>
      </sheetData>
      <sheetData sheetId="1"/>
      <sheetData sheetId="2">
        <row r="3">
          <cell r="H3">
            <v>14.937543207526344</v>
          </cell>
        </row>
        <row r="4">
          <cell r="H4">
            <v>38.130640330627436</v>
          </cell>
        </row>
        <row r="5">
          <cell r="H5">
            <v>27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Test Data"/>
      <sheetName val="Prony Representation w 1 term"/>
      <sheetName val="Prony Representation w 7 terms"/>
    </sheetNames>
    <sheetDataSet>
      <sheetData sheetId="0" refreshError="1"/>
      <sheetData sheetId="1">
        <row r="2">
          <cell r="A2">
            <v>1E-4</v>
          </cell>
        </row>
      </sheetData>
      <sheetData sheetId="2">
        <row r="8">
          <cell r="B8">
            <v>0.2</v>
          </cell>
          <cell r="D8">
            <v>1E-3</v>
          </cell>
        </row>
      </sheetData>
      <sheetData sheetId="3">
        <row r="13">
          <cell r="B13">
            <v>1.0000000000000001E-5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olidmechanics.org/problems/Chapter3_6/Chapter3_6.php" TargetMode="External"/><Relationship Id="rId1" Type="http://schemas.openxmlformats.org/officeDocument/2006/relationships/hyperlink" Target="http://solidmechanics.org/text/Chapter3_6/Chapter3_6.ht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0"/>
  <sheetViews>
    <sheetView tabSelected="1" workbookViewId="0">
      <selection activeCell="W11" sqref="W11"/>
    </sheetView>
  </sheetViews>
  <sheetFormatPr defaultRowHeight="15" x14ac:dyDescent="0.25"/>
  <cols>
    <col min="1" max="2" width="9.7109375" style="16" customWidth="1"/>
    <col min="3" max="5" width="8.7109375" style="16" customWidth="1"/>
    <col min="6" max="6" width="10.28515625" style="16" customWidth="1"/>
    <col min="7" max="9" width="8.7109375" style="16" customWidth="1"/>
    <col min="10" max="10" width="10.28515625" style="16" customWidth="1"/>
    <col min="11" max="13" width="8.7109375" style="16" customWidth="1"/>
    <col min="14" max="14" width="10.28515625" style="16" customWidth="1"/>
    <col min="15" max="17" width="8.7109375" style="16" customWidth="1"/>
    <col min="18" max="18" width="10.28515625" style="16" customWidth="1"/>
    <col min="19" max="20" width="8.7109375" style="16" customWidth="1"/>
    <col min="21" max="16384" width="9.140625" style="16"/>
  </cols>
  <sheetData>
    <row r="2" spans="1:14" ht="15.75" thickBot="1" x14ac:dyDescent="0.3"/>
    <row r="3" spans="1:14" ht="17.25" customHeight="1" thickBot="1" x14ac:dyDescent="0.3">
      <c r="A3" s="57" t="s">
        <v>0</v>
      </c>
      <c r="B3" s="58"/>
      <c r="C3" s="57" t="s">
        <v>1</v>
      </c>
      <c r="D3" s="58"/>
      <c r="E3" s="57" t="s">
        <v>9</v>
      </c>
      <c r="F3" s="58"/>
      <c r="G3" s="59" t="s">
        <v>2</v>
      </c>
      <c r="H3" s="60"/>
      <c r="I3" s="59" t="s">
        <v>75</v>
      </c>
      <c r="J3" s="58"/>
      <c r="K3" s="52"/>
      <c r="L3" s="52"/>
      <c r="M3" s="52"/>
      <c r="N3" s="52"/>
    </row>
    <row r="4" spans="1:14" x14ac:dyDescent="0.25">
      <c r="A4" s="1" t="s">
        <v>4</v>
      </c>
      <c r="B4" s="4" t="s">
        <v>6</v>
      </c>
      <c r="C4" s="4" t="s">
        <v>4</v>
      </c>
      <c r="D4" s="4" t="s">
        <v>6</v>
      </c>
      <c r="E4" s="4" t="s">
        <v>4</v>
      </c>
      <c r="F4" s="4" t="s">
        <v>6</v>
      </c>
      <c r="G4" s="4" t="s">
        <v>4</v>
      </c>
      <c r="H4" s="4" t="s">
        <v>6</v>
      </c>
      <c r="I4" s="4" t="s">
        <v>4</v>
      </c>
      <c r="J4" s="4" t="s">
        <v>6</v>
      </c>
    </row>
    <row r="5" spans="1:14" x14ac:dyDescent="0.25">
      <c r="A5" s="2"/>
      <c r="B5" s="5"/>
      <c r="C5" s="5"/>
      <c r="D5" s="5"/>
      <c r="E5" s="5"/>
      <c r="F5" s="5"/>
      <c r="G5" s="5"/>
      <c r="H5" s="5"/>
      <c r="I5" s="5"/>
      <c r="J5" s="5"/>
    </row>
    <row r="6" spans="1:14" ht="15.75" thickBot="1" x14ac:dyDescent="0.3">
      <c r="A6" s="3" t="s">
        <v>5</v>
      </c>
      <c r="B6" s="6" t="s">
        <v>7</v>
      </c>
      <c r="C6" s="6" t="s">
        <v>5</v>
      </c>
      <c r="D6" s="6" t="s">
        <v>7</v>
      </c>
      <c r="E6" s="6" t="s">
        <v>5</v>
      </c>
      <c r="F6" s="6" t="s">
        <v>7</v>
      </c>
      <c r="G6" s="6" t="s">
        <v>5</v>
      </c>
      <c r="H6" s="6" t="s">
        <v>8</v>
      </c>
      <c r="I6" s="6" t="s">
        <v>5</v>
      </c>
      <c r="J6" s="6" t="s">
        <v>8</v>
      </c>
    </row>
    <row r="7" spans="1:14" ht="15.75" thickBot="1" x14ac:dyDescent="0.3">
      <c r="A7" s="7">
        <v>9</v>
      </c>
      <c r="B7" s="8">
        <v>23.95</v>
      </c>
      <c r="C7" s="8">
        <v>13</v>
      </c>
      <c r="D7" s="8">
        <v>18.89</v>
      </c>
      <c r="E7" s="8">
        <v>17</v>
      </c>
      <c r="F7" s="8">
        <v>8.81</v>
      </c>
      <c r="G7" s="8">
        <v>15</v>
      </c>
      <c r="H7" s="8">
        <v>5.67</v>
      </c>
      <c r="I7" s="8">
        <v>17</v>
      </c>
      <c r="J7" s="8">
        <v>4.92</v>
      </c>
    </row>
    <row r="8" spans="1:14" ht="15.75" thickBot="1" x14ac:dyDescent="0.3">
      <c r="A8" s="7">
        <v>17</v>
      </c>
      <c r="B8" s="8">
        <v>23.91</v>
      </c>
      <c r="C8" s="8">
        <v>23</v>
      </c>
      <c r="D8" s="8">
        <v>18.46</v>
      </c>
      <c r="E8" s="8">
        <v>31</v>
      </c>
      <c r="F8" s="8">
        <v>8.61</v>
      </c>
      <c r="G8" s="8">
        <v>27</v>
      </c>
      <c r="H8" s="8">
        <v>5.16</v>
      </c>
      <c r="I8" s="8">
        <v>30</v>
      </c>
      <c r="J8" s="8">
        <v>4.8600000000000003</v>
      </c>
    </row>
    <row r="9" spans="1:14" ht="15.75" thickBot="1" x14ac:dyDescent="0.3">
      <c r="A9" s="7">
        <v>29</v>
      </c>
      <c r="B9" s="8">
        <v>23.84</v>
      </c>
      <c r="C9" s="8">
        <v>41</v>
      </c>
      <c r="D9" s="8">
        <v>18.04</v>
      </c>
      <c r="E9" s="8">
        <v>55</v>
      </c>
      <c r="F9" s="8">
        <v>8.34</v>
      </c>
      <c r="G9" s="8">
        <v>48</v>
      </c>
      <c r="H9" s="8">
        <v>5</v>
      </c>
      <c r="I9" s="8">
        <v>55</v>
      </c>
      <c r="J9" s="8">
        <v>4.76</v>
      </c>
    </row>
    <row r="10" spans="1:14" ht="15.75" thickBot="1" x14ac:dyDescent="0.3">
      <c r="A10" s="7">
        <v>52</v>
      </c>
      <c r="B10" s="8">
        <v>23.72</v>
      </c>
      <c r="C10" s="8">
        <v>73</v>
      </c>
      <c r="D10" s="8">
        <v>17.36</v>
      </c>
      <c r="E10" s="8">
        <v>98</v>
      </c>
      <c r="F10" s="8">
        <v>7.91</v>
      </c>
      <c r="G10" s="8">
        <v>85</v>
      </c>
      <c r="H10" s="8">
        <v>4.97</v>
      </c>
      <c r="I10" s="8">
        <v>97</v>
      </c>
      <c r="J10" s="8">
        <v>4.59</v>
      </c>
    </row>
    <row r="11" spans="1:14" ht="15.75" thickBot="1" x14ac:dyDescent="0.3">
      <c r="A11" s="7">
        <v>93</v>
      </c>
      <c r="B11" s="8">
        <v>23.72</v>
      </c>
      <c r="C11" s="8">
        <v>131</v>
      </c>
      <c r="D11" s="8">
        <v>16.27</v>
      </c>
      <c r="E11" s="8">
        <v>174</v>
      </c>
      <c r="F11" s="8">
        <v>7.27</v>
      </c>
      <c r="G11" s="8">
        <v>152</v>
      </c>
      <c r="H11" s="8">
        <v>4.95</v>
      </c>
      <c r="I11" s="8">
        <v>174</v>
      </c>
      <c r="J11" s="8">
        <v>4.32</v>
      </c>
    </row>
    <row r="12" spans="1:14" ht="15.75" thickBot="1" x14ac:dyDescent="0.3">
      <c r="A12" s="7">
        <v>166</v>
      </c>
      <c r="B12" s="8">
        <v>23.51</v>
      </c>
      <c r="C12" s="8">
        <v>233</v>
      </c>
      <c r="D12" s="8">
        <v>14.67</v>
      </c>
      <c r="E12" s="8">
        <v>310</v>
      </c>
      <c r="F12" s="8">
        <v>6.46</v>
      </c>
      <c r="G12" s="8">
        <v>271</v>
      </c>
      <c r="H12" s="8">
        <v>4.92</v>
      </c>
      <c r="I12" s="8">
        <v>309</v>
      </c>
      <c r="J12" s="8">
        <v>3.92</v>
      </c>
    </row>
    <row r="13" spans="1:14" ht="15.75" thickBot="1" x14ac:dyDescent="0.3">
      <c r="A13" s="7">
        <v>295</v>
      </c>
      <c r="B13" s="8">
        <v>23.16</v>
      </c>
      <c r="C13" s="8">
        <v>415</v>
      </c>
      <c r="D13" s="8">
        <v>12.63</v>
      </c>
      <c r="E13" s="8">
        <v>552</v>
      </c>
      <c r="F13" s="8">
        <v>5.67</v>
      </c>
      <c r="G13" s="8">
        <v>482</v>
      </c>
      <c r="H13" s="8">
        <v>4.8600000000000003</v>
      </c>
      <c r="I13" s="8">
        <v>550</v>
      </c>
      <c r="J13" s="8">
        <v>3.41</v>
      </c>
    </row>
    <row r="14" spans="1:14" ht="15.75" thickBot="1" x14ac:dyDescent="0.3">
      <c r="A14" s="7">
        <v>525</v>
      </c>
      <c r="B14" s="8">
        <v>22.61</v>
      </c>
      <c r="C14" s="8">
        <v>738</v>
      </c>
      <c r="D14" s="8">
        <v>10.61</v>
      </c>
      <c r="E14" s="8">
        <v>982</v>
      </c>
      <c r="F14" s="8">
        <v>5.16</v>
      </c>
      <c r="G14" s="8">
        <v>857</v>
      </c>
      <c r="H14" s="8">
        <v>4.76</v>
      </c>
      <c r="I14" s="8">
        <v>979</v>
      </c>
      <c r="J14" s="8">
        <v>2.92</v>
      </c>
    </row>
    <row r="15" spans="1:14" ht="15.75" thickBot="1" x14ac:dyDescent="0.3">
      <c r="A15" s="7">
        <v>933</v>
      </c>
      <c r="B15" s="8">
        <v>21.79</v>
      </c>
      <c r="C15" s="8">
        <v>1312</v>
      </c>
      <c r="D15" s="8">
        <v>9.2899999999999991</v>
      </c>
      <c r="E15" s="8">
        <v>1746</v>
      </c>
      <c r="F15" s="8">
        <v>5</v>
      </c>
      <c r="G15" s="8">
        <v>1524</v>
      </c>
      <c r="H15" s="8">
        <v>4.59</v>
      </c>
      <c r="I15" s="8">
        <v>1742</v>
      </c>
      <c r="J15" s="8">
        <v>2.6</v>
      </c>
    </row>
    <row r="16" spans="1:14" ht="15.75" thickBot="1" x14ac:dyDescent="0.3">
      <c r="A16" s="7">
        <v>1660</v>
      </c>
      <c r="B16" s="8">
        <v>20.73</v>
      </c>
      <c r="C16" s="8">
        <v>2334</v>
      </c>
      <c r="D16" s="8">
        <v>8.81</v>
      </c>
      <c r="E16" s="8">
        <v>3106</v>
      </c>
      <c r="F16" s="8">
        <v>4.97</v>
      </c>
      <c r="G16" s="8">
        <v>2711</v>
      </c>
      <c r="H16" s="8">
        <v>4.32</v>
      </c>
      <c r="I16" s="8">
        <v>3097</v>
      </c>
      <c r="J16" s="8">
        <v>2.5</v>
      </c>
    </row>
    <row r="17" spans="1:18" ht="15.75" thickBot="1" x14ac:dyDescent="0.3">
      <c r="A17" s="7">
        <v>2952</v>
      </c>
      <c r="B17" s="8">
        <v>19.66</v>
      </c>
      <c r="C17" s="8">
        <v>4151</v>
      </c>
      <c r="D17" s="8">
        <v>8.61</v>
      </c>
      <c r="E17" s="8">
        <v>5523</v>
      </c>
      <c r="F17" s="8">
        <v>4.95</v>
      </c>
      <c r="G17" s="8">
        <v>4822</v>
      </c>
      <c r="H17" s="8">
        <v>3.92</v>
      </c>
      <c r="I17" s="8">
        <v>5508</v>
      </c>
      <c r="J17" s="8">
        <v>2.5</v>
      </c>
    </row>
    <row r="18" spans="1:18" ht="15.75" thickBot="1" x14ac:dyDescent="0.3">
      <c r="A18" s="7">
        <v>5250</v>
      </c>
      <c r="B18" s="8">
        <v>18.89</v>
      </c>
      <c r="C18" s="8">
        <v>7381</v>
      </c>
      <c r="D18" s="8">
        <v>8.34</v>
      </c>
      <c r="E18" s="8">
        <v>9822</v>
      </c>
      <c r="F18" s="8">
        <v>4.92</v>
      </c>
      <c r="G18" s="8">
        <v>8574</v>
      </c>
      <c r="H18" s="8">
        <v>3.41</v>
      </c>
      <c r="I18" s="8">
        <v>8000</v>
      </c>
      <c r="J18" s="8">
        <v>2.5</v>
      </c>
    </row>
    <row r="19" spans="1:18" ht="15.75" thickBot="1" x14ac:dyDescent="0.3">
      <c r="A19" s="7">
        <v>9337</v>
      </c>
      <c r="B19" s="8">
        <v>18.46</v>
      </c>
      <c r="C19" s="8">
        <v>13126</v>
      </c>
      <c r="D19" s="8">
        <v>7.91</v>
      </c>
      <c r="E19" s="8">
        <v>17467</v>
      </c>
      <c r="F19" s="8">
        <v>4.8600000000000003</v>
      </c>
      <c r="G19" s="8">
        <v>15248</v>
      </c>
      <c r="H19" s="8">
        <v>2.92</v>
      </c>
      <c r="I19" s="8">
        <v>17500</v>
      </c>
      <c r="J19" s="8">
        <v>2.5</v>
      </c>
    </row>
    <row r="20" spans="1:18" ht="15.75" thickBot="1" x14ac:dyDescent="0.3">
      <c r="A20" s="7">
        <v>16600</v>
      </c>
      <c r="B20" s="8">
        <v>18.04</v>
      </c>
      <c r="D20" s="10"/>
      <c r="E20" s="10"/>
    </row>
    <row r="23" spans="1:18" x14ac:dyDescent="0.25">
      <c r="B23" s="54" t="s">
        <v>76</v>
      </c>
      <c r="C23" s="55"/>
      <c r="D23" s="55"/>
      <c r="E23" s="55"/>
      <c r="F23" s="55"/>
      <c r="G23" s="55"/>
    </row>
    <row r="25" spans="1:18" x14ac:dyDescent="0.25">
      <c r="B25" s="54" t="s">
        <v>77</v>
      </c>
      <c r="C25" s="55"/>
      <c r="D25" s="55"/>
      <c r="E25" s="55"/>
      <c r="F25" s="55"/>
      <c r="G25" s="55"/>
      <c r="H25" s="55"/>
    </row>
    <row r="27" spans="1:18" x14ac:dyDescent="0.25">
      <c r="B27" s="16" t="s">
        <v>78</v>
      </c>
    </row>
    <row r="28" spans="1:18" x14ac:dyDescent="0.25">
      <c r="R28" s="15"/>
    </row>
    <row r="29" spans="1:18" ht="292.5" customHeight="1" x14ac:dyDescent="0.35">
      <c r="B29" s="56" t="s">
        <v>79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R29" s="19"/>
    </row>
    <row r="40" spans="20:20" x14ac:dyDescent="0.25">
      <c r="T40" s="49"/>
    </row>
  </sheetData>
  <mergeCells count="8">
    <mergeCell ref="B25:H25"/>
    <mergeCell ref="B29:M29"/>
    <mergeCell ref="A3:B3"/>
    <mergeCell ref="C3:D3"/>
    <mergeCell ref="E3:F3"/>
    <mergeCell ref="G3:H3"/>
    <mergeCell ref="I3:J3"/>
    <mergeCell ref="B23:G23"/>
  </mergeCells>
  <hyperlinks>
    <hyperlink ref="B23" r:id="rId1"/>
    <hyperlink ref="B25" r:id="rId2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opLeftCell="A13" workbookViewId="0">
      <selection activeCell="E47" sqref="E47"/>
    </sheetView>
  </sheetViews>
  <sheetFormatPr defaultRowHeight="15" x14ac:dyDescent="0.25"/>
  <cols>
    <col min="1" max="1" width="8.7109375" customWidth="1"/>
    <col min="2" max="2" width="10.28515625" customWidth="1"/>
    <col min="3" max="5" width="8.7109375" customWidth="1"/>
    <col min="6" max="6" width="10.28515625" customWidth="1"/>
    <col min="7" max="9" width="8.7109375" customWidth="1"/>
    <col min="10" max="10" width="10.28515625" customWidth="1"/>
    <col min="11" max="13" width="8.7109375" customWidth="1"/>
    <col min="14" max="14" width="10.28515625" customWidth="1"/>
    <col min="15" max="17" width="8.7109375" customWidth="1"/>
    <col min="18" max="18" width="10.28515625" customWidth="1"/>
    <col min="19" max="20" width="8.7109375" customWidth="1"/>
  </cols>
  <sheetData>
    <row r="1" spans="1:20" x14ac:dyDescent="0.25">
      <c r="A1" t="s">
        <v>23</v>
      </c>
      <c r="C1">
        <v>0</v>
      </c>
      <c r="G1">
        <v>-2.6059999999999999</v>
      </c>
      <c r="K1">
        <v>-4.7439999999999998</v>
      </c>
      <c r="O1">
        <v>-6.31</v>
      </c>
      <c r="S1">
        <v>-7.5030000000000001</v>
      </c>
    </row>
    <row r="2" spans="1:20" s="16" customFormat="1" ht="15.75" thickBot="1" x14ac:dyDescent="0.3"/>
    <row r="3" spans="1:20" ht="17.25" customHeight="1" thickBot="1" x14ac:dyDescent="0.3">
      <c r="A3" s="57" t="s">
        <v>0</v>
      </c>
      <c r="B3" s="60"/>
      <c r="C3" s="60"/>
      <c r="D3" s="58"/>
      <c r="E3" s="57" t="s">
        <v>1</v>
      </c>
      <c r="F3" s="60"/>
      <c r="G3" s="60"/>
      <c r="H3" s="58"/>
      <c r="I3" s="57" t="s">
        <v>9</v>
      </c>
      <c r="J3" s="60"/>
      <c r="K3" s="60"/>
      <c r="L3" s="58"/>
      <c r="M3" s="57" t="s">
        <v>2</v>
      </c>
      <c r="N3" s="60"/>
      <c r="O3" s="60"/>
      <c r="P3" s="58"/>
      <c r="Q3" s="57" t="s">
        <v>3</v>
      </c>
      <c r="R3" s="60"/>
      <c r="S3" s="60"/>
      <c r="T3" s="58"/>
    </row>
    <row r="4" spans="1:20" x14ac:dyDescent="0.25">
      <c r="A4" s="1" t="s">
        <v>4</v>
      </c>
      <c r="B4" s="4" t="s">
        <v>10</v>
      </c>
      <c r="C4" s="4" t="s">
        <v>11</v>
      </c>
      <c r="D4" s="4" t="s">
        <v>6</v>
      </c>
      <c r="E4" s="4" t="s">
        <v>4</v>
      </c>
      <c r="F4" s="4" t="s">
        <v>10</v>
      </c>
      <c r="G4" s="4" t="s">
        <v>11</v>
      </c>
      <c r="H4" s="4" t="s">
        <v>6</v>
      </c>
      <c r="I4" s="4" t="s">
        <v>4</v>
      </c>
      <c r="J4" s="4" t="s">
        <v>10</v>
      </c>
      <c r="K4" s="4" t="s">
        <v>11</v>
      </c>
      <c r="L4" s="4" t="s">
        <v>6</v>
      </c>
      <c r="M4" s="4" t="s">
        <v>4</v>
      </c>
      <c r="N4" s="4" t="s">
        <v>10</v>
      </c>
      <c r="O4" s="4" t="s">
        <v>11</v>
      </c>
      <c r="P4" s="4" t="s">
        <v>6</v>
      </c>
      <c r="Q4" s="4" t="s">
        <v>4</v>
      </c>
      <c r="R4" s="4" t="s">
        <v>10</v>
      </c>
      <c r="S4" s="4" t="s">
        <v>11</v>
      </c>
      <c r="T4" s="4" t="s">
        <v>6</v>
      </c>
    </row>
    <row r="5" spans="1:20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5.75" thickBot="1" x14ac:dyDescent="0.3">
      <c r="A6" s="3" t="s">
        <v>5</v>
      </c>
      <c r="B6" s="6"/>
      <c r="C6" s="6"/>
      <c r="D6" s="6" t="s">
        <v>7</v>
      </c>
      <c r="E6" s="6" t="s">
        <v>5</v>
      </c>
      <c r="F6" s="6"/>
      <c r="G6" s="6"/>
      <c r="H6" s="6" t="s">
        <v>7</v>
      </c>
      <c r="I6" s="6" t="s">
        <v>5</v>
      </c>
      <c r="J6" s="6"/>
      <c r="K6" s="6"/>
      <c r="L6" s="6" t="s">
        <v>7</v>
      </c>
      <c r="M6" s="6" t="s">
        <v>5</v>
      </c>
      <c r="N6" s="6"/>
      <c r="O6" s="6"/>
      <c r="P6" s="6" t="s">
        <v>8</v>
      </c>
      <c r="Q6" s="6" t="s">
        <v>5</v>
      </c>
      <c r="R6" s="6"/>
      <c r="S6" s="6"/>
      <c r="T6" s="6" t="s">
        <v>8</v>
      </c>
    </row>
    <row r="7" spans="1:20" ht="15.75" thickBot="1" x14ac:dyDescent="0.3">
      <c r="A7" s="7">
        <v>9</v>
      </c>
      <c r="B7" s="9">
        <f t="shared" ref="B7:B19" si="0">LOG(A7)</f>
        <v>0.95424250943932487</v>
      </c>
      <c r="C7" s="9">
        <f>B7-$C$1</f>
        <v>0.95424250943932487</v>
      </c>
      <c r="D7" s="8">
        <v>23.95</v>
      </c>
      <c r="E7" s="8">
        <v>13</v>
      </c>
      <c r="F7" s="9">
        <f t="shared" ref="F7:F19" si="1">LOG(E7)</f>
        <v>1.1139433523068367</v>
      </c>
      <c r="G7" s="9">
        <f>F7-$G$1</f>
        <v>3.7199433523068368</v>
      </c>
      <c r="H7" s="8">
        <v>18.89</v>
      </c>
      <c r="I7" s="8">
        <v>17</v>
      </c>
      <c r="J7" s="9">
        <f t="shared" ref="J7:J18" si="2">LOG(I7)</f>
        <v>1.2304489213782739</v>
      </c>
      <c r="K7" s="9">
        <f>J7-$K$1</f>
        <v>5.9744489213782739</v>
      </c>
      <c r="L7" s="8">
        <v>8.81</v>
      </c>
      <c r="M7" s="8">
        <v>15</v>
      </c>
      <c r="N7" s="9">
        <f t="shared" ref="N7:N18" si="3">LOG(M7)</f>
        <v>1.1760912590556813</v>
      </c>
      <c r="O7" s="9">
        <f>N7-$O$1</f>
        <v>7.486091259055681</v>
      </c>
      <c r="P7" s="8">
        <v>5.67</v>
      </c>
      <c r="Q7" s="8">
        <v>17</v>
      </c>
      <c r="R7" s="9">
        <f t="shared" ref="R7:R18" si="4">LOG(Q7)</f>
        <v>1.2304489213782739</v>
      </c>
      <c r="S7" s="9">
        <f>R7-$S$1</f>
        <v>8.7334489213782742</v>
      </c>
      <c r="T7" s="8">
        <v>4.92</v>
      </c>
    </row>
    <row r="8" spans="1:20" ht="15.75" thickBot="1" x14ac:dyDescent="0.3">
      <c r="A8" s="7">
        <v>17</v>
      </c>
      <c r="B8" s="9">
        <f t="shared" si="0"/>
        <v>1.2304489213782739</v>
      </c>
      <c r="C8" s="9">
        <f t="shared" ref="C8:C20" si="5">B8-$C$1</f>
        <v>1.2304489213782739</v>
      </c>
      <c r="D8" s="8">
        <v>23.91</v>
      </c>
      <c r="E8" s="8">
        <v>23</v>
      </c>
      <c r="F8" s="9">
        <f t="shared" si="1"/>
        <v>1.3617278360175928</v>
      </c>
      <c r="G8" s="9">
        <f t="shared" ref="G8:G19" si="6">F8-$G$1</f>
        <v>3.9677278360175929</v>
      </c>
      <c r="H8" s="8">
        <v>18.46</v>
      </c>
      <c r="I8" s="8">
        <v>31</v>
      </c>
      <c r="J8" s="9">
        <f t="shared" si="2"/>
        <v>1.4913616938342726</v>
      </c>
      <c r="K8" s="9">
        <f t="shared" ref="K8:K19" si="7">J8-$K$1</f>
        <v>6.2353616938342729</v>
      </c>
      <c r="L8" s="8">
        <v>8.61</v>
      </c>
      <c r="M8" s="8">
        <v>27</v>
      </c>
      <c r="N8" s="9">
        <f t="shared" si="3"/>
        <v>1.4313637641589874</v>
      </c>
      <c r="O8" s="9">
        <f t="shared" ref="O8:O19" si="8">N8-$O$1</f>
        <v>7.7413637641589865</v>
      </c>
      <c r="P8" s="8">
        <v>5.16</v>
      </c>
      <c r="Q8" s="8">
        <v>30</v>
      </c>
      <c r="R8" s="9">
        <f t="shared" si="4"/>
        <v>1.4771212547196624</v>
      </c>
      <c r="S8" s="9">
        <f t="shared" ref="S8:S19" si="9">R8-$S$1</f>
        <v>8.9801212547196627</v>
      </c>
      <c r="T8" s="8">
        <v>4.8600000000000003</v>
      </c>
    </row>
    <row r="9" spans="1:20" ht="15.75" thickBot="1" x14ac:dyDescent="0.3">
      <c r="A9" s="7">
        <v>29</v>
      </c>
      <c r="B9" s="9">
        <f t="shared" si="0"/>
        <v>1.4623979978989561</v>
      </c>
      <c r="C9" s="9">
        <f t="shared" si="5"/>
        <v>1.4623979978989561</v>
      </c>
      <c r="D9" s="8">
        <v>23.84</v>
      </c>
      <c r="E9" s="8">
        <v>41</v>
      </c>
      <c r="F9" s="9">
        <f t="shared" si="1"/>
        <v>1.6127838567197355</v>
      </c>
      <c r="G9" s="9">
        <f t="shared" si="6"/>
        <v>4.2187838567197353</v>
      </c>
      <c r="H9" s="8">
        <v>18.04</v>
      </c>
      <c r="I9" s="8">
        <v>55</v>
      </c>
      <c r="J9" s="9">
        <f t="shared" si="2"/>
        <v>1.7403626894942439</v>
      </c>
      <c r="K9" s="9">
        <f t="shared" si="7"/>
        <v>6.4843626894942439</v>
      </c>
      <c r="L9" s="8">
        <v>8.34</v>
      </c>
      <c r="M9" s="8">
        <v>48</v>
      </c>
      <c r="N9" s="9">
        <f t="shared" si="3"/>
        <v>1.6812412373755872</v>
      </c>
      <c r="O9" s="9">
        <f t="shared" si="8"/>
        <v>7.9912412373755863</v>
      </c>
      <c r="P9" s="8">
        <v>5</v>
      </c>
      <c r="Q9" s="8">
        <v>55</v>
      </c>
      <c r="R9" s="9">
        <f t="shared" si="4"/>
        <v>1.7403626894942439</v>
      </c>
      <c r="S9" s="9">
        <f t="shared" si="9"/>
        <v>9.2433626894942442</v>
      </c>
      <c r="T9" s="8">
        <v>4.76</v>
      </c>
    </row>
    <row r="10" spans="1:20" ht="15.75" thickBot="1" x14ac:dyDescent="0.3">
      <c r="A10" s="7">
        <v>52</v>
      </c>
      <c r="B10" s="9">
        <f t="shared" si="0"/>
        <v>1.7160033436347992</v>
      </c>
      <c r="C10" s="9">
        <f t="shared" si="5"/>
        <v>1.7160033436347992</v>
      </c>
      <c r="D10" s="8">
        <v>23.72</v>
      </c>
      <c r="E10" s="8">
        <v>73</v>
      </c>
      <c r="F10" s="9">
        <f t="shared" si="1"/>
        <v>1.8633228601204559</v>
      </c>
      <c r="G10" s="9">
        <f t="shared" si="6"/>
        <v>4.4693228601204558</v>
      </c>
      <c r="H10" s="8">
        <v>17.36</v>
      </c>
      <c r="I10" s="8">
        <v>98</v>
      </c>
      <c r="J10" s="9">
        <f t="shared" si="2"/>
        <v>1.9912260756924949</v>
      </c>
      <c r="K10" s="9">
        <f t="shared" si="7"/>
        <v>6.7352260756924949</v>
      </c>
      <c r="L10" s="8">
        <v>7.91</v>
      </c>
      <c r="M10" s="8">
        <v>85</v>
      </c>
      <c r="N10" s="9">
        <f t="shared" si="3"/>
        <v>1.9294189257142926</v>
      </c>
      <c r="O10" s="9">
        <f t="shared" si="8"/>
        <v>8.2394189257142916</v>
      </c>
      <c r="P10" s="8">
        <v>4.97</v>
      </c>
      <c r="Q10" s="8">
        <v>97</v>
      </c>
      <c r="R10" s="9">
        <f t="shared" si="4"/>
        <v>1.9867717342662448</v>
      </c>
      <c r="S10" s="9">
        <f t="shared" si="9"/>
        <v>9.4897717342662453</v>
      </c>
      <c r="T10" s="8">
        <v>4.59</v>
      </c>
    </row>
    <row r="11" spans="1:20" ht="15.75" thickBot="1" x14ac:dyDescent="0.3">
      <c r="A11" s="7">
        <v>93</v>
      </c>
      <c r="B11" s="9">
        <f t="shared" si="0"/>
        <v>1.968482948553935</v>
      </c>
      <c r="C11" s="9">
        <f t="shared" si="5"/>
        <v>1.968482948553935</v>
      </c>
      <c r="D11" s="8">
        <v>23.72</v>
      </c>
      <c r="E11" s="8">
        <v>131</v>
      </c>
      <c r="F11" s="9">
        <f t="shared" si="1"/>
        <v>2.1172712956557644</v>
      </c>
      <c r="G11" s="9">
        <f t="shared" si="6"/>
        <v>4.7232712956557643</v>
      </c>
      <c r="H11" s="8">
        <v>16.27</v>
      </c>
      <c r="I11" s="8">
        <v>174</v>
      </c>
      <c r="J11" s="9">
        <f t="shared" si="2"/>
        <v>2.2405492482825999</v>
      </c>
      <c r="K11" s="9">
        <f t="shared" si="7"/>
        <v>6.9845492482825993</v>
      </c>
      <c r="L11" s="8">
        <v>7.27</v>
      </c>
      <c r="M11" s="8">
        <v>152</v>
      </c>
      <c r="N11" s="9">
        <f t="shared" si="3"/>
        <v>2.1818435879447726</v>
      </c>
      <c r="O11" s="9">
        <f t="shared" si="8"/>
        <v>8.4918435879447713</v>
      </c>
      <c r="P11" s="8">
        <v>4.95</v>
      </c>
      <c r="Q11" s="8">
        <v>174</v>
      </c>
      <c r="R11" s="9">
        <f t="shared" si="4"/>
        <v>2.2405492482825999</v>
      </c>
      <c r="S11" s="9">
        <f t="shared" si="9"/>
        <v>9.7435492482825996</v>
      </c>
      <c r="T11" s="8">
        <v>4.32</v>
      </c>
    </row>
    <row r="12" spans="1:20" ht="15.75" thickBot="1" x14ac:dyDescent="0.3">
      <c r="A12" s="7">
        <v>166</v>
      </c>
      <c r="B12" s="9">
        <f t="shared" si="0"/>
        <v>2.220108088040055</v>
      </c>
      <c r="C12" s="9">
        <f t="shared" si="5"/>
        <v>2.220108088040055</v>
      </c>
      <c r="D12" s="8">
        <v>23.51</v>
      </c>
      <c r="E12" s="8">
        <v>233</v>
      </c>
      <c r="F12" s="9">
        <f t="shared" si="1"/>
        <v>2.3673559210260189</v>
      </c>
      <c r="G12" s="9">
        <f t="shared" si="6"/>
        <v>4.9733559210260188</v>
      </c>
      <c r="H12" s="8">
        <v>14.67</v>
      </c>
      <c r="I12" s="8">
        <v>310</v>
      </c>
      <c r="J12" s="9">
        <f t="shared" si="2"/>
        <v>2.4913616938342726</v>
      </c>
      <c r="K12" s="9">
        <f t="shared" si="7"/>
        <v>7.2353616938342729</v>
      </c>
      <c r="L12" s="8">
        <v>6.46</v>
      </c>
      <c r="M12" s="8">
        <v>271</v>
      </c>
      <c r="N12" s="9">
        <f t="shared" si="3"/>
        <v>2.4329692908744058</v>
      </c>
      <c r="O12" s="9">
        <f t="shared" si="8"/>
        <v>8.7429692908744059</v>
      </c>
      <c r="P12" s="8">
        <v>4.92</v>
      </c>
      <c r="Q12" s="8">
        <v>309</v>
      </c>
      <c r="R12" s="9">
        <f t="shared" si="4"/>
        <v>2.4899584794248346</v>
      </c>
      <c r="S12" s="9">
        <f t="shared" si="9"/>
        <v>9.9929584794248356</v>
      </c>
      <c r="T12" s="8">
        <v>3.92</v>
      </c>
    </row>
    <row r="13" spans="1:20" ht="15.75" thickBot="1" x14ac:dyDescent="0.3">
      <c r="A13" s="7">
        <v>295</v>
      </c>
      <c r="B13" s="9">
        <f t="shared" si="0"/>
        <v>2.469822015978163</v>
      </c>
      <c r="C13" s="9">
        <f t="shared" si="5"/>
        <v>2.469822015978163</v>
      </c>
      <c r="D13" s="8">
        <v>23.16</v>
      </c>
      <c r="E13" s="8">
        <v>415</v>
      </c>
      <c r="F13" s="9">
        <f t="shared" si="1"/>
        <v>2.6180480967120925</v>
      </c>
      <c r="G13" s="9">
        <f t="shared" si="6"/>
        <v>5.2240480967120924</v>
      </c>
      <c r="H13" s="8">
        <v>12.63</v>
      </c>
      <c r="I13" s="8">
        <v>552</v>
      </c>
      <c r="J13" s="9">
        <f t="shared" si="2"/>
        <v>2.741939077729199</v>
      </c>
      <c r="K13" s="9">
        <f t="shared" si="7"/>
        <v>7.4859390777291992</v>
      </c>
      <c r="L13" s="8">
        <v>5.67</v>
      </c>
      <c r="M13" s="8">
        <v>482</v>
      </c>
      <c r="N13" s="9">
        <f t="shared" si="3"/>
        <v>2.6830470382388496</v>
      </c>
      <c r="O13" s="9">
        <f t="shared" si="8"/>
        <v>8.9930470382388492</v>
      </c>
      <c r="P13" s="8">
        <v>4.8600000000000003</v>
      </c>
      <c r="Q13" s="8">
        <v>550</v>
      </c>
      <c r="R13" s="9">
        <f t="shared" si="4"/>
        <v>2.7403626894942437</v>
      </c>
      <c r="S13" s="9">
        <f t="shared" si="9"/>
        <v>10.243362689494244</v>
      </c>
      <c r="T13" s="8">
        <v>3.41</v>
      </c>
    </row>
    <row r="14" spans="1:20" ht="15.75" thickBot="1" x14ac:dyDescent="0.3">
      <c r="A14" s="7">
        <v>525</v>
      </c>
      <c r="B14" s="9">
        <f t="shared" si="0"/>
        <v>2.720159303405957</v>
      </c>
      <c r="C14" s="9">
        <f t="shared" si="5"/>
        <v>2.720159303405957</v>
      </c>
      <c r="D14" s="8">
        <v>22.61</v>
      </c>
      <c r="E14" s="8">
        <v>738</v>
      </c>
      <c r="F14" s="9">
        <f t="shared" si="1"/>
        <v>2.8680563618230415</v>
      </c>
      <c r="G14" s="9">
        <f t="shared" si="6"/>
        <v>5.4740563618230418</v>
      </c>
      <c r="H14" s="8">
        <v>10.61</v>
      </c>
      <c r="I14" s="8">
        <v>982</v>
      </c>
      <c r="J14" s="9">
        <f t="shared" si="2"/>
        <v>2.9921114877869495</v>
      </c>
      <c r="K14" s="9">
        <f t="shared" si="7"/>
        <v>7.7361114877869497</v>
      </c>
      <c r="L14" s="8">
        <v>5.16</v>
      </c>
      <c r="M14" s="8">
        <v>857</v>
      </c>
      <c r="N14" s="9">
        <f t="shared" si="3"/>
        <v>2.9329808219231981</v>
      </c>
      <c r="O14" s="9">
        <f t="shared" si="8"/>
        <v>9.2429808219231973</v>
      </c>
      <c r="P14" s="8">
        <v>4.76</v>
      </c>
      <c r="Q14" s="8">
        <v>979</v>
      </c>
      <c r="R14" s="9">
        <f t="shared" si="4"/>
        <v>2.9907826918031377</v>
      </c>
      <c r="S14" s="9">
        <f t="shared" si="9"/>
        <v>10.493782691803137</v>
      </c>
      <c r="T14" s="8">
        <v>2.92</v>
      </c>
    </row>
    <row r="15" spans="1:20" ht="15.75" thickBot="1" x14ac:dyDescent="0.3">
      <c r="A15" s="7">
        <v>933</v>
      </c>
      <c r="B15" s="9">
        <f t="shared" si="0"/>
        <v>2.9698816437465001</v>
      </c>
      <c r="C15" s="9">
        <f t="shared" si="5"/>
        <v>2.9698816437465001</v>
      </c>
      <c r="D15" s="8">
        <v>21.79</v>
      </c>
      <c r="E15" s="8">
        <v>1312</v>
      </c>
      <c r="F15" s="9">
        <f t="shared" si="1"/>
        <v>3.1179338350396413</v>
      </c>
      <c r="G15" s="9">
        <f t="shared" si="6"/>
        <v>5.7239338350396416</v>
      </c>
      <c r="H15" s="8">
        <v>9.2899999999999991</v>
      </c>
      <c r="I15" s="8">
        <v>1746</v>
      </c>
      <c r="J15" s="9">
        <f t="shared" si="2"/>
        <v>3.2420442393695508</v>
      </c>
      <c r="K15" s="9">
        <f t="shared" si="7"/>
        <v>7.9860442393695505</v>
      </c>
      <c r="L15" s="8">
        <v>5</v>
      </c>
      <c r="M15" s="8">
        <v>1524</v>
      </c>
      <c r="N15" s="9">
        <f t="shared" si="3"/>
        <v>3.1829849670035819</v>
      </c>
      <c r="O15" s="9">
        <f t="shared" si="8"/>
        <v>9.4929849670035811</v>
      </c>
      <c r="P15" s="8">
        <v>4.59</v>
      </c>
      <c r="Q15" s="8">
        <v>1742</v>
      </c>
      <c r="R15" s="9">
        <f t="shared" si="4"/>
        <v>3.2410481506716442</v>
      </c>
      <c r="S15" s="9">
        <f t="shared" si="9"/>
        <v>10.744048150671645</v>
      </c>
      <c r="T15" s="8">
        <v>2.6</v>
      </c>
    </row>
    <row r="16" spans="1:20" ht="15.75" thickBot="1" x14ac:dyDescent="0.3">
      <c r="A16" s="7">
        <v>1660</v>
      </c>
      <c r="B16" s="9">
        <f t="shared" si="0"/>
        <v>3.220108088040055</v>
      </c>
      <c r="C16" s="9">
        <f t="shared" si="5"/>
        <v>3.220108088040055</v>
      </c>
      <c r="D16" s="8">
        <v>20.73</v>
      </c>
      <c r="E16" s="8">
        <v>2334</v>
      </c>
      <c r="F16" s="9">
        <f t="shared" si="1"/>
        <v>3.3681008517093516</v>
      </c>
      <c r="G16" s="9">
        <f t="shared" si="6"/>
        <v>5.9741008517093519</v>
      </c>
      <c r="H16" s="8">
        <v>8.81</v>
      </c>
      <c r="I16" s="8">
        <v>3106</v>
      </c>
      <c r="J16" s="9">
        <f t="shared" si="2"/>
        <v>3.4922014513925399</v>
      </c>
      <c r="K16" s="9">
        <f t="shared" si="7"/>
        <v>8.2362014513925388</v>
      </c>
      <c r="L16" s="8">
        <v>4.97</v>
      </c>
      <c r="M16" s="8">
        <v>2711</v>
      </c>
      <c r="N16" s="9">
        <f t="shared" si="3"/>
        <v>3.4331295175804857</v>
      </c>
      <c r="O16" s="9">
        <f t="shared" si="8"/>
        <v>9.7431295175804848</v>
      </c>
      <c r="P16" s="8">
        <v>4.32</v>
      </c>
      <c r="Q16" s="8">
        <v>3097</v>
      </c>
      <c r="R16" s="9">
        <f t="shared" si="4"/>
        <v>3.490941205356787</v>
      </c>
      <c r="S16" s="9">
        <f t="shared" si="9"/>
        <v>10.993941205356787</v>
      </c>
      <c r="T16" s="8">
        <v>2.5</v>
      </c>
    </row>
    <row r="17" spans="1:20" ht="15.75" thickBot="1" x14ac:dyDescent="0.3">
      <c r="A17" s="7">
        <v>2952</v>
      </c>
      <c r="B17" s="9">
        <f t="shared" si="0"/>
        <v>3.470116353151004</v>
      </c>
      <c r="C17" s="9">
        <f t="shared" si="5"/>
        <v>3.470116353151004</v>
      </c>
      <c r="D17" s="8">
        <v>19.66</v>
      </c>
      <c r="E17" s="8">
        <v>4151</v>
      </c>
      <c r="F17" s="9">
        <f t="shared" si="1"/>
        <v>3.6181527333785195</v>
      </c>
      <c r="G17" s="9">
        <f t="shared" si="6"/>
        <v>6.2241527333785189</v>
      </c>
      <c r="H17" s="8">
        <v>8.61</v>
      </c>
      <c r="I17" s="8">
        <v>5523</v>
      </c>
      <c r="J17" s="9">
        <f t="shared" si="2"/>
        <v>3.7421750432236771</v>
      </c>
      <c r="K17" s="9">
        <f t="shared" si="7"/>
        <v>8.4861750432236764</v>
      </c>
      <c r="L17" s="8">
        <v>4.95</v>
      </c>
      <c r="M17" s="8">
        <v>4822</v>
      </c>
      <c r="N17" s="9">
        <f t="shared" si="3"/>
        <v>3.6832272060414351</v>
      </c>
      <c r="O17" s="9">
        <f t="shared" si="8"/>
        <v>9.9932272060414356</v>
      </c>
      <c r="P17" s="8">
        <v>3.92</v>
      </c>
      <c r="Q17" s="8">
        <v>5508</v>
      </c>
      <c r="R17" s="9">
        <f t="shared" si="4"/>
        <v>3.7409939315848861</v>
      </c>
      <c r="S17" s="9">
        <f t="shared" si="9"/>
        <v>11.243993931584885</v>
      </c>
      <c r="T17" s="8">
        <v>2.5</v>
      </c>
    </row>
    <row r="18" spans="1:20" ht="15.75" thickBot="1" x14ac:dyDescent="0.3">
      <c r="A18" s="7">
        <v>5250</v>
      </c>
      <c r="B18" s="9">
        <f t="shared" si="0"/>
        <v>3.720159303405957</v>
      </c>
      <c r="C18" s="9">
        <f t="shared" si="5"/>
        <v>3.720159303405957</v>
      </c>
      <c r="D18" s="8">
        <v>18.89</v>
      </c>
      <c r="E18" s="8">
        <v>7381</v>
      </c>
      <c r="F18" s="9">
        <f t="shared" si="1"/>
        <v>3.868115205327217</v>
      </c>
      <c r="G18" s="9">
        <f t="shared" si="6"/>
        <v>6.4741152053272168</v>
      </c>
      <c r="H18" s="8">
        <v>8.34</v>
      </c>
      <c r="I18" s="8">
        <v>9822</v>
      </c>
      <c r="J18" s="9">
        <f t="shared" si="2"/>
        <v>3.9921999297955852</v>
      </c>
      <c r="K18" s="9">
        <f t="shared" si="7"/>
        <v>8.7361999297955855</v>
      </c>
      <c r="L18" s="8">
        <v>4.92</v>
      </c>
      <c r="M18" s="8">
        <v>8574</v>
      </c>
      <c r="N18" s="9">
        <f t="shared" si="3"/>
        <v>3.9331834791746139</v>
      </c>
      <c r="O18" s="9">
        <f t="shared" si="8"/>
        <v>10.243183479174613</v>
      </c>
      <c r="P18" s="8">
        <v>3.41</v>
      </c>
      <c r="Q18" s="8">
        <v>8000</v>
      </c>
      <c r="R18" s="9">
        <f t="shared" si="4"/>
        <v>3.9030899869919438</v>
      </c>
      <c r="S18" s="9">
        <f t="shared" si="9"/>
        <v>11.406089986991944</v>
      </c>
      <c r="T18" s="8">
        <v>2.5</v>
      </c>
    </row>
    <row r="19" spans="1:20" ht="15.75" thickBot="1" x14ac:dyDescent="0.3">
      <c r="A19" s="7">
        <v>9337</v>
      </c>
      <c r="B19" s="9">
        <f t="shared" si="0"/>
        <v>3.9702073588068547</v>
      </c>
      <c r="C19" s="9">
        <f t="shared" si="5"/>
        <v>3.9702073588068547</v>
      </c>
      <c r="D19" s="8">
        <v>18.46</v>
      </c>
      <c r="E19" s="8">
        <v>13126</v>
      </c>
      <c r="F19" s="9">
        <f t="shared" si="1"/>
        <v>4.1181323999209045</v>
      </c>
      <c r="G19" s="9">
        <f t="shared" si="6"/>
        <v>6.7241323999209044</v>
      </c>
      <c r="H19" s="8">
        <v>7.91</v>
      </c>
      <c r="I19" s="8">
        <v>17467</v>
      </c>
      <c r="J19" s="9">
        <f>LOG(I19)</f>
        <v>4.2422183202476127</v>
      </c>
      <c r="K19" s="9">
        <f t="shared" si="7"/>
        <v>8.9862183202476125</v>
      </c>
      <c r="L19" s="8">
        <v>4.8600000000000003</v>
      </c>
      <c r="M19" s="8">
        <v>15248</v>
      </c>
      <c r="N19" s="9">
        <f>LOG(M19)</f>
        <v>4.1832128832942512</v>
      </c>
      <c r="O19" s="9">
        <f t="shared" si="8"/>
        <v>10.493212883294252</v>
      </c>
      <c r="P19" s="8">
        <v>2.92</v>
      </c>
      <c r="Q19" s="8">
        <v>17500</v>
      </c>
      <c r="R19" s="9">
        <f>LOG(Q19)</f>
        <v>4.2430380486862944</v>
      </c>
      <c r="S19" s="9">
        <f t="shared" si="9"/>
        <v>11.746038048686295</v>
      </c>
      <c r="T19" s="8">
        <v>2.5</v>
      </c>
    </row>
    <row r="20" spans="1:20" ht="15.75" thickBot="1" x14ac:dyDescent="0.3">
      <c r="A20" s="7">
        <v>16600</v>
      </c>
      <c r="B20" s="9">
        <f>LOG(A20)</f>
        <v>4.220108088040055</v>
      </c>
      <c r="C20" s="9">
        <f t="shared" si="5"/>
        <v>4.220108088040055</v>
      </c>
      <c r="D20" s="8">
        <v>18.04</v>
      </c>
      <c r="F20" s="10"/>
      <c r="G20" s="10"/>
    </row>
    <row r="28" spans="1:20" x14ac:dyDescent="0.25">
      <c r="R28" s="15"/>
      <c r="T28" s="16"/>
    </row>
    <row r="29" spans="1:20" x14ac:dyDescent="0.25">
      <c r="R29" s="19"/>
      <c r="T29" s="16"/>
    </row>
    <row r="30" spans="1:20" x14ac:dyDescent="0.25">
      <c r="T30" s="16"/>
    </row>
    <row r="31" spans="1:20" x14ac:dyDescent="0.25">
      <c r="T31" s="16"/>
    </row>
    <row r="32" spans="1:20" x14ac:dyDescent="0.25">
      <c r="T32" s="16"/>
    </row>
    <row r="33" spans="20:20" x14ac:dyDescent="0.25">
      <c r="T33" s="16"/>
    </row>
    <row r="34" spans="20:20" x14ac:dyDescent="0.25">
      <c r="T34" s="16"/>
    </row>
    <row r="35" spans="20:20" x14ac:dyDescent="0.25">
      <c r="T35" s="16"/>
    </row>
    <row r="36" spans="20:20" x14ac:dyDescent="0.25">
      <c r="T36" s="16"/>
    </row>
    <row r="37" spans="20:20" x14ac:dyDescent="0.25">
      <c r="T37" s="16"/>
    </row>
    <row r="38" spans="20:20" x14ac:dyDescent="0.25">
      <c r="T38" s="16"/>
    </row>
    <row r="39" spans="20:20" x14ac:dyDescent="0.25">
      <c r="T39" s="16"/>
    </row>
    <row r="40" spans="20:20" x14ac:dyDescent="0.25">
      <c r="T40" s="49"/>
    </row>
    <row r="41" spans="20:20" x14ac:dyDescent="0.25">
      <c r="T41" s="16"/>
    </row>
    <row r="42" spans="20:20" x14ac:dyDescent="0.25">
      <c r="T42" s="16"/>
    </row>
  </sheetData>
  <mergeCells count="5">
    <mergeCell ref="A3:D3"/>
    <mergeCell ref="E3:H3"/>
    <mergeCell ref="I3:L3"/>
    <mergeCell ref="M3:P3"/>
    <mergeCell ref="Q3:T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S35" sqref="S35"/>
    </sheetView>
  </sheetViews>
  <sheetFormatPr defaultRowHeight="15" x14ac:dyDescent="0.25"/>
  <cols>
    <col min="3" max="3" width="10.28515625" customWidth="1"/>
    <col min="5" max="5" width="9.85546875" customWidth="1"/>
  </cols>
  <sheetData>
    <row r="1" spans="1:15" x14ac:dyDescent="0.25">
      <c r="B1" s="17" t="s">
        <v>20</v>
      </c>
      <c r="C1" s="17" t="s">
        <v>22</v>
      </c>
      <c r="D1" s="17" t="s">
        <v>17</v>
      </c>
    </row>
    <row r="2" spans="1:15" x14ac:dyDescent="0.25">
      <c r="B2" s="17" t="s">
        <v>13</v>
      </c>
      <c r="C2" s="17" t="s">
        <v>13</v>
      </c>
      <c r="D2" s="17" t="s">
        <v>18</v>
      </c>
    </row>
    <row r="3" spans="1:15" x14ac:dyDescent="0.25">
      <c r="A3" s="11" t="s">
        <v>12</v>
      </c>
      <c r="B3" s="17" t="s">
        <v>21</v>
      </c>
      <c r="C3" s="17" t="s">
        <v>21</v>
      </c>
      <c r="D3" s="17" t="s">
        <v>19</v>
      </c>
      <c r="G3" s="14" t="s">
        <v>14</v>
      </c>
      <c r="H3" s="18">
        <v>14.937543207526344</v>
      </c>
    </row>
    <row r="4" spans="1:15" x14ac:dyDescent="0.25">
      <c r="A4" s="11">
        <v>27</v>
      </c>
      <c r="B4" s="13">
        <f>'Test Data Master Curve'!C1</f>
        <v>0</v>
      </c>
      <c r="C4">
        <f>-_C1*(A4-T0)/(_C2+(A4-T0))</f>
        <v>0</v>
      </c>
      <c r="D4">
        <v>0</v>
      </c>
      <c r="G4" s="14" t="s">
        <v>15</v>
      </c>
      <c r="H4" s="18">
        <v>38.130640330627436</v>
      </c>
    </row>
    <row r="5" spans="1:15" ht="18" x14ac:dyDescent="0.35">
      <c r="A5" s="11">
        <v>35</v>
      </c>
      <c r="B5" s="13">
        <f>'Test Data Master Curve'!G1</f>
        <v>-2.6059999999999999</v>
      </c>
      <c r="C5">
        <f>-_C1*(A5-T0)/(_C2+(A5-T0))</f>
        <v>-2.5904766290632022</v>
      </c>
      <c r="D5" s="15">
        <f t="shared" ref="D5:D8" si="0">(1-C5/B5)^2</f>
        <v>3.5483238285550849E-5</v>
      </c>
      <c r="G5" s="14" t="s">
        <v>16</v>
      </c>
      <c r="H5">
        <v>27</v>
      </c>
    </row>
    <row r="6" spans="1:15" x14ac:dyDescent="0.25">
      <c r="A6" s="11">
        <v>45</v>
      </c>
      <c r="B6" s="13">
        <f>'Test Data Master Curve'!K1</f>
        <v>-4.7439999999999998</v>
      </c>
      <c r="C6">
        <f>-_C1*(A6-T0)/(_C2+(A6-T0))</f>
        <v>-4.7901783438013492</v>
      </c>
      <c r="D6" s="15">
        <f t="shared" si="0"/>
        <v>9.4751772907591988E-5</v>
      </c>
    </row>
    <row r="7" spans="1:15" x14ac:dyDescent="0.25">
      <c r="A7" s="11">
        <v>55</v>
      </c>
      <c r="B7" s="13">
        <f>'Test Data Master Curve'!O1</f>
        <v>-6.31</v>
      </c>
      <c r="C7">
        <f>-_C1*(A7-T0)/(_C2+(A7-T0))</f>
        <v>-6.3246205952285433</v>
      </c>
      <c r="D7" s="15">
        <f t="shared" si="0"/>
        <v>5.3687278472006188E-6</v>
      </c>
    </row>
    <row r="8" spans="1:15" x14ac:dyDescent="0.25">
      <c r="A8" s="11">
        <v>65</v>
      </c>
      <c r="B8" s="13">
        <f>'Test Data Master Curve'!S1</f>
        <v>-7.5030000000000001</v>
      </c>
      <c r="C8">
        <f>-_C1*(A8-T0)/(_C2+(A8-T0))</f>
        <v>-7.4559551767968539</v>
      </c>
      <c r="D8" s="15">
        <f t="shared" si="0"/>
        <v>3.9314593416537036E-5</v>
      </c>
    </row>
    <row r="9" spans="1:15" x14ac:dyDescent="0.25">
      <c r="D9" s="15">
        <f>SUM(D5:D8)</f>
        <v>1.749183324568805E-4</v>
      </c>
      <c r="E9" s="14" t="s">
        <v>24</v>
      </c>
    </row>
    <row r="12" spans="1:15" x14ac:dyDescent="0.25">
      <c r="N12" s="17" t="s">
        <v>25</v>
      </c>
      <c r="O12" s="17" t="s">
        <v>22</v>
      </c>
    </row>
    <row r="13" spans="1:15" x14ac:dyDescent="0.25">
      <c r="N13" s="17">
        <v>10</v>
      </c>
      <c r="O13" s="12">
        <f t="shared" ref="O13:O24" si="1">-_C1*(N13-T0)/(_C2+(N13-T0))</f>
        <v>12.017536172809754</v>
      </c>
    </row>
    <row r="14" spans="1:15" x14ac:dyDescent="0.25">
      <c r="N14" s="17">
        <v>15</v>
      </c>
      <c r="O14" s="12">
        <f t="shared" si="1"/>
        <v>6.8597828534733063</v>
      </c>
    </row>
    <row r="15" spans="1:15" x14ac:dyDescent="0.25">
      <c r="N15" s="17">
        <v>20</v>
      </c>
      <c r="O15" s="12">
        <f t="shared" si="1"/>
        <v>3.3588387949030327</v>
      </c>
    </row>
    <row r="16" spans="1:15" x14ac:dyDescent="0.25">
      <c r="N16" s="17">
        <v>30</v>
      </c>
      <c r="O16" s="12">
        <f t="shared" si="1"/>
        <v>-1.0895193768527316</v>
      </c>
    </row>
    <row r="17" spans="14:15" x14ac:dyDescent="0.25">
      <c r="N17" s="17">
        <v>40</v>
      </c>
      <c r="O17" s="12">
        <f t="shared" si="1"/>
        <v>-3.7978804967463535</v>
      </c>
    </row>
    <row r="18" spans="14:15" x14ac:dyDescent="0.25">
      <c r="N18" s="17">
        <v>50</v>
      </c>
      <c r="O18" s="12">
        <f t="shared" si="1"/>
        <v>-5.6201520532899609</v>
      </c>
    </row>
    <row r="19" spans="14:15" x14ac:dyDescent="0.25">
      <c r="N19" s="17">
        <v>60</v>
      </c>
      <c r="O19" s="12">
        <f t="shared" si="1"/>
        <v>-6.9300504474176599</v>
      </c>
    </row>
    <row r="20" spans="14:15" x14ac:dyDescent="0.25">
      <c r="N20" s="17">
        <v>70</v>
      </c>
      <c r="O20" s="12">
        <f t="shared" si="1"/>
        <v>-7.9170379440621046</v>
      </c>
    </row>
    <row r="21" spans="14:15" x14ac:dyDescent="0.25">
      <c r="N21" s="17">
        <v>80</v>
      </c>
      <c r="O21" s="12">
        <f t="shared" si="1"/>
        <v>-8.6874160779140599</v>
      </c>
    </row>
    <row r="22" spans="14:15" x14ac:dyDescent="0.25">
      <c r="N22" s="17">
        <v>80</v>
      </c>
      <c r="O22" s="12">
        <f t="shared" si="1"/>
        <v>-8.6874160779140599</v>
      </c>
    </row>
    <row r="23" spans="14:15" x14ac:dyDescent="0.25">
      <c r="N23" s="17">
        <v>100</v>
      </c>
      <c r="O23" s="12">
        <f t="shared" si="1"/>
        <v>-9.8122412586234269</v>
      </c>
    </row>
    <row r="24" spans="14:15" x14ac:dyDescent="0.25">
      <c r="N24" s="17">
        <v>110</v>
      </c>
      <c r="O24" s="12">
        <f t="shared" si="1"/>
        <v>-10.235363099217462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72"/>
  <sheetViews>
    <sheetView topLeftCell="A4" workbookViewId="0">
      <selection activeCell="R8" sqref="R8"/>
    </sheetView>
  </sheetViews>
  <sheetFormatPr defaultRowHeight="15" x14ac:dyDescent="0.25"/>
  <cols>
    <col min="1" max="1" width="7.7109375" customWidth="1"/>
    <col min="3" max="3" width="9.7109375" customWidth="1"/>
    <col min="5" max="5" width="9.5703125" bestFit="1" customWidth="1"/>
    <col min="7" max="7" width="9.5703125" style="16" bestFit="1" customWidth="1"/>
    <col min="8" max="8" width="9.140625" style="16"/>
    <col min="9" max="9" width="10" bestFit="1" customWidth="1"/>
    <col min="11" max="11" width="5.28515625" customWidth="1"/>
    <col min="12" max="13" width="10.7109375" customWidth="1"/>
  </cols>
  <sheetData>
    <row r="2" spans="1:14" s="16" customFormat="1" x14ac:dyDescent="0.25">
      <c r="L2" s="63" t="s">
        <v>26</v>
      </c>
      <c r="M2" s="63"/>
    </row>
    <row r="4" spans="1:14" s="16" customFormat="1" ht="15.75" thickBot="1" x14ac:dyDescent="0.3">
      <c r="L4" s="17" t="s">
        <v>27</v>
      </c>
      <c r="M4" s="17"/>
      <c r="N4" s="17" t="s">
        <v>28</v>
      </c>
    </row>
    <row r="5" spans="1:14" s="16" customFormat="1" ht="18" thickBot="1" x14ac:dyDescent="0.3">
      <c r="A5" s="61" t="s">
        <v>31</v>
      </c>
      <c r="B5" s="62"/>
      <c r="L5" s="17" t="s">
        <v>28</v>
      </c>
      <c r="M5" s="17" t="s">
        <v>4</v>
      </c>
      <c r="N5" s="17" t="s">
        <v>6</v>
      </c>
    </row>
    <row r="6" spans="1:14" x14ac:dyDescent="0.25">
      <c r="A6" s="37" t="s">
        <v>41</v>
      </c>
      <c r="B6" s="38" t="s">
        <v>51</v>
      </c>
      <c r="L6" s="17" t="s">
        <v>6</v>
      </c>
      <c r="M6" s="17" t="s">
        <v>29</v>
      </c>
      <c r="N6" s="17" t="s">
        <v>30</v>
      </c>
    </row>
    <row r="7" spans="1:14" x14ac:dyDescent="0.25">
      <c r="A7" s="23">
        <f>10^('Test Data Master Curve'!C7)</f>
        <v>9.0000000000000018</v>
      </c>
      <c r="B7" s="24">
        <f>'Test Data Master Curve'!D7</f>
        <v>23.95</v>
      </c>
      <c r="L7" s="22">
        <f t="shared" ref="L7:L41" si="0">N7/$N$7</f>
        <v>1</v>
      </c>
      <c r="M7">
        <f>A7</f>
        <v>9.0000000000000018</v>
      </c>
      <c r="N7">
        <f>B7</f>
        <v>23.95</v>
      </c>
    </row>
    <row r="8" spans="1:14" x14ac:dyDescent="0.25">
      <c r="A8" s="23">
        <f>10^('Test Data Master Curve'!C8)</f>
        <v>17</v>
      </c>
      <c r="B8" s="24">
        <f>'Test Data Master Curve'!D8</f>
        <v>23.91</v>
      </c>
      <c r="L8" s="22">
        <f t="shared" si="0"/>
        <v>0.99832985386221296</v>
      </c>
      <c r="M8" s="16">
        <f t="shared" ref="M8:M17" si="1">A8</f>
        <v>17</v>
      </c>
      <c r="N8" s="16">
        <f t="shared" ref="N8:N17" si="2">B8</f>
        <v>23.91</v>
      </c>
    </row>
    <row r="9" spans="1:14" x14ac:dyDescent="0.25">
      <c r="A9" s="23">
        <f>10^('Test Data Master Curve'!C9)</f>
        <v>29.000000000000004</v>
      </c>
      <c r="B9" s="24">
        <f>'Test Data Master Curve'!D9</f>
        <v>23.84</v>
      </c>
      <c r="L9" s="22">
        <f t="shared" si="0"/>
        <v>0.99540709812108563</v>
      </c>
      <c r="M9" s="16">
        <f t="shared" si="1"/>
        <v>29.000000000000004</v>
      </c>
      <c r="N9" s="16">
        <f t="shared" si="2"/>
        <v>23.84</v>
      </c>
    </row>
    <row r="10" spans="1:14" x14ac:dyDescent="0.25">
      <c r="A10" s="23">
        <f>10^('Test Data Master Curve'!C10)</f>
        <v>52.000000000000036</v>
      </c>
      <c r="B10" s="24">
        <f>'Test Data Master Curve'!D10</f>
        <v>23.72</v>
      </c>
      <c r="L10" s="22">
        <f t="shared" si="0"/>
        <v>0.99039665970772439</v>
      </c>
      <c r="M10" s="16">
        <f t="shared" si="1"/>
        <v>52.000000000000036</v>
      </c>
      <c r="N10" s="16">
        <f t="shared" si="2"/>
        <v>23.72</v>
      </c>
    </row>
    <row r="11" spans="1:14" x14ac:dyDescent="0.25">
      <c r="A11" s="23">
        <f>10^('Test Data Master Curve'!C11)</f>
        <v>93.000000000000028</v>
      </c>
      <c r="B11" s="24">
        <f>'Test Data Master Curve'!D11</f>
        <v>23.72</v>
      </c>
      <c r="L11" s="22">
        <f t="shared" si="0"/>
        <v>0.99039665970772439</v>
      </c>
      <c r="M11" s="16">
        <f t="shared" si="1"/>
        <v>93.000000000000028</v>
      </c>
      <c r="N11" s="16">
        <f t="shared" si="2"/>
        <v>23.72</v>
      </c>
    </row>
    <row r="12" spans="1:14" x14ac:dyDescent="0.25">
      <c r="A12" s="23">
        <f>10^('Test Data Master Curve'!C12)</f>
        <v>166.00000000000006</v>
      </c>
      <c r="B12" s="24">
        <f>'Test Data Master Curve'!D12</f>
        <v>23.51</v>
      </c>
      <c r="L12" s="22">
        <f t="shared" si="0"/>
        <v>0.98162839248434253</v>
      </c>
      <c r="M12" s="16">
        <f t="shared" si="1"/>
        <v>166.00000000000006</v>
      </c>
      <c r="N12" s="16">
        <f t="shared" si="2"/>
        <v>23.51</v>
      </c>
    </row>
    <row r="13" spans="1:14" x14ac:dyDescent="0.25">
      <c r="A13" s="23">
        <f>10^('Test Data Master Curve'!C13)</f>
        <v>295.00000000000011</v>
      </c>
      <c r="B13" s="24">
        <f>'Test Data Master Curve'!D13</f>
        <v>23.16</v>
      </c>
      <c r="L13" s="22">
        <f t="shared" si="0"/>
        <v>0.96701461377870568</v>
      </c>
      <c r="M13" s="16">
        <f t="shared" si="1"/>
        <v>295.00000000000011</v>
      </c>
      <c r="N13" s="16">
        <f t="shared" si="2"/>
        <v>23.16</v>
      </c>
    </row>
    <row r="14" spans="1:14" x14ac:dyDescent="0.25">
      <c r="A14" s="23">
        <f>10^('Test Data Master Curve'!C14)</f>
        <v>525.00000000000034</v>
      </c>
      <c r="B14" s="24">
        <f>'Test Data Master Curve'!D14</f>
        <v>22.61</v>
      </c>
      <c r="L14" s="22">
        <f t="shared" si="0"/>
        <v>0.94405010438413361</v>
      </c>
      <c r="M14" s="16">
        <f t="shared" si="1"/>
        <v>525.00000000000034</v>
      </c>
      <c r="N14" s="16">
        <f t="shared" si="2"/>
        <v>22.61</v>
      </c>
    </row>
    <row r="15" spans="1:14" ht="15.75" thickBot="1" x14ac:dyDescent="0.3">
      <c r="A15" s="23">
        <f>10^('Test Data Master Curve'!C15)</f>
        <v>933.00000000000091</v>
      </c>
      <c r="B15" s="24">
        <f>'Test Data Master Curve'!D15</f>
        <v>21.79</v>
      </c>
      <c r="L15" s="22">
        <f t="shared" si="0"/>
        <v>0.9098121085594989</v>
      </c>
      <c r="M15" s="16">
        <f t="shared" si="1"/>
        <v>933.00000000000091</v>
      </c>
      <c r="N15" s="16">
        <f t="shared" si="2"/>
        <v>21.79</v>
      </c>
    </row>
    <row r="16" spans="1:14" ht="18" thickBot="1" x14ac:dyDescent="0.3">
      <c r="A16" s="23">
        <f>10^('Test Data Master Curve'!C16)</f>
        <v>1660.0000000000011</v>
      </c>
      <c r="B16" s="39">
        <f>'Test Data Master Curve'!D16</f>
        <v>20.73</v>
      </c>
      <c r="C16" s="61" t="s">
        <v>52</v>
      </c>
      <c r="D16" s="62"/>
      <c r="L16" s="22">
        <f t="shared" si="0"/>
        <v>0.86555323590814204</v>
      </c>
      <c r="M16" s="16">
        <f t="shared" si="1"/>
        <v>1660.0000000000011</v>
      </c>
      <c r="N16" s="16">
        <f t="shared" si="2"/>
        <v>20.73</v>
      </c>
    </row>
    <row r="17" spans="1:14" x14ac:dyDescent="0.25">
      <c r="A17" s="23">
        <f>10^('Test Data Master Curve'!C17)</f>
        <v>2952.0000000000032</v>
      </c>
      <c r="B17" s="39">
        <f>'Test Data Master Curve'!D17</f>
        <v>19.66</v>
      </c>
      <c r="C17" s="37" t="s">
        <v>41</v>
      </c>
      <c r="D17" s="38" t="s">
        <v>51</v>
      </c>
      <c r="L17" s="22">
        <f t="shared" si="0"/>
        <v>0.82087682672233819</v>
      </c>
      <c r="M17" s="16">
        <f t="shared" si="1"/>
        <v>2952.0000000000032</v>
      </c>
      <c r="N17" s="16">
        <f t="shared" si="2"/>
        <v>19.66</v>
      </c>
    </row>
    <row r="18" spans="1:14" s="16" customFormat="1" x14ac:dyDescent="0.25">
      <c r="A18" s="23"/>
      <c r="B18" s="39"/>
      <c r="C18" s="41">
        <f>10^('Test Data Master Curve'!G7)</f>
        <v>5247.3901085788657</v>
      </c>
      <c r="D18" s="24">
        <f>'Test Data Master Curve'!H7</f>
        <v>18.89</v>
      </c>
      <c r="L18" s="22">
        <f t="shared" si="0"/>
        <v>0.78872651356993739</v>
      </c>
      <c r="M18" s="21">
        <f>C18</f>
        <v>5247.3901085788657</v>
      </c>
      <c r="N18" s="16">
        <f>D18</f>
        <v>18.89</v>
      </c>
    </row>
    <row r="19" spans="1:14" x14ac:dyDescent="0.25">
      <c r="A19" s="23">
        <f>10^('Test Data Master Curve'!C18)</f>
        <v>5250.0000000000045</v>
      </c>
      <c r="B19" s="39">
        <f>'Test Data Master Curve'!D18</f>
        <v>18.89</v>
      </c>
      <c r="C19" s="41"/>
      <c r="D19" s="24"/>
      <c r="L19" s="22">
        <f t="shared" si="0"/>
        <v>0.78872651356993739</v>
      </c>
      <c r="M19" s="21">
        <f t="shared" ref="M19" si="3">A19</f>
        <v>5250.0000000000045</v>
      </c>
      <c r="N19" s="16">
        <f t="shared" ref="N19" si="4">B19</f>
        <v>18.89</v>
      </c>
    </row>
    <row r="20" spans="1:14" x14ac:dyDescent="0.25">
      <c r="A20" s="23"/>
      <c r="B20" s="39"/>
      <c r="C20" s="41">
        <f>10^('Test Data Master Curve'!G8)</f>
        <v>9283.8440382549197</v>
      </c>
      <c r="D20" s="24">
        <f>'Test Data Master Curve'!H8</f>
        <v>18.46</v>
      </c>
      <c r="L20" s="22">
        <f t="shared" si="0"/>
        <v>0.77077244258872657</v>
      </c>
      <c r="M20" s="21">
        <f>C20</f>
        <v>9283.8440382549197</v>
      </c>
      <c r="N20" s="16">
        <f>D20</f>
        <v>18.46</v>
      </c>
    </row>
    <row r="21" spans="1:14" x14ac:dyDescent="0.25">
      <c r="A21" s="23">
        <f>10^('Test Data Master Curve'!C19)</f>
        <v>9337.0000000000036</v>
      </c>
      <c r="B21" s="39">
        <f>'Test Data Master Curve'!D19</f>
        <v>18.46</v>
      </c>
      <c r="C21" s="41"/>
      <c r="D21" s="24"/>
      <c r="L21" s="22">
        <f t="shared" si="0"/>
        <v>0.77077244258872657</v>
      </c>
      <c r="M21" s="21">
        <f t="shared" ref="M21" si="5">A21</f>
        <v>9337.0000000000036</v>
      </c>
      <c r="N21" s="16">
        <f t="shared" ref="N21" si="6">B21</f>
        <v>18.46</v>
      </c>
    </row>
    <row r="22" spans="1:14" x14ac:dyDescent="0.25">
      <c r="A22" s="23"/>
      <c r="B22" s="39"/>
      <c r="C22" s="41">
        <f>10^('Test Data Master Curve'!G9)</f>
        <v>16549.461111671804</v>
      </c>
      <c r="D22" s="24">
        <f>'Test Data Master Curve'!H9</f>
        <v>18.04</v>
      </c>
      <c r="L22" s="22">
        <f t="shared" si="0"/>
        <v>0.7532359081419624</v>
      </c>
      <c r="M22" s="21">
        <f>C22</f>
        <v>16549.461111671804</v>
      </c>
      <c r="N22" s="16">
        <f>D22</f>
        <v>18.04</v>
      </c>
    </row>
    <row r="23" spans="1:14" x14ac:dyDescent="0.25">
      <c r="A23" s="25">
        <f>10^('Test Data Master Curve'!C20)</f>
        <v>16600.000000000015</v>
      </c>
      <c r="B23" s="40">
        <f>'Test Data Master Curve'!D20</f>
        <v>18.04</v>
      </c>
      <c r="C23" s="41"/>
      <c r="D23" s="24"/>
      <c r="L23" s="22">
        <f t="shared" si="0"/>
        <v>0.7532359081419624</v>
      </c>
      <c r="M23" s="21">
        <f t="shared" ref="M23" si="7">A23</f>
        <v>16600.000000000015</v>
      </c>
      <c r="N23" s="16">
        <f t="shared" ref="N23" si="8">B23</f>
        <v>18.04</v>
      </c>
    </row>
    <row r="24" spans="1:14" x14ac:dyDescent="0.25">
      <c r="C24" s="41">
        <f>10^('Test Data Master Curve'!G10)</f>
        <v>29466.113686635177</v>
      </c>
      <c r="D24" s="24">
        <f>'Test Data Master Curve'!H10</f>
        <v>17.36</v>
      </c>
      <c r="L24" s="22">
        <f t="shared" si="0"/>
        <v>0.72484342379958244</v>
      </c>
      <c r="M24" s="21">
        <f t="shared" ref="M24:M30" si="9">C24</f>
        <v>29466.113686635177</v>
      </c>
      <c r="N24" s="16">
        <f t="shared" ref="N24:N30" si="10">D24</f>
        <v>17.36</v>
      </c>
    </row>
    <row r="25" spans="1:14" x14ac:dyDescent="0.25">
      <c r="C25" s="42">
        <f>10^('Test Data Master Curve'!G11)</f>
        <v>52877.546478756267</v>
      </c>
      <c r="D25" s="24">
        <f>'Test Data Master Curve'!H11</f>
        <v>16.27</v>
      </c>
      <c r="L25" s="22">
        <f t="shared" si="0"/>
        <v>0.67933194154488519</v>
      </c>
      <c r="M25" s="21">
        <f t="shared" si="9"/>
        <v>52877.546478756267</v>
      </c>
      <c r="N25" s="16">
        <f t="shared" si="10"/>
        <v>16.27</v>
      </c>
    </row>
    <row r="26" spans="1:14" x14ac:dyDescent="0.25">
      <c r="C26" s="42">
        <f>10^('Test Data Master Curve'!G12)</f>
        <v>94049.376561452067</v>
      </c>
      <c r="D26" s="24">
        <f>'Test Data Master Curve'!H12</f>
        <v>14.67</v>
      </c>
      <c r="L26" s="22">
        <f t="shared" si="0"/>
        <v>0.61252609603340291</v>
      </c>
      <c r="M26" s="21">
        <f t="shared" si="9"/>
        <v>94049.376561452067</v>
      </c>
      <c r="N26" s="16">
        <f t="shared" si="10"/>
        <v>14.67</v>
      </c>
    </row>
    <row r="27" spans="1:14" x14ac:dyDescent="0.25">
      <c r="C27" s="42">
        <f>10^('Test Data Master Curve'!G13)</f>
        <v>167512.83808155611</v>
      </c>
      <c r="D27" s="24">
        <f>'Test Data Master Curve'!H13</f>
        <v>12.63</v>
      </c>
      <c r="L27" s="22">
        <f t="shared" si="0"/>
        <v>0.52734864300626305</v>
      </c>
      <c r="M27" s="21">
        <f t="shared" si="9"/>
        <v>167512.83808155611</v>
      </c>
      <c r="N27" s="16">
        <f t="shared" si="10"/>
        <v>12.63</v>
      </c>
    </row>
    <row r="28" spans="1:14" ht="15.75" thickBot="1" x14ac:dyDescent="0.3">
      <c r="C28" s="42">
        <f>10^('Test Data Master Curve'!G14)</f>
        <v>297890.3000100932</v>
      </c>
      <c r="D28" s="24">
        <f>'Test Data Master Curve'!H14</f>
        <v>10.61</v>
      </c>
      <c r="L28" s="22">
        <f t="shared" si="0"/>
        <v>0.44300626304801671</v>
      </c>
      <c r="M28" s="21">
        <f t="shared" si="9"/>
        <v>297890.3000100932</v>
      </c>
      <c r="N28" s="16">
        <f t="shared" si="10"/>
        <v>10.61</v>
      </c>
    </row>
    <row r="29" spans="1:14" ht="18" thickBot="1" x14ac:dyDescent="0.3">
      <c r="C29" s="42">
        <f>10^('Test Data Master Curve'!G15)</f>
        <v>529582.7555734989</v>
      </c>
      <c r="D29" s="39">
        <f>'Test Data Master Curve'!H15</f>
        <v>9.2899999999999991</v>
      </c>
      <c r="E29" s="61" t="s">
        <v>53</v>
      </c>
      <c r="F29" s="62"/>
      <c r="G29" s="44"/>
      <c r="H29" s="44"/>
      <c r="L29" s="22">
        <f t="shared" si="0"/>
        <v>0.38789144050104379</v>
      </c>
      <c r="M29" s="21">
        <f t="shared" si="9"/>
        <v>529582.7555734989</v>
      </c>
      <c r="N29" s="16">
        <f t="shared" si="10"/>
        <v>9.2899999999999991</v>
      </c>
    </row>
    <row r="30" spans="1:14" x14ac:dyDescent="0.25">
      <c r="C30" s="42">
        <f>10^('Test Data Master Curve'!G16)</f>
        <v>942108.34718639229</v>
      </c>
      <c r="D30" s="39">
        <f>'Test Data Master Curve'!H16</f>
        <v>8.81</v>
      </c>
      <c r="E30" s="37" t="s">
        <v>41</v>
      </c>
      <c r="F30" s="38" t="s">
        <v>51</v>
      </c>
      <c r="G30" s="45"/>
      <c r="H30" s="45"/>
      <c r="L30" s="22">
        <f t="shared" si="0"/>
        <v>0.36784968684759922</v>
      </c>
      <c r="M30" s="21">
        <f t="shared" si="9"/>
        <v>942108.34718639229</v>
      </c>
      <c r="N30" s="16">
        <f t="shared" si="10"/>
        <v>8.81</v>
      </c>
    </row>
    <row r="31" spans="1:14" s="16" customFormat="1" x14ac:dyDescent="0.25">
      <c r="C31" s="42"/>
      <c r="D31" s="39"/>
      <c r="E31" s="42">
        <f>10^('Test Data Master Curve'!K7)</f>
        <v>942863.71202844928</v>
      </c>
      <c r="F31" s="24">
        <f>'Test Data Master Curve'!L7</f>
        <v>8.81</v>
      </c>
      <c r="G31" s="39"/>
      <c r="H31" s="39"/>
      <c r="L31" s="22">
        <f t="shared" si="0"/>
        <v>0.36784968684759922</v>
      </c>
      <c r="M31" s="20">
        <f>E31</f>
        <v>942863.71202844928</v>
      </c>
      <c r="N31" s="16">
        <f>F31</f>
        <v>8.81</v>
      </c>
    </row>
    <row r="32" spans="1:14" x14ac:dyDescent="0.25">
      <c r="C32" s="42">
        <f>10^('Test Data Master Curve'!G17)</f>
        <v>1675532.0262085272</v>
      </c>
      <c r="D32" s="39">
        <f>'Test Data Master Curve'!H17</f>
        <v>8.61</v>
      </c>
      <c r="E32" s="42"/>
      <c r="F32" s="24"/>
      <c r="G32" s="39"/>
      <c r="H32" s="39"/>
      <c r="L32" s="22">
        <f t="shared" si="0"/>
        <v>0.3594989561586639</v>
      </c>
      <c r="M32" s="20">
        <f t="shared" ref="M32" si="11">C32</f>
        <v>1675532.0262085272</v>
      </c>
      <c r="N32" s="16">
        <f t="shared" ref="N32" si="12">D32</f>
        <v>8.61</v>
      </c>
    </row>
    <row r="33" spans="3:14" x14ac:dyDescent="0.25">
      <c r="C33" s="42"/>
      <c r="D33" s="39"/>
      <c r="E33" s="42">
        <f>10^('Test Data Master Curve'!K8)</f>
        <v>1719339.7101695251</v>
      </c>
      <c r="F33" s="24">
        <f>'Test Data Master Curve'!L8</f>
        <v>8.61</v>
      </c>
      <c r="G33" s="39"/>
      <c r="H33" s="39"/>
      <c r="L33" s="22">
        <f t="shared" si="0"/>
        <v>0.3594989561586639</v>
      </c>
      <c r="M33" s="20">
        <f>E33</f>
        <v>1719339.7101695251</v>
      </c>
      <c r="N33" s="16">
        <f>F33</f>
        <v>8.61</v>
      </c>
    </row>
    <row r="34" spans="3:14" x14ac:dyDescent="0.25">
      <c r="C34" s="42">
        <f>10^('Test Data Master Curve'!G18)</f>
        <v>2979306.645493893</v>
      </c>
      <c r="D34" s="39">
        <f>'Test Data Master Curve'!H18</f>
        <v>8.34</v>
      </c>
      <c r="E34" s="42"/>
      <c r="F34" s="24"/>
      <c r="G34" s="39"/>
      <c r="H34" s="39"/>
      <c r="L34" s="22">
        <f t="shared" si="0"/>
        <v>0.34822546972860124</v>
      </c>
      <c r="M34" s="20">
        <f t="shared" ref="M34" si="13">C34</f>
        <v>2979306.645493893</v>
      </c>
      <c r="N34" s="16">
        <f t="shared" ref="N34" si="14">D34</f>
        <v>8.34</v>
      </c>
    </row>
    <row r="35" spans="3:14" x14ac:dyDescent="0.25">
      <c r="C35" s="42"/>
      <c r="D35" s="39"/>
      <c r="E35" s="42">
        <f>10^('Test Data Master Curve'!K9)</f>
        <v>3050441.421268513</v>
      </c>
      <c r="F35" s="24">
        <f>'Test Data Master Curve'!L9</f>
        <v>8.34</v>
      </c>
      <c r="G35" s="39"/>
      <c r="H35" s="39"/>
      <c r="L35" s="22">
        <f t="shared" si="0"/>
        <v>0.34822546972860124</v>
      </c>
      <c r="M35" s="20">
        <f>E35</f>
        <v>3050441.421268513</v>
      </c>
      <c r="N35" s="16">
        <f>F35</f>
        <v>8.34</v>
      </c>
    </row>
    <row r="36" spans="3:14" x14ac:dyDescent="0.25">
      <c r="C36" s="43">
        <f>10^('Test Data Master Curve'!G19)</f>
        <v>5298249.4280927917</v>
      </c>
      <c r="D36" s="40">
        <f>'Test Data Master Curve'!H19</f>
        <v>7.91</v>
      </c>
      <c r="E36" s="42"/>
      <c r="F36" s="24"/>
      <c r="G36" s="39"/>
      <c r="H36" s="39"/>
      <c r="L36" s="22">
        <f t="shared" si="0"/>
        <v>0.33027139874739042</v>
      </c>
      <c r="M36" s="20">
        <f t="shared" ref="M36" si="15">C36</f>
        <v>5298249.4280927917</v>
      </c>
      <c r="N36" s="16">
        <f t="shared" ref="N36" si="16">D36</f>
        <v>7.91</v>
      </c>
    </row>
    <row r="37" spans="3:14" x14ac:dyDescent="0.25">
      <c r="E37" s="42">
        <f>10^('Test Data Master Curve'!K10)</f>
        <v>5435331.9869875377</v>
      </c>
      <c r="F37" s="24">
        <f>'Test Data Master Curve'!L10</f>
        <v>7.91</v>
      </c>
      <c r="G37" s="39"/>
      <c r="H37" s="39"/>
      <c r="L37" s="22">
        <f t="shared" si="0"/>
        <v>0.33027139874739042</v>
      </c>
      <c r="M37" s="20">
        <f t="shared" ref="M37" si="17">E37</f>
        <v>5435331.9869875377</v>
      </c>
      <c r="N37" s="16">
        <f t="shared" ref="N37:N40" si="18">F37</f>
        <v>7.91</v>
      </c>
    </row>
    <row r="38" spans="3:14" ht="15.75" thickBot="1" x14ac:dyDescent="0.3">
      <c r="E38" s="42">
        <f>10^('Test Data Master Curve'!K11)</f>
        <v>9650487.4054676499</v>
      </c>
      <c r="F38" s="24">
        <f>'Test Data Master Curve'!L11</f>
        <v>7.27</v>
      </c>
      <c r="G38" s="39"/>
      <c r="H38" s="39"/>
      <c r="L38" s="22">
        <f t="shared" si="0"/>
        <v>0.30354906054279751</v>
      </c>
      <c r="M38" s="20">
        <f>E38</f>
        <v>9650487.4054676499</v>
      </c>
      <c r="N38" s="16">
        <f t="shared" si="18"/>
        <v>7.27</v>
      </c>
    </row>
    <row r="39" spans="3:14" ht="18" thickBot="1" x14ac:dyDescent="0.3">
      <c r="E39" s="42">
        <f>10^('Test Data Master Curve'!K12)</f>
        <v>17193397.10169524</v>
      </c>
      <c r="F39" s="39">
        <f>'Test Data Master Curve'!L12</f>
        <v>6.46</v>
      </c>
      <c r="G39" s="61" t="s">
        <v>54</v>
      </c>
      <c r="H39" s="62"/>
      <c r="L39" s="22">
        <f t="shared" si="0"/>
        <v>0.26972860125260961</v>
      </c>
      <c r="M39" s="20">
        <f>E39</f>
        <v>17193397.10169524</v>
      </c>
      <c r="N39" s="16">
        <f t="shared" si="18"/>
        <v>6.46</v>
      </c>
    </row>
    <row r="40" spans="3:14" x14ac:dyDescent="0.25">
      <c r="E40" s="42">
        <f>10^('Test Data Master Curve'!K13)</f>
        <v>30615339.355276778</v>
      </c>
      <c r="F40" s="39">
        <f>'Test Data Master Curve'!L13</f>
        <v>5.67</v>
      </c>
      <c r="G40" s="37" t="s">
        <v>41</v>
      </c>
      <c r="H40" s="38" t="s">
        <v>51</v>
      </c>
      <c r="L40" s="22">
        <f t="shared" si="0"/>
        <v>0.23674321503131524</v>
      </c>
      <c r="M40" s="20">
        <f>E40</f>
        <v>30615339.355276778</v>
      </c>
      <c r="N40" s="16">
        <f t="shared" si="18"/>
        <v>5.67</v>
      </c>
    </row>
    <row r="41" spans="3:14" x14ac:dyDescent="0.25">
      <c r="E41" s="42"/>
      <c r="F41" s="39"/>
      <c r="G41" s="42">
        <f>10^('Test Data Master Curve'!O7)</f>
        <v>30626069.170042958</v>
      </c>
      <c r="H41" s="24">
        <f>'Test Data Master Curve'!P7</f>
        <v>5.67</v>
      </c>
      <c r="L41" s="22">
        <f t="shared" si="0"/>
        <v>0.23674321503131524</v>
      </c>
      <c r="M41" s="20">
        <f>G41</f>
        <v>30626069.170042958</v>
      </c>
      <c r="N41" s="16">
        <f>H41</f>
        <v>5.67</v>
      </c>
    </row>
    <row r="42" spans="3:14" x14ac:dyDescent="0.25">
      <c r="E42" s="42">
        <f>10^('Test Data Master Curve'!K14)</f>
        <v>54464245.012466982</v>
      </c>
      <c r="F42" s="39">
        <f>'Test Data Master Curve'!L14</f>
        <v>5.16</v>
      </c>
      <c r="G42" s="42"/>
      <c r="H42" s="24"/>
      <c r="L42" s="22">
        <f t="shared" ref="L42:L72" si="19">N42/$N$7</f>
        <v>0.21544885177453027</v>
      </c>
      <c r="M42" s="20">
        <f>E42</f>
        <v>54464245.012466982</v>
      </c>
      <c r="N42" s="16">
        <f t="shared" ref="N42" si="20">F42</f>
        <v>5.16</v>
      </c>
    </row>
    <row r="43" spans="3:14" x14ac:dyDescent="0.25">
      <c r="E43" s="42"/>
      <c r="F43" s="39"/>
      <c r="G43" s="42">
        <f>10^('Test Data Master Curve'!O8)</f>
        <v>55126924.506077304</v>
      </c>
      <c r="H43" s="24">
        <f>'Test Data Master Curve'!P8</f>
        <v>5.16</v>
      </c>
      <c r="L43" s="22">
        <f t="shared" si="19"/>
        <v>0.21544885177453027</v>
      </c>
      <c r="M43" s="20">
        <f>G43</f>
        <v>55126924.506077304</v>
      </c>
      <c r="N43" s="16">
        <f>H43</f>
        <v>5.16</v>
      </c>
    </row>
    <row r="44" spans="3:14" x14ac:dyDescent="0.25">
      <c r="E44" s="42">
        <f>10^('Test Data Master Curve'!K15)</f>
        <v>96837649.482451305</v>
      </c>
      <c r="F44" s="47">
        <f>'Test Data Master Curve'!L15</f>
        <v>5</v>
      </c>
      <c r="G44" s="42"/>
      <c r="H44" s="24"/>
      <c r="I44" s="16"/>
      <c r="J44" s="16"/>
      <c r="L44" s="22">
        <f t="shared" si="19"/>
        <v>0.20876826722338204</v>
      </c>
      <c r="M44" s="20">
        <f>E44</f>
        <v>96837649.482451305</v>
      </c>
      <c r="N44" s="12">
        <f t="shared" ref="N44" si="21">F44</f>
        <v>5</v>
      </c>
    </row>
    <row r="45" spans="3:14" x14ac:dyDescent="0.25">
      <c r="E45" s="42"/>
      <c r="F45" s="39"/>
      <c r="G45" s="42">
        <f>10^('Test Data Master Curve'!O9)</f>
        <v>98003421.344137222</v>
      </c>
      <c r="H45" s="46">
        <f>'Test Data Master Curve'!P9</f>
        <v>5</v>
      </c>
      <c r="I45" s="16"/>
      <c r="J45" s="16"/>
      <c r="L45" s="22">
        <f t="shared" si="19"/>
        <v>0.20876826722338204</v>
      </c>
      <c r="M45" s="20">
        <f>G45</f>
        <v>98003421.344137222</v>
      </c>
      <c r="N45" s="12">
        <f>H45</f>
        <v>5</v>
      </c>
    </row>
    <row r="46" spans="3:14" s="16" customFormat="1" x14ac:dyDescent="0.25">
      <c r="E46" s="42">
        <f>10^('Test Data Master Curve'!K16)</f>
        <v>172266746.44472724</v>
      </c>
      <c r="F46" s="39">
        <f>'Test Data Master Curve'!L16</f>
        <v>4.97</v>
      </c>
      <c r="G46" s="42"/>
      <c r="H46" s="24"/>
      <c r="L46" s="22">
        <f t="shared" si="19"/>
        <v>0.20751565762004176</v>
      </c>
      <c r="M46" s="20">
        <f>E46</f>
        <v>172266746.44472724</v>
      </c>
      <c r="N46" s="16">
        <f t="shared" ref="N46" si="22">F46</f>
        <v>4.97</v>
      </c>
    </row>
    <row r="47" spans="3:14" x14ac:dyDescent="0.25">
      <c r="E47" s="42"/>
      <c r="F47" s="39"/>
      <c r="G47" s="42">
        <f>10^('Test Data Master Curve'!O10)</f>
        <v>173547725.29690975</v>
      </c>
      <c r="H47" s="24">
        <f>'Test Data Master Curve'!P10</f>
        <v>4.97</v>
      </c>
      <c r="I47" s="16"/>
      <c r="J47" s="16"/>
      <c r="L47" s="22">
        <f t="shared" si="19"/>
        <v>0.20751565762004176</v>
      </c>
      <c r="M47" s="20">
        <f>G47</f>
        <v>173547725.29690975</v>
      </c>
      <c r="N47" s="16">
        <f>H47</f>
        <v>4.97</v>
      </c>
    </row>
    <row r="48" spans="3:14" x14ac:dyDescent="0.25">
      <c r="E48" s="42">
        <f>10^('Test Data Master Curve'!K17)</f>
        <v>306319781.26665384</v>
      </c>
      <c r="F48" s="39">
        <f>'Test Data Master Curve'!L17</f>
        <v>4.95</v>
      </c>
      <c r="G48" s="42"/>
      <c r="H48" s="24"/>
      <c r="I48" s="16"/>
      <c r="J48" s="16"/>
      <c r="L48" s="22">
        <f t="shared" si="19"/>
        <v>0.20668058455114824</v>
      </c>
      <c r="M48" s="20">
        <f>E48</f>
        <v>306319781.26665384</v>
      </c>
      <c r="N48" s="16">
        <f>F48</f>
        <v>4.95</v>
      </c>
    </row>
    <row r="49" spans="5:14" ht="15.75" thickBot="1" x14ac:dyDescent="0.3">
      <c r="E49" s="42"/>
      <c r="F49" s="39"/>
      <c r="G49" s="42">
        <f>10^('Test Data Master Curve'!O11)</f>
        <v>310344167.58976853</v>
      </c>
      <c r="H49" s="24">
        <f>'Test Data Master Curve'!P11</f>
        <v>4.95</v>
      </c>
      <c r="I49" s="16"/>
      <c r="J49" s="16"/>
      <c r="L49" s="22">
        <f t="shared" si="19"/>
        <v>0.20668058455114824</v>
      </c>
      <c r="M49" s="20">
        <f>G49</f>
        <v>310344167.58976853</v>
      </c>
      <c r="N49" s="16">
        <f>H49</f>
        <v>4.95</v>
      </c>
    </row>
    <row r="50" spans="5:14" ht="18" thickBot="1" x14ac:dyDescent="0.3">
      <c r="E50" s="42">
        <f>10^('Test Data Master Curve'!K18)</f>
        <v>544753375.26726222</v>
      </c>
      <c r="F50" s="39">
        <f>'Test Data Master Curve'!L18</f>
        <v>4.92</v>
      </c>
      <c r="G50" s="42"/>
      <c r="H50" s="39"/>
      <c r="I50" s="61" t="s">
        <v>55</v>
      </c>
      <c r="J50" s="62"/>
      <c r="L50" s="22">
        <f t="shared" si="19"/>
        <v>0.20542797494780793</v>
      </c>
      <c r="M50" s="20">
        <f>E50</f>
        <v>544753375.26726222</v>
      </c>
      <c r="N50" s="16">
        <f>F50</f>
        <v>4.92</v>
      </c>
    </row>
    <row r="51" spans="5:14" x14ac:dyDescent="0.25">
      <c r="E51" s="42"/>
      <c r="F51" s="39"/>
      <c r="G51" s="42">
        <f>10^('Test Data Master Curve'!O12)</f>
        <v>553310983.00544357</v>
      </c>
      <c r="H51" s="39">
        <f>'Test Data Master Curve'!P12</f>
        <v>4.92</v>
      </c>
      <c r="I51" s="37" t="s">
        <v>41</v>
      </c>
      <c r="J51" s="38" t="s">
        <v>51</v>
      </c>
      <c r="L51" s="22">
        <f t="shared" si="19"/>
        <v>0.20542797494780793</v>
      </c>
      <c r="M51" s="20">
        <f>G51</f>
        <v>553310983.00544357</v>
      </c>
      <c r="N51" s="16">
        <f>H51</f>
        <v>4.92</v>
      </c>
    </row>
    <row r="52" spans="5:14" x14ac:dyDescent="0.25">
      <c r="E52" s="42"/>
      <c r="F52" s="39"/>
      <c r="G52" s="42"/>
      <c r="H52" s="39"/>
      <c r="I52" s="42">
        <f>10^('Test Data Master Curve'!S7)</f>
        <v>541313578.69344354</v>
      </c>
      <c r="J52" s="24">
        <f>'Test Data Master Curve'!T7</f>
        <v>4.92</v>
      </c>
      <c r="L52" s="22">
        <f t="shared" si="19"/>
        <v>0.20542797494780793</v>
      </c>
      <c r="M52" s="20">
        <f>I52</f>
        <v>541313578.69344354</v>
      </c>
      <c r="N52" s="16">
        <f>J52</f>
        <v>4.92</v>
      </c>
    </row>
    <row r="53" spans="5:14" x14ac:dyDescent="0.25">
      <c r="E53" s="43">
        <f>10^('Test Data Master Curve'!K19)</f>
        <v>968764732.82358456</v>
      </c>
      <c r="F53" s="40">
        <f>'Test Data Master Curve'!L19</f>
        <v>4.8600000000000003</v>
      </c>
      <c r="G53" s="42"/>
      <c r="H53" s="39"/>
      <c r="I53" s="42"/>
      <c r="J53" s="24"/>
      <c r="L53" s="22">
        <f t="shared" si="19"/>
        <v>0.20292275574112736</v>
      </c>
      <c r="M53" s="20">
        <f>E53</f>
        <v>968764732.82358456</v>
      </c>
      <c r="N53" s="16">
        <f>F53</f>
        <v>4.8600000000000003</v>
      </c>
    </row>
    <row r="54" spans="5:14" x14ac:dyDescent="0.25">
      <c r="G54" s="42">
        <f>10^('Test Data Master Curve'!O13)</f>
        <v>984117689.33071315</v>
      </c>
      <c r="H54" s="39">
        <f>'Test Data Master Curve'!P13</f>
        <v>4.8600000000000003</v>
      </c>
      <c r="I54" s="42"/>
      <c r="J54" s="24"/>
      <c r="L54" s="22">
        <f t="shared" si="19"/>
        <v>0.20292275574112736</v>
      </c>
      <c r="M54" s="20">
        <f>G54</f>
        <v>984117689.33071315</v>
      </c>
      <c r="N54" s="16">
        <f>H54</f>
        <v>4.8600000000000003</v>
      </c>
    </row>
    <row r="55" spans="5:14" x14ac:dyDescent="0.25">
      <c r="G55" s="42"/>
      <c r="H55" s="39"/>
      <c r="I55" s="42">
        <f>10^('Test Data Master Curve'!S8)</f>
        <v>955259256.5178411</v>
      </c>
      <c r="J55" s="24">
        <f>'Test Data Master Curve'!T8</f>
        <v>4.8600000000000003</v>
      </c>
      <c r="L55" s="22">
        <f t="shared" si="19"/>
        <v>0.20292275574112736</v>
      </c>
      <c r="M55" s="20">
        <f>I55</f>
        <v>955259256.5178411</v>
      </c>
      <c r="N55" s="16">
        <f>J55</f>
        <v>4.8600000000000003</v>
      </c>
    </row>
    <row r="56" spans="5:14" x14ac:dyDescent="0.25">
      <c r="G56" s="42">
        <f>10^('Test Data Master Curve'!O14)</f>
        <v>1749769418.5817857</v>
      </c>
      <c r="H56" s="39">
        <f>'Test Data Master Curve'!P14</f>
        <v>4.76</v>
      </c>
      <c r="I56" s="42"/>
      <c r="J56" s="24"/>
      <c r="L56" s="22">
        <f t="shared" si="19"/>
        <v>0.1987473903966597</v>
      </c>
      <c r="M56" s="20">
        <f>G56</f>
        <v>1749769418.5817857</v>
      </c>
      <c r="N56" s="16">
        <f>H56</f>
        <v>4.76</v>
      </c>
    </row>
    <row r="57" spans="5:14" x14ac:dyDescent="0.25">
      <c r="G57" s="42"/>
      <c r="H57" s="39"/>
      <c r="I57" s="42">
        <f>10^('Test Data Master Curve'!S9)</f>
        <v>1751308636.9493732</v>
      </c>
      <c r="J57" s="24">
        <f>'Test Data Master Curve'!T9</f>
        <v>4.76</v>
      </c>
      <c r="L57" s="22">
        <f t="shared" si="19"/>
        <v>0.1987473903966597</v>
      </c>
      <c r="M57" s="20">
        <f>I57</f>
        <v>1751308636.9493732</v>
      </c>
      <c r="N57" s="16">
        <f>J57</f>
        <v>4.76</v>
      </c>
    </row>
    <row r="58" spans="5:14" x14ac:dyDescent="0.25">
      <c r="G58" s="42">
        <f>10^('Test Data Master Curve'!O15)</f>
        <v>3111608627.6763616</v>
      </c>
      <c r="H58" s="39">
        <f>'Test Data Master Curve'!P15</f>
        <v>4.59</v>
      </c>
      <c r="I58" s="42"/>
      <c r="J58" s="24"/>
      <c r="L58" s="22">
        <f t="shared" si="19"/>
        <v>0.19164926931106471</v>
      </c>
      <c r="M58" s="20">
        <f>G58</f>
        <v>3111608627.6763616</v>
      </c>
      <c r="N58" s="16">
        <f>H58</f>
        <v>4.59</v>
      </c>
    </row>
    <row r="59" spans="5:14" x14ac:dyDescent="0.25">
      <c r="G59" s="42"/>
      <c r="H59" s="39"/>
      <c r="I59" s="42">
        <f>10^('Test Data Master Curve'!S10)</f>
        <v>3088671596.0743456</v>
      </c>
      <c r="J59" s="24">
        <f>'Test Data Master Curve'!T10</f>
        <v>4.59</v>
      </c>
      <c r="L59" s="22">
        <f t="shared" si="19"/>
        <v>0.19164926931106471</v>
      </c>
      <c r="M59" s="20">
        <f>I59</f>
        <v>3088671596.0743456</v>
      </c>
      <c r="N59" s="16">
        <f>J59</f>
        <v>4.59</v>
      </c>
    </row>
    <row r="60" spans="5:14" x14ac:dyDescent="0.25">
      <c r="G60" s="42">
        <f>10^('Test Data Master Curve'!O16)</f>
        <v>5535151567.9990959</v>
      </c>
      <c r="H60" s="39">
        <f>'Test Data Master Curve'!P16</f>
        <v>4.32</v>
      </c>
      <c r="I60" s="42"/>
      <c r="J60" s="24"/>
      <c r="L60" s="22">
        <f t="shared" si="19"/>
        <v>0.18037578288100212</v>
      </c>
      <c r="M60" s="20">
        <f>G60</f>
        <v>5535151567.9990959</v>
      </c>
      <c r="N60" s="16">
        <f>H60</f>
        <v>4.32</v>
      </c>
    </row>
    <row r="61" spans="5:14" x14ac:dyDescent="0.25">
      <c r="G61" s="42"/>
      <c r="H61" s="39"/>
      <c r="I61" s="42">
        <f>10^('Test Data Master Curve'!S11)</f>
        <v>5540503687.8034658</v>
      </c>
      <c r="J61" s="24">
        <f>'Test Data Master Curve'!T11</f>
        <v>4.32</v>
      </c>
      <c r="L61" s="22">
        <f t="shared" si="19"/>
        <v>0.18037578288100212</v>
      </c>
      <c r="M61" s="20">
        <f>I61</f>
        <v>5540503687.8034658</v>
      </c>
      <c r="N61" s="16">
        <f>J61</f>
        <v>4.32</v>
      </c>
    </row>
    <row r="62" spans="5:14" x14ac:dyDescent="0.25">
      <c r="G62" s="42">
        <f>10^('Test Data Master Curve'!O17)</f>
        <v>9845260369.1965027</v>
      </c>
      <c r="H62" s="39">
        <f>'Test Data Master Curve'!P17</f>
        <v>3.92</v>
      </c>
      <c r="I62" s="42"/>
      <c r="J62" s="24"/>
      <c r="L62" s="22">
        <f t="shared" si="19"/>
        <v>0.16367432150313152</v>
      </c>
      <c r="M62" s="20">
        <f>G62</f>
        <v>9845260369.1965027</v>
      </c>
      <c r="N62" s="16">
        <f>H62</f>
        <v>3.92</v>
      </c>
    </row>
    <row r="63" spans="5:14" x14ac:dyDescent="0.25">
      <c r="G63" s="42"/>
      <c r="H63" s="39"/>
      <c r="I63" s="42">
        <f>10^('Test Data Master Curve'!S12)</f>
        <v>9839170342.1337528</v>
      </c>
      <c r="J63" s="24">
        <f>'Test Data Master Curve'!T12</f>
        <v>3.92</v>
      </c>
      <c r="L63" s="22">
        <f t="shared" si="19"/>
        <v>0.16367432150313152</v>
      </c>
      <c r="M63" s="20">
        <f>I63</f>
        <v>9839170342.1337528</v>
      </c>
      <c r="N63" s="16">
        <f>J63</f>
        <v>3.92</v>
      </c>
    </row>
    <row r="64" spans="5:14" x14ac:dyDescent="0.25">
      <c r="G64" s="42">
        <f>10^('Test Data Master Curve'!O18)</f>
        <v>17505861137.596523</v>
      </c>
      <c r="H64" s="39">
        <f>'Test Data Master Curve'!P18</f>
        <v>3.41</v>
      </c>
      <c r="I64" s="42"/>
      <c r="J64" s="24"/>
      <c r="L64" s="22">
        <f t="shared" si="19"/>
        <v>0.14237995824634656</v>
      </c>
      <c r="M64" s="20">
        <f>G64</f>
        <v>17505861137.596523</v>
      </c>
      <c r="N64" s="16">
        <f>H64</f>
        <v>3.41</v>
      </c>
    </row>
    <row r="65" spans="7:14" x14ac:dyDescent="0.25">
      <c r="G65" s="42"/>
      <c r="H65" s="39"/>
      <c r="I65" s="42">
        <f>10^('Test Data Master Curve'!S13)</f>
        <v>17513086369.493752</v>
      </c>
      <c r="J65" s="24">
        <f>'Test Data Master Curve'!T13</f>
        <v>3.41</v>
      </c>
      <c r="L65" s="22">
        <f t="shared" si="19"/>
        <v>0.14237995824634656</v>
      </c>
      <c r="M65" s="20">
        <f>I65</f>
        <v>17513086369.493752</v>
      </c>
      <c r="N65" s="16">
        <f>J65</f>
        <v>3.41</v>
      </c>
    </row>
    <row r="66" spans="7:14" x14ac:dyDescent="0.25">
      <c r="G66" s="43">
        <f>10^('Test Data Master Curve'!O19)</f>
        <v>31132420180.321072</v>
      </c>
      <c r="H66" s="40">
        <f>'Test Data Master Curve'!P19</f>
        <v>2.92</v>
      </c>
      <c r="I66" s="42"/>
      <c r="J66" s="24"/>
      <c r="L66" s="22">
        <f t="shared" si="19"/>
        <v>0.12192066805845511</v>
      </c>
      <c r="M66" s="20">
        <f>G66</f>
        <v>31132420180.321072</v>
      </c>
      <c r="N66" s="16">
        <f>H66</f>
        <v>2.92</v>
      </c>
    </row>
    <row r="67" spans="7:14" x14ac:dyDescent="0.25">
      <c r="I67" s="42">
        <f>10^('Test Data Master Curve'!S14)</f>
        <v>31173293737.698807</v>
      </c>
      <c r="J67" s="24">
        <f>'Test Data Master Curve'!T14</f>
        <v>2.92</v>
      </c>
      <c r="L67" s="22">
        <f t="shared" si="19"/>
        <v>0.12192066805845511</v>
      </c>
      <c r="M67" s="20">
        <f t="shared" ref="M67:M72" si="23">I67</f>
        <v>31173293737.698807</v>
      </c>
      <c r="N67" s="16">
        <f t="shared" ref="N67:N72" si="24">J67</f>
        <v>2.92</v>
      </c>
    </row>
    <row r="68" spans="7:14" x14ac:dyDescent="0.25">
      <c r="I68" s="42">
        <f>10^('Test Data Master Curve'!S15)</f>
        <v>55468720828.469383</v>
      </c>
      <c r="J68" s="24">
        <f>'Test Data Master Curve'!T15</f>
        <v>2.6</v>
      </c>
      <c r="L68" s="22">
        <f t="shared" si="19"/>
        <v>0.10855949895615867</v>
      </c>
      <c r="M68" s="20">
        <f t="shared" si="23"/>
        <v>55468720828.469383</v>
      </c>
      <c r="N68" s="16">
        <f t="shared" si="24"/>
        <v>2.6</v>
      </c>
    </row>
    <row r="69" spans="7:14" x14ac:dyDescent="0.25">
      <c r="I69" s="42">
        <f>10^('Test Data Master Curve'!S16)</f>
        <v>98614597247.858475</v>
      </c>
      <c r="J69" s="24">
        <f>'Test Data Master Curve'!T16</f>
        <v>2.5</v>
      </c>
      <c r="L69" s="22">
        <f t="shared" si="19"/>
        <v>0.10438413361169102</v>
      </c>
      <c r="M69" s="20">
        <f t="shared" si="23"/>
        <v>98614597247.858475</v>
      </c>
      <c r="N69" s="16">
        <f t="shared" si="24"/>
        <v>2.5</v>
      </c>
    </row>
    <row r="70" spans="7:14" x14ac:dyDescent="0.25">
      <c r="I70" s="42">
        <f>10^('Test Data Master Curve'!S17)</f>
        <v>175385599496.67532</v>
      </c>
      <c r="J70" s="24">
        <f>'Test Data Master Curve'!T17</f>
        <v>2.5</v>
      </c>
      <c r="L70" s="22">
        <f t="shared" si="19"/>
        <v>0.10438413361169102</v>
      </c>
      <c r="M70" s="20">
        <f t="shared" si="23"/>
        <v>175385599496.67532</v>
      </c>
      <c r="N70" s="16">
        <f t="shared" si="24"/>
        <v>2.5</v>
      </c>
    </row>
    <row r="71" spans="7:14" x14ac:dyDescent="0.25">
      <c r="I71" s="42">
        <f>10^('Test Data Master Curve'!S18)</f>
        <v>254735801738.09082</v>
      </c>
      <c r="J71" s="24">
        <f>'Test Data Master Curve'!T18</f>
        <v>2.5</v>
      </c>
      <c r="L71" s="22">
        <f t="shared" si="19"/>
        <v>0.10438413361169102</v>
      </c>
      <c r="M71" s="20">
        <f t="shared" si="23"/>
        <v>254735801738.09082</v>
      </c>
      <c r="N71" s="16">
        <f t="shared" si="24"/>
        <v>2.5</v>
      </c>
    </row>
    <row r="72" spans="7:14" x14ac:dyDescent="0.25">
      <c r="I72" s="43">
        <f>10^('Test Data Master Curve'!S19)</f>
        <v>557234566302.0741</v>
      </c>
      <c r="J72" s="26">
        <f>'Test Data Master Curve'!T19</f>
        <v>2.5</v>
      </c>
      <c r="L72" s="22">
        <f t="shared" si="19"/>
        <v>0.10438413361169102</v>
      </c>
      <c r="M72" s="20">
        <f t="shared" si="23"/>
        <v>557234566302.0741</v>
      </c>
      <c r="N72" s="16">
        <f t="shared" si="24"/>
        <v>2.5</v>
      </c>
    </row>
  </sheetData>
  <mergeCells count="6">
    <mergeCell ref="I50:J50"/>
    <mergeCell ref="L2:M2"/>
    <mergeCell ref="A5:B5"/>
    <mergeCell ref="C16:D16"/>
    <mergeCell ref="E29:F29"/>
    <mergeCell ref="G39:H39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6"/>
  <sheetViews>
    <sheetView workbookViewId="0">
      <selection activeCell="N32" sqref="N32"/>
    </sheetView>
  </sheetViews>
  <sheetFormatPr defaultRowHeight="12.75" x14ac:dyDescent="0.2"/>
  <cols>
    <col min="1" max="1" width="10.5703125" style="27" customWidth="1"/>
    <col min="2" max="2" width="9.140625" style="27"/>
    <col min="3" max="3" width="4.7109375" style="27" customWidth="1"/>
    <col min="4" max="5" width="9.140625" style="27"/>
    <col min="6" max="6" width="10.5703125" style="27" customWidth="1"/>
    <col min="7" max="7" width="9.140625" style="27"/>
    <col min="8" max="8" width="4.42578125" style="27" customWidth="1"/>
    <col min="9" max="9" width="8.7109375" style="27" customWidth="1"/>
    <col min="10" max="10" width="8.42578125" style="27" customWidth="1"/>
    <col min="11" max="11" width="4" style="27" customWidth="1"/>
    <col min="12" max="12" width="8.42578125" style="27" customWidth="1"/>
    <col min="13" max="13" width="9.140625" style="27"/>
    <col min="14" max="14" width="12.140625" style="27" customWidth="1"/>
    <col min="15" max="17" width="9.140625" style="27"/>
    <col min="18" max="18" width="12.7109375" style="27" customWidth="1"/>
    <col min="19" max="20" width="9.140625" style="27"/>
    <col min="21" max="21" width="11.28515625" style="27" customWidth="1"/>
    <col min="22" max="23" width="9.140625" style="27"/>
    <col min="24" max="24" width="9.5703125" style="27" customWidth="1"/>
    <col min="25" max="256" width="9.140625" style="27"/>
    <col min="257" max="257" width="10.5703125" style="27" customWidth="1"/>
    <col min="258" max="266" width="9.140625" style="27"/>
    <col min="267" max="267" width="8.140625" style="27" customWidth="1"/>
    <col min="268" max="269" width="9.140625" style="27"/>
    <col min="270" max="270" width="12.140625" style="27" customWidth="1"/>
    <col min="271" max="273" width="9.140625" style="27"/>
    <col min="274" max="274" width="12.7109375" style="27" customWidth="1"/>
    <col min="275" max="276" width="9.140625" style="27"/>
    <col min="277" max="277" width="11.28515625" style="27" customWidth="1"/>
    <col min="278" max="279" width="9.140625" style="27"/>
    <col min="280" max="280" width="9.5703125" style="27" customWidth="1"/>
    <col min="281" max="512" width="9.140625" style="27"/>
    <col min="513" max="513" width="10.5703125" style="27" customWidth="1"/>
    <col min="514" max="522" width="9.140625" style="27"/>
    <col min="523" max="523" width="8.140625" style="27" customWidth="1"/>
    <col min="524" max="525" width="9.140625" style="27"/>
    <col min="526" max="526" width="12.140625" style="27" customWidth="1"/>
    <col min="527" max="529" width="9.140625" style="27"/>
    <col min="530" max="530" width="12.7109375" style="27" customWidth="1"/>
    <col min="531" max="532" width="9.140625" style="27"/>
    <col min="533" max="533" width="11.28515625" style="27" customWidth="1"/>
    <col min="534" max="535" width="9.140625" style="27"/>
    <col min="536" max="536" width="9.5703125" style="27" customWidth="1"/>
    <col min="537" max="768" width="9.140625" style="27"/>
    <col min="769" max="769" width="10.5703125" style="27" customWidth="1"/>
    <col min="770" max="778" width="9.140625" style="27"/>
    <col min="779" max="779" width="8.140625" style="27" customWidth="1"/>
    <col min="780" max="781" width="9.140625" style="27"/>
    <col min="782" max="782" width="12.140625" style="27" customWidth="1"/>
    <col min="783" max="785" width="9.140625" style="27"/>
    <col min="786" max="786" width="12.7109375" style="27" customWidth="1"/>
    <col min="787" max="788" width="9.140625" style="27"/>
    <col min="789" max="789" width="11.28515625" style="27" customWidth="1"/>
    <col min="790" max="791" width="9.140625" style="27"/>
    <col min="792" max="792" width="9.5703125" style="27" customWidth="1"/>
    <col min="793" max="1024" width="9.140625" style="27"/>
    <col min="1025" max="1025" width="10.5703125" style="27" customWidth="1"/>
    <col min="1026" max="1034" width="9.140625" style="27"/>
    <col min="1035" max="1035" width="8.140625" style="27" customWidth="1"/>
    <col min="1036" max="1037" width="9.140625" style="27"/>
    <col min="1038" max="1038" width="12.140625" style="27" customWidth="1"/>
    <col min="1039" max="1041" width="9.140625" style="27"/>
    <col min="1042" max="1042" width="12.7109375" style="27" customWidth="1"/>
    <col min="1043" max="1044" width="9.140625" style="27"/>
    <col min="1045" max="1045" width="11.28515625" style="27" customWidth="1"/>
    <col min="1046" max="1047" width="9.140625" style="27"/>
    <col min="1048" max="1048" width="9.5703125" style="27" customWidth="1"/>
    <col min="1049" max="1280" width="9.140625" style="27"/>
    <col min="1281" max="1281" width="10.5703125" style="27" customWidth="1"/>
    <col min="1282" max="1290" width="9.140625" style="27"/>
    <col min="1291" max="1291" width="8.140625" style="27" customWidth="1"/>
    <col min="1292" max="1293" width="9.140625" style="27"/>
    <col min="1294" max="1294" width="12.140625" style="27" customWidth="1"/>
    <col min="1295" max="1297" width="9.140625" style="27"/>
    <col min="1298" max="1298" width="12.7109375" style="27" customWidth="1"/>
    <col min="1299" max="1300" width="9.140625" style="27"/>
    <col min="1301" max="1301" width="11.28515625" style="27" customWidth="1"/>
    <col min="1302" max="1303" width="9.140625" style="27"/>
    <col min="1304" max="1304" width="9.5703125" style="27" customWidth="1"/>
    <col min="1305" max="1536" width="9.140625" style="27"/>
    <col min="1537" max="1537" width="10.5703125" style="27" customWidth="1"/>
    <col min="1538" max="1546" width="9.140625" style="27"/>
    <col min="1547" max="1547" width="8.140625" style="27" customWidth="1"/>
    <col min="1548" max="1549" width="9.140625" style="27"/>
    <col min="1550" max="1550" width="12.140625" style="27" customWidth="1"/>
    <col min="1551" max="1553" width="9.140625" style="27"/>
    <col min="1554" max="1554" width="12.7109375" style="27" customWidth="1"/>
    <col min="1555" max="1556" width="9.140625" style="27"/>
    <col min="1557" max="1557" width="11.28515625" style="27" customWidth="1"/>
    <col min="1558" max="1559" width="9.140625" style="27"/>
    <col min="1560" max="1560" width="9.5703125" style="27" customWidth="1"/>
    <col min="1561" max="1792" width="9.140625" style="27"/>
    <col min="1793" max="1793" width="10.5703125" style="27" customWidth="1"/>
    <col min="1794" max="1802" width="9.140625" style="27"/>
    <col min="1803" max="1803" width="8.140625" style="27" customWidth="1"/>
    <col min="1804" max="1805" width="9.140625" style="27"/>
    <col min="1806" max="1806" width="12.140625" style="27" customWidth="1"/>
    <col min="1807" max="1809" width="9.140625" style="27"/>
    <col min="1810" max="1810" width="12.7109375" style="27" customWidth="1"/>
    <col min="1811" max="1812" width="9.140625" style="27"/>
    <col min="1813" max="1813" width="11.28515625" style="27" customWidth="1"/>
    <col min="1814" max="1815" width="9.140625" style="27"/>
    <col min="1816" max="1816" width="9.5703125" style="27" customWidth="1"/>
    <col min="1817" max="2048" width="9.140625" style="27"/>
    <col min="2049" max="2049" width="10.5703125" style="27" customWidth="1"/>
    <col min="2050" max="2058" width="9.140625" style="27"/>
    <col min="2059" max="2059" width="8.140625" style="27" customWidth="1"/>
    <col min="2060" max="2061" width="9.140625" style="27"/>
    <col min="2062" max="2062" width="12.140625" style="27" customWidth="1"/>
    <col min="2063" max="2065" width="9.140625" style="27"/>
    <col min="2066" max="2066" width="12.7109375" style="27" customWidth="1"/>
    <col min="2067" max="2068" width="9.140625" style="27"/>
    <col min="2069" max="2069" width="11.28515625" style="27" customWidth="1"/>
    <col min="2070" max="2071" width="9.140625" style="27"/>
    <col min="2072" max="2072" width="9.5703125" style="27" customWidth="1"/>
    <col min="2073" max="2304" width="9.140625" style="27"/>
    <col min="2305" max="2305" width="10.5703125" style="27" customWidth="1"/>
    <col min="2306" max="2314" width="9.140625" style="27"/>
    <col min="2315" max="2315" width="8.140625" style="27" customWidth="1"/>
    <col min="2316" max="2317" width="9.140625" style="27"/>
    <col min="2318" max="2318" width="12.140625" style="27" customWidth="1"/>
    <col min="2319" max="2321" width="9.140625" style="27"/>
    <col min="2322" max="2322" width="12.7109375" style="27" customWidth="1"/>
    <col min="2323" max="2324" width="9.140625" style="27"/>
    <col min="2325" max="2325" width="11.28515625" style="27" customWidth="1"/>
    <col min="2326" max="2327" width="9.140625" style="27"/>
    <col min="2328" max="2328" width="9.5703125" style="27" customWidth="1"/>
    <col min="2329" max="2560" width="9.140625" style="27"/>
    <col min="2561" max="2561" width="10.5703125" style="27" customWidth="1"/>
    <col min="2562" max="2570" width="9.140625" style="27"/>
    <col min="2571" max="2571" width="8.140625" style="27" customWidth="1"/>
    <col min="2572" max="2573" width="9.140625" style="27"/>
    <col min="2574" max="2574" width="12.140625" style="27" customWidth="1"/>
    <col min="2575" max="2577" width="9.140625" style="27"/>
    <col min="2578" max="2578" width="12.7109375" style="27" customWidth="1"/>
    <col min="2579" max="2580" width="9.140625" style="27"/>
    <col min="2581" max="2581" width="11.28515625" style="27" customWidth="1"/>
    <col min="2582" max="2583" width="9.140625" style="27"/>
    <col min="2584" max="2584" width="9.5703125" style="27" customWidth="1"/>
    <col min="2585" max="2816" width="9.140625" style="27"/>
    <col min="2817" max="2817" width="10.5703125" style="27" customWidth="1"/>
    <col min="2818" max="2826" width="9.140625" style="27"/>
    <col min="2827" max="2827" width="8.140625" style="27" customWidth="1"/>
    <col min="2828" max="2829" width="9.140625" style="27"/>
    <col min="2830" max="2830" width="12.140625" style="27" customWidth="1"/>
    <col min="2831" max="2833" width="9.140625" style="27"/>
    <col min="2834" max="2834" width="12.7109375" style="27" customWidth="1"/>
    <col min="2835" max="2836" width="9.140625" style="27"/>
    <col min="2837" max="2837" width="11.28515625" style="27" customWidth="1"/>
    <col min="2838" max="2839" width="9.140625" style="27"/>
    <col min="2840" max="2840" width="9.5703125" style="27" customWidth="1"/>
    <col min="2841" max="3072" width="9.140625" style="27"/>
    <col min="3073" max="3073" width="10.5703125" style="27" customWidth="1"/>
    <col min="3074" max="3082" width="9.140625" style="27"/>
    <col min="3083" max="3083" width="8.140625" style="27" customWidth="1"/>
    <col min="3084" max="3085" width="9.140625" style="27"/>
    <col min="3086" max="3086" width="12.140625" style="27" customWidth="1"/>
    <col min="3087" max="3089" width="9.140625" style="27"/>
    <col min="3090" max="3090" width="12.7109375" style="27" customWidth="1"/>
    <col min="3091" max="3092" width="9.140625" style="27"/>
    <col min="3093" max="3093" width="11.28515625" style="27" customWidth="1"/>
    <col min="3094" max="3095" width="9.140625" style="27"/>
    <col min="3096" max="3096" width="9.5703125" style="27" customWidth="1"/>
    <col min="3097" max="3328" width="9.140625" style="27"/>
    <col min="3329" max="3329" width="10.5703125" style="27" customWidth="1"/>
    <col min="3330" max="3338" width="9.140625" style="27"/>
    <col min="3339" max="3339" width="8.140625" style="27" customWidth="1"/>
    <col min="3340" max="3341" width="9.140625" style="27"/>
    <col min="3342" max="3342" width="12.140625" style="27" customWidth="1"/>
    <col min="3343" max="3345" width="9.140625" style="27"/>
    <col min="3346" max="3346" width="12.7109375" style="27" customWidth="1"/>
    <col min="3347" max="3348" width="9.140625" style="27"/>
    <col min="3349" max="3349" width="11.28515625" style="27" customWidth="1"/>
    <col min="3350" max="3351" width="9.140625" style="27"/>
    <col min="3352" max="3352" width="9.5703125" style="27" customWidth="1"/>
    <col min="3353" max="3584" width="9.140625" style="27"/>
    <col min="3585" max="3585" width="10.5703125" style="27" customWidth="1"/>
    <col min="3586" max="3594" width="9.140625" style="27"/>
    <col min="3595" max="3595" width="8.140625" style="27" customWidth="1"/>
    <col min="3596" max="3597" width="9.140625" style="27"/>
    <col min="3598" max="3598" width="12.140625" style="27" customWidth="1"/>
    <col min="3599" max="3601" width="9.140625" style="27"/>
    <col min="3602" max="3602" width="12.7109375" style="27" customWidth="1"/>
    <col min="3603" max="3604" width="9.140625" style="27"/>
    <col min="3605" max="3605" width="11.28515625" style="27" customWidth="1"/>
    <col min="3606" max="3607" width="9.140625" style="27"/>
    <col min="3608" max="3608" width="9.5703125" style="27" customWidth="1"/>
    <col min="3609" max="3840" width="9.140625" style="27"/>
    <col min="3841" max="3841" width="10.5703125" style="27" customWidth="1"/>
    <col min="3842" max="3850" width="9.140625" style="27"/>
    <col min="3851" max="3851" width="8.140625" style="27" customWidth="1"/>
    <col min="3852" max="3853" width="9.140625" style="27"/>
    <col min="3854" max="3854" width="12.140625" style="27" customWidth="1"/>
    <col min="3855" max="3857" width="9.140625" style="27"/>
    <col min="3858" max="3858" width="12.7109375" style="27" customWidth="1"/>
    <col min="3859" max="3860" width="9.140625" style="27"/>
    <col min="3861" max="3861" width="11.28515625" style="27" customWidth="1"/>
    <col min="3862" max="3863" width="9.140625" style="27"/>
    <col min="3864" max="3864" width="9.5703125" style="27" customWidth="1"/>
    <col min="3865" max="4096" width="9.140625" style="27"/>
    <col min="4097" max="4097" width="10.5703125" style="27" customWidth="1"/>
    <col min="4098" max="4106" width="9.140625" style="27"/>
    <col min="4107" max="4107" width="8.140625" style="27" customWidth="1"/>
    <col min="4108" max="4109" width="9.140625" style="27"/>
    <col min="4110" max="4110" width="12.140625" style="27" customWidth="1"/>
    <col min="4111" max="4113" width="9.140625" style="27"/>
    <col min="4114" max="4114" width="12.7109375" style="27" customWidth="1"/>
    <col min="4115" max="4116" width="9.140625" style="27"/>
    <col min="4117" max="4117" width="11.28515625" style="27" customWidth="1"/>
    <col min="4118" max="4119" width="9.140625" style="27"/>
    <col min="4120" max="4120" width="9.5703125" style="27" customWidth="1"/>
    <col min="4121" max="4352" width="9.140625" style="27"/>
    <col min="4353" max="4353" width="10.5703125" style="27" customWidth="1"/>
    <col min="4354" max="4362" width="9.140625" style="27"/>
    <col min="4363" max="4363" width="8.140625" style="27" customWidth="1"/>
    <col min="4364" max="4365" width="9.140625" style="27"/>
    <col min="4366" max="4366" width="12.140625" style="27" customWidth="1"/>
    <col min="4367" max="4369" width="9.140625" style="27"/>
    <col min="4370" max="4370" width="12.7109375" style="27" customWidth="1"/>
    <col min="4371" max="4372" width="9.140625" style="27"/>
    <col min="4373" max="4373" width="11.28515625" style="27" customWidth="1"/>
    <col min="4374" max="4375" width="9.140625" style="27"/>
    <col min="4376" max="4376" width="9.5703125" style="27" customWidth="1"/>
    <col min="4377" max="4608" width="9.140625" style="27"/>
    <col min="4609" max="4609" width="10.5703125" style="27" customWidth="1"/>
    <col min="4610" max="4618" width="9.140625" style="27"/>
    <col min="4619" max="4619" width="8.140625" style="27" customWidth="1"/>
    <col min="4620" max="4621" width="9.140625" style="27"/>
    <col min="4622" max="4622" width="12.140625" style="27" customWidth="1"/>
    <col min="4623" max="4625" width="9.140625" style="27"/>
    <col min="4626" max="4626" width="12.7109375" style="27" customWidth="1"/>
    <col min="4627" max="4628" width="9.140625" style="27"/>
    <col min="4629" max="4629" width="11.28515625" style="27" customWidth="1"/>
    <col min="4630" max="4631" width="9.140625" style="27"/>
    <col min="4632" max="4632" width="9.5703125" style="27" customWidth="1"/>
    <col min="4633" max="4864" width="9.140625" style="27"/>
    <col min="4865" max="4865" width="10.5703125" style="27" customWidth="1"/>
    <col min="4866" max="4874" width="9.140625" style="27"/>
    <col min="4875" max="4875" width="8.140625" style="27" customWidth="1"/>
    <col min="4876" max="4877" width="9.140625" style="27"/>
    <col min="4878" max="4878" width="12.140625" style="27" customWidth="1"/>
    <col min="4879" max="4881" width="9.140625" style="27"/>
    <col min="4882" max="4882" width="12.7109375" style="27" customWidth="1"/>
    <col min="4883" max="4884" width="9.140625" style="27"/>
    <col min="4885" max="4885" width="11.28515625" style="27" customWidth="1"/>
    <col min="4886" max="4887" width="9.140625" style="27"/>
    <col min="4888" max="4888" width="9.5703125" style="27" customWidth="1"/>
    <col min="4889" max="5120" width="9.140625" style="27"/>
    <col min="5121" max="5121" width="10.5703125" style="27" customWidth="1"/>
    <col min="5122" max="5130" width="9.140625" style="27"/>
    <col min="5131" max="5131" width="8.140625" style="27" customWidth="1"/>
    <col min="5132" max="5133" width="9.140625" style="27"/>
    <col min="5134" max="5134" width="12.140625" style="27" customWidth="1"/>
    <col min="5135" max="5137" width="9.140625" style="27"/>
    <col min="5138" max="5138" width="12.7109375" style="27" customWidth="1"/>
    <col min="5139" max="5140" width="9.140625" style="27"/>
    <col min="5141" max="5141" width="11.28515625" style="27" customWidth="1"/>
    <col min="5142" max="5143" width="9.140625" style="27"/>
    <col min="5144" max="5144" width="9.5703125" style="27" customWidth="1"/>
    <col min="5145" max="5376" width="9.140625" style="27"/>
    <col min="5377" max="5377" width="10.5703125" style="27" customWidth="1"/>
    <col min="5378" max="5386" width="9.140625" style="27"/>
    <col min="5387" max="5387" width="8.140625" style="27" customWidth="1"/>
    <col min="5388" max="5389" width="9.140625" style="27"/>
    <col min="5390" max="5390" width="12.140625" style="27" customWidth="1"/>
    <col min="5391" max="5393" width="9.140625" style="27"/>
    <col min="5394" max="5394" width="12.7109375" style="27" customWidth="1"/>
    <col min="5395" max="5396" width="9.140625" style="27"/>
    <col min="5397" max="5397" width="11.28515625" style="27" customWidth="1"/>
    <col min="5398" max="5399" width="9.140625" style="27"/>
    <col min="5400" max="5400" width="9.5703125" style="27" customWidth="1"/>
    <col min="5401" max="5632" width="9.140625" style="27"/>
    <col min="5633" max="5633" width="10.5703125" style="27" customWidth="1"/>
    <col min="5634" max="5642" width="9.140625" style="27"/>
    <col min="5643" max="5643" width="8.140625" style="27" customWidth="1"/>
    <col min="5644" max="5645" width="9.140625" style="27"/>
    <col min="5646" max="5646" width="12.140625" style="27" customWidth="1"/>
    <col min="5647" max="5649" width="9.140625" style="27"/>
    <col min="5650" max="5650" width="12.7109375" style="27" customWidth="1"/>
    <col min="5651" max="5652" width="9.140625" style="27"/>
    <col min="5653" max="5653" width="11.28515625" style="27" customWidth="1"/>
    <col min="5654" max="5655" width="9.140625" style="27"/>
    <col min="5656" max="5656" width="9.5703125" style="27" customWidth="1"/>
    <col min="5657" max="5888" width="9.140625" style="27"/>
    <col min="5889" max="5889" width="10.5703125" style="27" customWidth="1"/>
    <col min="5890" max="5898" width="9.140625" style="27"/>
    <col min="5899" max="5899" width="8.140625" style="27" customWidth="1"/>
    <col min="5900" max="5901" width="9.140625" style="27"/>
    <col min="5902" max="5902" width="12.140625" style="27" customWidth="1"/>
    <col min="5903" max="5905" width="9.140625" style="27"/>
    <col min="5906" max="5906" width="12.7109375" style="27" customWidth="1"/>
    <col min="5907" max="5908" width="9.140625" style="27"/>
    <col min="5909" max="5909" width="11.28515625" style="27" customWidth="1"/>
    <col min="5910" max="5911" width="9.140625" style="27"/>
    <col min="5912" max="5912" width="9.5703125" style="27" customWidth="1"/>
    <col min="5913" max="6144" width="9.140625" style="27"/>
    <col min="6145" max="6145" width="10.5703125" style="27" customWidth="1"/>
    <col min="6146" max="6154" width="9.140625" style="27"/>
    <col min="6155" max="6155" width="8.140625" style="27" customWidth="1"/>
    <col min="6156" max="6157" width="9.140625" style="27"/>
    <col min="6158" max="6158" width="12.140625" style="27" customWidth="1"/>
    <col min="6159" max="6161" width="9.140625" style="27"/>
    <col min="6162" max="6162" width="12.7109375" style="27" customWidth="1"/>
    <col min="6163" max="6164" width="9.140625" style="27"/>
    <col min="6165" max="6165" width="11.28515625" style="27" customWidth="1"/>
    <col min="6166" max="6167" width="9.140625" style="27"/>
    <col min="6168" max="6168" width="9.5703125" style="27" customWidth="1"/>
    <col min="6169" max="6400" width="9.140625" style="27"/>
    <col min="6401" max="6401" width="10.5703125" style="27" customWidth="1"/>
    <col min="6402" max="6410" width="9.140625" style="27"/>
    <col min="6411" max="6411" width="8.140625" style="27" customWidth="1"/>
    <col min="6412" max="6413" width="9.140625" style="27"/>
    <col min="6414" max="6414" width="12.140625" style="27" customWidth="1"/>
    <col min="6415" max="6417" width="9.140625" style="27"/>
    <col min="6418" max="6418" width="12.7109375" style="27" customWidth="1"/>
    <col min="6419" max="6420" width="9.140625" style="27"/>
    <col min="6421" max="6421" width="11.28515625" style="27" customWidth="1"/>
    <col min="6422" max="6423" width="9.140625" style="27"/>
    <col min="6424" max="6424" width="9.5703125" style="27" customWidth="1"/>
    <col min="6425" max="6656" width="9.140625" style="27"/>
    <col min="6657" max="6657" width="10.5703125" style="27" customWidth="1"/>
    <col min="6658" max="6666" width="9.140625" style="27"/>
    <col min="6667" max="6667" width="8.140625" style="27" customWidth="1"/>
    <col min="6668" max="6669" width="9.140625" style="27"/>
    <col min="6670" max="6670" width="12.140625" style="27" customWidth="1"/>
    <col min="6671" max="6673" width="9.140625" style="27"/>
    <col min="6674" max="6674" width="12.7109375" style="27" customWidth="1"/>
    <col min="6675" max="6676" width="9.140625" style="27"/>
    <col min="6677" max="6677" width="11.28515625" style="27" customWidth="1"/>
    <col min="6678" max="6679" width="9.140625" style="27"/>
    <col min="6680" max="6680" width="9.5703125" style="27" customWidth="1"/>
    <col min="6681" max="6912" width="9.140625" style="27"/>
    <col min="6913" max="6913" width="10.5703125" style="27" customWidth="1"/>
    <col min="6914" max="6922" width="9.140625" style="27"/>
    <col min="6923" max="6923" width="8.140625" style="27" customWidth="1"/>
    <col min="6924" max="6925" width="9.140625" style="27"/>
    <col min="6926" max="6926" width="12.140625" style="27" customWidth="1"/>
    <col min="6927" max="6929" width="9.140625" style="27"/>
    <col min="6930" max="6930" width="12.7109375" style="27" customWidth="1"/>
    <col min="6931" max="6932" width="9.140625" style="27"/>
    <col min="6933" max="6933" width="11.28515625" style="27" customWidth="1"/>
    <col min="6934" max="6935" width="9.140625" style="27"/>
    <col min="6936" max="6936" width="9.5703125" style="27" customWidth="1"/>
    <col min="6937" max="7168" width="9.140625" style="27"/>
    <col min="7169" max="7169" width="10.5703125" style="27" customWidth="1"/>
    <col min="7170" max="7178" width="9.140625" style="27"/>
    <col min="7179" max="7179" width="8.140625" style="27" customWidth="1"/>
    <col min="7180" max="7181" width="9.140625" style="27"/>
    <col min="7182" max="7182" width="12.140625" style="27" customWidth="1"/>
    <col min="7183" max="7185" width="9.140625" style="27"/>
    <col min="7186" max="7186" width="12.7109375" style="27" customWidth="1"/>
    <col min="7187" max="7188" width="9.140625" style="27"/>
    <col min="7189" max="7189" width="11.28515625" style="27" customWidth="1"/>
    <col min="7190" max="7191" width="9.140625" style="27"/>
    <col min="7192" max="7192" width="9.5703125" style="27" customWidth="1"/>
    <col min="7193" max="7424" width="9.140625" style="27"/>
    <col min="7425" max="7425" width="10.5703125" style="27" customWidth="1"/>
    <col min="7426" max="7434" width="9.140625" style="27"/>
    <col min="7435" max="7435" width="8.140625" style="27" customWidth="1"/>
    <col min="7436" max="7437" width="9.140625" style="27"/>
    <col min="7438" max="7438" width="12.140625" style="27" customWidth="1"/>
    <col min="7439" max="7441" width="9.140625" style="27"/>
    <col min="7442" max="7442" width="12.7109375" style="27" customWidth="1"/>
    <col min="7443" max="7444" width="9.140625" style="27"/>
    <col min="7445" max="7445" width="11.28515625" style="27" customWidth="1"/>
    <col min="7446" max="7447" width="9.140625" style="27"/>
    <col min="7448" max="7448" width="9.5703125" style="27" customWidth="1"/>
    <col min="7449" max="7680" width="9.140625" style="27"/>
    <col min="7681" max="7681" width="10.5703125" style="27" customWidth="1"/>
    <col min="7682" max="7690" width="9.140625" style="27"/>
    <col min="7691" max="7691" width="8.140625" style="27" customWidth="1"/>
    <col min="7692" max="7693" width="9.140625" style="27"/>
    <col min="7694" max="7694" width="12.140625" style="27" customWidth="1"/>
    <col min="7695" max="7697" width="9.140625" style="27"/>
    <col min="7698" max="7698" width="12.7109375" style="27" customWidth="1"/>
    <col min="7699" max="7700" width="9.140625" style="27"/>
    <col min="7701" max="7701" width="11.28515625" style="27" customWidth="1"/>
    <col min="7702" max="7703" width="9.140625" style="27"/>
    <col min="7704" max="7704" width="9.5703125" style="27" customWidth="1"/>
    <col min="7705" max="7936" width="9.140625" style="27"/>
    <col min="7937" max="7937" width="10.5703125" style="27" customWidth="1"/>
    <col min="7938" max="7946" width="9.140625" style="27"/>
    <col min="7947" max="7947" width="8.140625" style="27" customWidth="1"/>
    <col min="7948" max="7949" width="9.140625" style="27"/>
    <col min="7950" max="7950" width="12.140625" style="27" customWidth="1"/>
    <col min="7951" max="7953" width="9.140625" style="27"/>
    <col min="7954" max="7954" width="12.7109375" style="27" customWidth="1"/>
    <col min="7955" max="7956" width="9.140625" style="27"/>
    <col min="7957" max="7957" width="11.28515625" style="27" customWidth="1"/>
    <col min="7958" max="7959" width="9.140625" style="27"/>
    <col min="7960" max="7960" width="9.5703125" style="27" customWidth="1"/>
    <col min="7961" max="8192" width="9.140625" style="27"/>
    <col min="8193" max="8193" width="10.5703125" style="27" customWidth="1"/>
    <col min="8194" max="8202" width="9.140625" style="27"/>
    <col min="8203" max="8203" width="8.140625" style="27" customWidth="1"/>
    <col min="8204" max="8205" width="9.140625" style="27"/>
    <col min="8206" max="8206" width="12.140625" style="27" customWidth="1"/>
    <col min="8207" max="8209" width="9.140625" style="27"/>
    <col min="8210" max="8210" width="12.7109375" style="27" customWidth="1"/>
    <col min="8211" max="8212" width="9.140625" style="27"/>
    <col min="8213" max="8213" width="11.28515625" style="27" customWidth="1"/>
    <col min="8214" max="8215" width="9.140625" style="27"/>
    <col min="8216" max="8216" width="9.5703125" style="27" customWidth="1"/>
    <col min="8217" max="8448" width="9.140625" style="27"/>
    <col min="8449" max="8449" width="10.5703125" style="27" customWidth="1"/>
    <col min="8450" max="8458" width="9.140625" style="27"/>
    <col min="8459" max="8459" width="8.140625" style="27" customWidth="1"/>
    <col min="8460" max="8461" width="9.140625" style="27"/>
    <col min="8462" max="8462" width="12.140625" style="27" customWidth="1"/>
    <col min="8463" max="8465" width="9.140625" style="27"/>
    <col min="8466" max="8466" width="12.7109375" style="27" customWidth="1"/>
    <col min="8467" max="8468" width="9.140625" style="27"/>
    <col min="8469" max="8469" width="11.28515625" style="27" customWidth="1"/>
    <col min="8470" max="8471" width="9.140625" style="27"/>
    <col min="8472" max="8472" width="9.5703125" style="27" customWidth="1"/>
    <col min="8473" max="8704" width="9.140625" style="27"/>
    <col min="8705" max="8705" width="10.5703125" style="27" customWidth="1"/>
    <col min="8706" max="8714" width="9.140625" style="27"/>
    <col min="8715" max="8715" width="8.140625" style="27" customWidth="1"/>
    <col min="8716" max="8717" width="9.140625" style="27"/>
    <col min="8718" max="8718" width="12.140625" style="27" customWidth="1"/>
    <col min="8719" max="8721" width="9.140625" style="27"/>
    <col min="8722" max="8722" width="12.7109375" style="27" customWidth="1"/>
    <col min="8723" max="8724" width="9.140625" style="27"/>
    <col min="8725" max="8725" width="11.28515625" style="27" customWidth="1"/>
    <col min="8726" max="8727" width="9.140625" style="27"/>
    <col min="8728" max="8728" width="9.5703125" style="27" customWidth="1"/>
    <col min="8729" max="8960" width="9.140625" style="27"/>
    <col min="8961" max="8961" width="10.5703125" style="27" customWidth="1"/>
    <col min="8962" max="8970" width="9.140625" style="27"/>
    <col min="8971" max="8971" width="8.140625" style="27" customWidth="1"/>
    <col min="8972" max="8973" width="9.140625" style="27"/>
    <col min="8974" max="8974" width="12.140625" style="27" customWidth="1"/>
    <col min="8975" max="8977" width="9.140625" style="27"/>
    <col min="8978" max="8978" width="12.7109375" style="27" customWidth="1"/>
    <col min="8979" max="8980" width="9.140625" style="27"/>
    <col min="8981" max="8981" width="11.28515625" style="27" customWidth="1"/>
    <col min="8982" max="8983" width="9.140625" style="27"/>
    <col min="8984" max="8984" width="9.5703125" style="27" customWidth="1"/>
    <col min="8985" max="9216" width="9.140625" style="27"/>
    <col min="9217" max="9217" width="10.5703125" style="27" customWidth="1"/>
    <col min="9218" max="9226" width="9.140625" style="27"/>
    <col min="9227" max="9227" width="8.140625" style="27" customWidth="1"/>
    <col min="9228" max="9229" width="9.140625" style="27"/>
    <col min="9230" max="9230" width="12.140625" style="27" customWidth="1"/>
    <col min="9231" max="9233" width="9.140625" style="27"/>
    <col min="9234" max="9234" width="12.7109375" style="27" customWidth="1"/>
    <col min="9235" max="9236" width="9.140625" style="27"/>
    <col min="9237" max="9237" width="11.28515625" style="27" customWidth="1"/>
    <col min="9238" max="9239" width="9.140625" style="27"/>
    <col min="9240" max="9240" width="9.5703125" style="27" customWidth="1"/>
    <col min="9241" max="9472" width="9.140625" style="27"/>
    <col min="9473" max="9473" width="10.5703125" style="27" customWidth="1"/>
    <col min="9474" max="9482" width="9.140625" style="27"/>
    <col min="9483" max="9483" width="8.140625" style="27" customWidth="1"/>
    <col min="9484" max="9485" width="9.140625" style="27"/>
    <col min="9486" max="9486" width="12.140625" style="27" customWidth="1"/>
    <col min="9487" max="9489" width="9.140625" style="27"/>
    <col min="9490" max="9490" width="12.7109375" style="27" customWidth="1"/>
    <col min="9491" max="9492" width="9.140625" style="27"/>
    <col min="9493" max="9493" width="11.28515625" style="27" customWidth="1"/>
    <col min="9494" max="9495" width="9.140625" style="27"/>
    <col min="9496" max="9496" width="9.5703125" style="27" customWidth="1"/>
    <col min="9497" max="9728" width="9.140625" style="27"/>
    <col min="9729" max="9729" width="10.5703125" style="27" customWidth="1"/>
    <col min="9730" max="9738" width="9.140625" style="27"/>
    <col min="9739" max="9739" width="8.140625" style="27" customWidth="1"/>
    <col min="9740" max="9741" width="9.140625" style="27"/>
    <col min="9742" max="9742" width="12.140625" style="27" customWidth="1"/>
    <col min="9743" max="9745" width="9.140625" style="27"/>
    <col min="9746" max="9746" width="12.7109375" style="27" customWidth="1"/>
    <col min="9747" max="9748" width="9.140625" style="27"/>
    <col min="9749" max="9749" width="11.28515625" style="27" customWidth="1"/>
    <col min="9750" max="9751" width="9.140625" style="27"/>
    <col min="9752" max="9752" width="9.5703125" style="27" customWidth="1"/>
    <col min="9753" max="9984" width="9.140625" style="27"/>
    <col min="9985" max="9985" width="10.5703125" style="27" customWidth="1"/>
    <col min="9986" max="9994" width="9.140625" style="27"/>
    <col min="9995" max="9995" width="8.140625" style="27" customWidth="1"/>
    <col min="9996" max="9997" width="9.140625" style="27"/>
    <col min="9998" max="9998" width="12.140625" style="27" customWidth="1"/>
    <col min="9999" max="10001" width="9.140625" style="27"/>
    <col min="10002" max="10002" width="12.7109375" style="27" customWidth="1"/>
    <col min="10003" max="10004" width="9.140625" style="27"/>
    <col min="10005" max="10005" width="11.28515625" style="27" customWidth="1"/>
    <col min="10006" max="10007" width="9.140625" style="27"/>
    <col min="10008" max="10008" width="9.5703125" style="27" customWidth="1"/>
    <col min="10009" max="10240" width="9.140625" style="27"/>
    <col min="10241" max="10241" width="10.5703125" style="27" customWidth="1"/>
    <col min="10242" max="10250" width="9.140625" style="27"/>
    <col min="10251" max="10251" width="8.140625" style="27" customWidth="1"/>
    <col min="10252" max="10253" width="9.140625" style="27"/>
    <col min="10254" max="10254" width="12.140625" style="27" customWidth="1"/>
    <col min="10255" max="10257" width="9.140625" style="27"/>
    <col min="10258" max="10258" width="12.7109375" style="27" customWidth="1"/>
    <col min="10259" max="10260" width="9.140625" style="27"/>
    <col min="10261" max="10261" width="11.28515625" style="27" customWidth="1"/>
    <col min="10262" max="10263" width="9.140625" style="27"/>
    <col min="10264" max="10264" width="9.5703125" style="27" customWidth="1"/>
    <col min="10265" max="10496" width="9.140625" style="27"/>
    <col min="10497" max="10497" width="10.5703125" style="27" customWidth="1"/>
    <col min="10498" max="10506" width="9.140625" style="27"/>
    <col min="10507" max="10507" width="8.140625" style="27" customWidth="1"/>
    <col min="10508" max="10509" width="9.140625" style="27"/>
    <col min="10510" max="10510" width="12.140625" style="27" customWidth="1"/>
    <col min="10511" max="10513" width="9.140625" style="27"/>
    <col min="10514" max="10514" width="12.7109375" style="27" customWidth="1"/>
    <col min="10515" max="10516" width="9.140625" style="27"/>
    <col min="10517" max="10517" width="11.28515625" style="27" customWidth="1"/>
    <col min="10518" max="10519" width="9.140625" style="27"/>
    <col min="10520" max="10520" width="9.5703125" style="27" customWidth="1"/>
    <col min="10521" max="10752" width="9.140625" style="27"/>
    <col min="10753" max="10753" width="10.5703125" style="27" customWidth="1"/>
    <col min="10754" max="10762" width="9.140625" style="27"/>
    <col min="10763" max="10763" width="8.140625" style="27" customWidth="1"/>
    <col min="10764" max="10765" width="9.140625" style="27"/>
    <col min="10766" max="10766" width="12.140625" style="27" customWidth="1"/>
    <col min="10767" max="10769" width="9.140625" style="27"/>
    <col min="10770" max="10770" width="12.7109375" style="27" customWidth="1"/>
    <col min="10771" max="10772" width="9.140625" style="27"/>
    <col min="10773" max="10773" width="11.28515625" style="27" customWidth="1"/>
    <col min="10774" max="10775" width="9.140625" style="27"/>
    <col min="10776" max="10776" width="9.5703125" style="27" customWidth="1"/>
    <col min="10777" max="11008" width="9.140625" style="27"/>
    <col min="11009" max="11009" width="10.5703125" style="27" customWidth="1"/>
    <col min="11010" max="11018" width="9.140625" style="27"/>
    <col min="11019" max="11019" width="8.140625" style="27" customWidth="1"/>
    <col min="11020" max="11021" width="9.140625" style="27"/>
    <col min="11022" max="11022" width="12.140625" style="27" customWidth="1"/>
    <col min="11023" max="11025" width="9.140625" style="27"/>
    <col min="11026" max="11026" width="12.7109375" style="27" customWidth="1"/>
    <col min="11027" max="11028" width="9.140625" style="27"/>
    <col min="11029" max="11029" width="11.28515625" style="27" customWidth="1"/>
    <col min="11030" max="11031" width="9.140625" style="27"/>
    <col min="11032" max="11032" width="9.5703125" style="27" customWidth="1"/>
    <col min="11033" max="11264" width="9.140625" style="27"/>
    <col min="11265" max="11265" width="10.5703125" style="27" customWidth="1"/>
    <col min="11266" max="11274" width="9.140625" style="27"/>
    <col min="11275" max="11275" width="8.140625" style="27" customWidth="1"/>
    <col min="11276" max="11277" width="9.140625" style="27"/>
    <col min="11278" max="11278" width="12.140625" style="27" customWidth="1"/>
    <col min="11279" max="11281" width="9.140625" style="27"/>
    <col min="11282" max="11282" width="12.7109375" style="27" customWidth="1"/>
    <col min="11283" max="11284" width="9.140625" style="27"/>
    <col min="11285" max="11285" width="11.28515625" style="27" customWidth="1"/>
    <col min="11286" max="11287" width="9.140625" style="27"/>
    <col min="11288" max="11288" width="9.5703125" style="27" customWidth="1"/>
    <col min="11289" max="11520" width="9.140625" style="27"/>
    <col min="11521" max="11521" width="10.5703125" style="27" customWidth="1"/>
    <col min="11522" max="11530" width="9.140625" style="27"/>
    <col min="11531" max="11531" width="8.140625" style="27" customWidth="1"/>
    <col min="11532" max="11533" width="9.140625" style="27"/>
    <col min="11534" max="11534" width="12.140625" style="27" customWidth="1"/>
    <col min="11535" max="11537" width="9.140625" style="27"/>
    <col min="11538" max="11538" width="12.7109375" style="27" customWidth="1"/>
    <col min="11539" max="11540" width="9.140625" style="27"/>
    <col min="11541" max="11541" width="11.28515625" style="27" customWidth="1"/>
    <col min="11542" max="11543" width="9.140625" style="27"/>
    <col min="11544" max="11544" width="9.5703125" style="27" customWidth="1"/>
    <col min="11545" max="11776" width="9.140625" style="27"/>
    <col min="11777" max="11777" width="10.5703125" style="27" customWidth="1"/>
    <col min="11778" max="11786" width="9.140625" style="27"/>
    <col min="11787" max="11787" width="8.140625" style="27" customWidth="1"/>
    <col min="11788" max="11789" width="9.140625" style="27"/>
    <col min="11790" max="11790" width="12.140625" style="27" customWidth="1"/>
    <col min="11791" max="11793" width="9.140625" style="27"/>
    <col min="11794" max="11794" width="12.7109375" style="27" customWidth="1"/>
    <col min="11795" max="11796" width="9.140625" style="27"/>
    <col min="11797" max="11797" width="11.28515625" style="27" customWidth="1"/>
    <col min="11798" max="11799" width="9.140625" style="27"/>
    <col min="11800" max="11800" width="9.5703125" style="27" customWidth="1"/>
    <col min="11801" max="12032" width="9.140625" style="27"/>
    <col min="12033" max="12033" width="10.5703125" style="27" customWidth="1"/>
    <col min="12034" max="12042" width="9.140625" style="27"/>
    <col min="12043" max="12043" width="8.140625" style="27" customWidth="1"/>
    <col min="12044" max="12045" width="9.140625" style="27"/>
    <col min="12046" max="12046" width="12.140625" style="27" customWidth="1"/>
    <col min="12047" max="12049" width="9.140625" style="27"/>
    <col min="12050" max="12050" width="12.7109375" style="27" customWidth="1"/>
    <col min="12051" max="12052" width="9.140625" style="27"/>
    <col min="12053" max="12053" width="11.28515625" style="27" customWidth="1"/>
    <col min="12054" max="12055" width="9.140625" style="27"/>
    <col min="12056" max="12056" width="9.5703125" style="27" customWidth="1"/>
    <col min="12057" max="12288" width="9.140625" style="27"/>
    <col min="12289" max="12289" width="10.5703125" style="27" customWidth="1"/>
    <col min="12290" max="12298" width="9.140625" style="27"/>
    <col min="12299" max="12299" width="8.140625" style="27" customWidth="1"/>
    <col min="12300" max="12301" width="9.140625" style="27"/>
    <col min="12302" max="12302" width="12.140625" style="27" customWidth="1"/>
    <col min="12303" max="12305" width="9.140625" style="27"/>
    <col min="12306" max="12306" width="12.7109375" style="27" customWidth="1"/>
    <col min="12307" max="12308" width="9.140625" style="27"/>
    <col min="12309" max="12309" width="11.28515625" style="27" customWidth="1"/>
    <col min="12310" max="12311" width="9.140625" style="27"/>
    <col min="12312" max="12312" width="9.5703125" style="27" customWidth="1"/>
    <col min="12313" max="12544" width="9.140625" style="27"/>
    <col min="12545" max="12545" width="10.5703125" style="27" customWidth="1"/>
    <col min="12546" max="12554" width="9.140625" style="27"/>
    <col min="12555" max="12555" width="8.140625" style="27" customWidth="1"/>
    <col min="12556" max="12557" width="9.140625" style="27"/>
    <col min="12558" max="12558" width="12.140625" style="27" customWidth="1"/>
    <col min="12559" max="12561" width="9.140625" style="27"/>
    <col min="12562" max="12562" width="12.7109375" style="27" customWidth="1"/>
    <col min="12563" max="12564" width="9.140625" style="27"/>
    <col min="12565" max="12565" width="11.28515625" style="27" customWidth="1"/>
    <col min="12566" max="12567" width="9.140625" style="27"/>
    <col min="12568" max="12568" width="9.5703125" style="27" customWidth="1"/>
    <col min="12569" max="12800" width="9.140625" style="27"/>
    <col min="12801" max="12801" width="10.5703125" style="27" customWidth="1"/>
    <col min="12802" max="12810" width="9.140625" style="27"/>
    <col min="12811" max="12811" width="8.140625" style="27" customWidth="1"/>
    <col min="12812" max="12813" width="9.140625" style="27"/>
    <col min="12814" max="12814" width="12.140625" style="27" customWidth="1"/>
    <col min="12815" max="12817" width="9.140625" style="27"/>
    <col min="12818" max="12818" width="12.7109375" style="27" customWidth="1"/>
    <col min="12819" max="12820" width="9.140625" style="27"/>
    <col min="12821" max="12821" width="11.28515625" style="27" customWidth="1"/>
    <col min="12822" max="12823" width="9.140625" style="27"/>
    <col min="12824" max="12824" width="9.5703125" style="27" customWidth="1"/>
    <col min="12825" max="13056" width="9.140625" style="27"/>
    <col min="13057" max="13057" width="10.5703125" style="27" customWidth="1"/>
    <col min="13058" max="13066" width="9.140625" style="27"/>
    <col min="13067" max="13067" width="8.140625" style="27" customWidth="1"/>
    <col min="13068" max="13069" width="9.140625" style="27"/>
    <col min="13070" max="13070" width="12.140625" style="27" customWidth="1"/>
    <col min="13071" max="13073" width="9.140625" style="27"/>
    <col min="13074" max="13074" width="12.7109375" style="27" customWidth="1"/>
    <col min="13075" max="13076" width="9.140625" style="27"/>
    <col min="13077" max="13077" width="11.28515625" style="27" customWidth="1"/>
    <col min="13078" max="13079" width="9.140625" style="27"/>
    <col min="13080" max="13080" width="9.5703125" style="27" customWidth="1"/>
    <col min="13081" max="13312" width="9.140625" style="27"/>
    <col min="13313" max="13313" width="10.5703125" style="27" customWidth="1"/>
    <col min="13314" max="13322" width="9.140625" style="27"/>
    <col min="13323" max="13323" width="8.140625" style="27" customWidth="1"/>
    <col min="13324" max="13325" width="9.140625" style="27"/>
    <col min="13326" max="13326" width="12.140625" style="27" customWidth="1"/>
    <col min="13327" max="13329" width="9.140625" style="27"/>
    <col min="13330" max="13330" width="12.7109375" style="27" customWidth="1"/>
    <col min="13331" max="13332" width="9.140625" style="27"/>
    <col min="13333" max="13333" width="11.28515625" style="27" customWidth="1"/>
    <col min="13334" max="13335" width="9.140625" style="27"/>
    <col min="13336" max="13336" width="9.5703125" style="27" customWidth="1"/>
    <col min="13337" max="13568" width="9.140625" style="27"/>
    <col min="13569" max="13569" width="10.5703125" style="27" customWidth="1"/>
    <col min="13570" max="13578" width="9.140625" style="27"/>
    <col min="13579" max="13579" width="8.140625" style="27" customWidth="1"/>
    <col min="13580" max="13581" width="9.140625" style="27"/>
    <col min="13582" max="13582" width="12.140625" style="27" customWidth="1"/>
    <col min="13583" max="13585" width="9.140625" style="27"/>
    <col min="13586" max="13586" width="12.7109375" style="27" customWidth="1"/>
    <col min="13587" max="13588" width="9.140625" style="27"/>
    <col min="13589" max="13589" width="11.28515625" style="27" customWidth="1"/>
    <col min="13590" max="13591" width="9.140625" style="27"/>
    <col min="13592" max="13592" width="9.5703125" style="27" customWidth="1"/>
    <col min="13593" max="13824" width="9.140625" style="27"/>
    <col min="13825" max="13825" width="10.5703125" style="27" customWidth="1"/>
    <col min="13826" max="13834" width="9.140625" style="27"/>
    <col min="13835" max="13835" width="8.140625" style="27" customWidth="1"/>
    <col min="13836" max="13837" width="9.140625" style="27"/>
    <col min="13838" max="13838" width="12.140625" style="27" customWidth="1"/>
    <col min="13839" max="13841" width="9.140625" style="27"/>
    <col min="13842" max="13842" width="12.7109375" style="27" customWidth="1"/>
    <col min="13843" max="13844" width="9.140625" style="27"/>
    <col min="13845" max="13845" width="11.28515625" style="27" customWidth="1"/>
    <col min="13846" max="13847" width="9.140625" style="27"/>
    <col min="13848" max="13848" width="9.5703125" style="27" customWidth="1"/>
    <col min="13849" max="14080" width="9.140625" style="27"/>
    <col min="14081" max="14081" width="10.5703125" style="27" customWidth="1"/>
    <col min="14082" max="14090" width="9.140625" style="27"/>
    <col min="14091" max="14091" width="8.140625" style="27" customWidth="1"/>
    <col min="14092" max="14093" width="9.140625" style="27"/>
    <col min="14094" max="14094" width="12.140625" style="27" customWidth="1"/>
    <col min="14095" max="14097" width="9.140625" style="27"/>
    <col min="14098" max="14098" width="12.7109375" style="27" customWidth="1"/>
    <col min="14099" max="14100" width="9.140625" style="27"/>
    <col min="14101" max="14101" width="11.28515625" style="27" customWidth="1"/>
    <col min="14102" max="14103" width="9.140625" style="27"/>
    <col min="14104" max="14104" width="9.5703125" style="27" customWidth="1"/>
    <col min="14105" max="14336" width="9.140625" style="27"/>
    <col min="14337" max="14337" width="10.5703125" style="27" customWidth="1"/>
    <col min="14338" max="14346" width="9.140625" style="27"/>
    <col min="14347" max="14347" width="8.140625" style="27" customWidth="1"/>
    <col min="14348" max="14349" width="9.140625" style="27"/>
    <col min="14350" max="14350" width="12.140625" style="27" customWidth="1"/>
    <col min="14351" max="14353" width="9.140625" style="27"/>
    <col min="14354" max="14354" width="12.7109375" style="27" customWidth="1"/>
    <col min="14355" max="14356" width="9.140625" style="27"/>
    <col min="14357" max="14357" width="11.28515625" style="27" customWidth="1"/>
    <col min="14358" max="14359" width="9.140625" style="27"/>
    <col min="14360" max="14360" width="9.5703125" style="27" customWidth="1"/>
    <col min="14361" max="14592" width="9.140625" style="27"/>
    <col min="14593" max="14593" width="10.5703125" style="27" customWidth="1"/>
    <col min="14594" max="14602" width="9.140625" style="27"/>
    <col min="14603" max="14603" width="8.140625" style="27" customWidth="1"/>
    <col min="14604" max="14605" width="9.140625" style="27"/>
    <col min="14606" max="14606" width="12.140625" style="27" customWidth="1"/>
    <col min="14607" max="14609" width="9.140625" style="27"/>
    <col min="14610" max="14610" width="12.7109375" style="27" customWidth="1"/>
    <col min="14611" max="14612" width="9.140625" style="27"/>
    <col min="14613" max="14613" width="11.28515625" style="27" customWidth="1"/>
    <col min="14614" max="14615" width="9.140625" style="27"/>
    <col min="14616" max="14616" width="9.5703125" style="27" customWidth="1"/>
    <col min="14617" max="14848" width="9.140625" style="27"/>
    <col min="14849" max="14849" width="10.5703125" style="27" customWidth="1"/>
    <col min="14850" max="14858" width="9.140625" style="27"/>
    <col min="14859" max="14859" width="8.140625" style="27" customWidth="1"/>
    <col min="14860" max="14861" width="9.140625" style="27"/>
    <col min="14862" max="14862" width="12.140625" style="27" customWidth="1"/>
    <col min="14863" max="14865" width="9.140625" style="27"/>
    <col min="14866" max="14866" width="12.7109375" style="27" customWidth="1"/>
    <col min="14867" max="14868" width="9.140625" style="27"/>
    <col min="14869" max="14869" width="11.28515625" style="27" customWidth="1"/>
    <col min="14870" max="14871" width="9.140625" style="27"/>
    <col min="14872" max="14872" width="9.5703125" style="27" customWidth="1"/>
    <col min="14873" max="15104" width="9.140625" style="27"/>
    <col min="15105" max="15105" width="10.5703125" style="27" customWidth="1"/>
    <col min="15106" max="15114" width="9.140625" style="27"/>
    <col min="15115" max="15115" width="8.140625" style="27" customWidth="1"/>
    <col min="15116" max="15117" width="9.140625" style="27"/>
    <col min="15118" max="15118" width="12.140625" style="27" customWidth="1"/>
    <col min="15119" max="15121" width="9.140625" style="27"/>
    <col min="15122" max="15122" width="12.7109375" style="27" customWidth="1"/>
    <col min="15123" max="15124" width="9.140625" style="27"/>
    <col min="15125" max="15125" width="11.28515625" style="27" customWidth="1"/>
    <col min="15126" max="15127" width="9.140625" style="27"/>
    <col min="15128" max="15128" width="9.5703125" style="27" customWidth="1"/>
    <col min="15129" max="15360" width="9.140625" style="27"/>
    <col min="15361" max="15361" width="10.5703125" style="27" customWidth="1"/>
    <col min="15362" max="15370" width="9.140625" style="27"/>
    <col min="15371" max="15371" width="8.140625" style="27" customWidth="1"/>
    <col min="15372" max="15373" width="9.140625" style="27"/>
    <col min="15374" max="15374" width="12.140625" style="27" customWidth="1"/>
    <col min="15375" max="15377" width="9.140625" style="27"/>
    <col min="15378" max="15378" width="12.7109375" style="27" customWidth="1"/>
    <col min="15379" max="15380" width="9.140625" style="27"/>
    <col min="15381" max="15381" width="11.28515625" style="27" customWidth="1"/>
    <col min="15382" max="15383" width="9.140625" style="27"/>
    <col min="15384" max="15384" width="9.5703125" style="27" customWidth="1"/>
    <col min="15385" max="15616" width="9.140625" style="27"/>
    <col min="15617" max="15617" width="10.5703125" style="27" customWidth="1"/>
    <col min="15618" max="15626" width="9.140625" style="27"/>
    <col min="15627" max="15627" width="8.140625" style="27" customWidth="1"/>
    <col min="15628" max="15629" width="9.140625" style="27"/>
    <col min="15630" max="15630" width="12.140625" style="27" customWidth="1"/>
    <col min="15631" max="15633" width="9.140625" style="27"/>
    <col min="15634" max="15634" width="12.7109375" style="27" customWidth="1"/>
    <col min="15635" max="15636" width="9.140625" style="27"/>
    <col min="15637" max="15637" width="11.28515625" style="27" customWidth="1"/>
    <col min="15638" max="15639" width="9.140625" style="27"/>
    <col min="15640" max="15640" width="9.5703125" style="27" customWidth="1"/>
    <col min="15641" max="15872" width="9.140625" style="27"/>
    <col min="15873" max="15873" width="10.5703125" style="27" customWidth="1"/>
    <col min="15874" max="15882" width="9.140625" style="27"/>
    <col min="15883" max="15883" width="8.140625" style="27" customWidth="1"/>
    <col min="15884" max="15885" width="9.140625" style="27"/>
    <col min="15886" max="15886" width="12.140625" style="27" customWidth="1"/>
    <col min="15887" max="15889" width="9.140625" style="27"/>
    <col min="15890" max="15890" width="12.7109375" style="27" customWidth="1"/>
    <col min="15891" max="15892" width="9.140625" style="27"/>
    <col min="15893" max="15893" width="11.28515625" style="27" customWidth="1"/>
    <col min="15894" max="15895" width="9.140625" style="27"/>
    <col min="15896" max="15896" width="9.5703125" style="27" customWidth="1"/>
    <col min="15897" max="16128" width="9.140625" style="27"/>
    <col min="16129" max="16129" width="10.5703125" style="27" customWidth="1"/>
    <col min="16130" max="16138" width="9.140625" style="27"/>
    <col min="16139" max="16139" width="8.140625" style="27" customWidth="1"/>
    <col min="16140" max="16141" width="9.140625" style="27"/>
    <col min="16142" max="16142" width="12.140625" style="27" customWidth="1"/>
    <col min="16143" max="16145" width="9.140625" style="27"/>
    <col min="16146" max="16146" width="12.7109375" style="27" customWidth="1"/>
    <col min="16147" max="16148" width="9.140625" style="27"/>
    <col min="16149" max="16149" width="11.28515625" style="27" customWidth="1"/>
    <col min="16150" max="16151" width="9.140625" style="27"/>
    <col min="16152" max="16152" width="9.5703125" style="27" customWidth="1"/>
    <col min="16153" max="16384" width="9.140625" style="27"/>
  </cols>
  <sheetData>
    <row r="1" spans="1:13" x14ac:dyDescent="0.2">
      <c r="C1" s="28"/>
    </row>
    <row r="2" spans="1:13" x14ac:dyDescent="0.2">
      <c r="A2" s="27" t="s">
        <v>32</v>
      </c>
      <c r="B2" s="31">
        <v>0.20763000000000001</v>
      </c>
      <c r="E2" s="27" t="s">
        <v>33</v>
      </c>
      <c r="F2" s="29">
        <v>1694</v>
      </c>
      <c r="H2" s="30"/>
      <c r="J2" s="31"/>
    </row>
    <row r="3" spans="1:13" x14ac:dyDescent="0.2">
      <c r="A3" s="27" t="s">
        <v>34</v>
      </c>
      <c r="B3" s="31">
        <v>0.41733999999999999</v>
      </c>
      <c r="E3" s="27" t="s">
        <v>35</v>
      </c>
      <c r="F3" s="53">
        <v>168038</v>
      </c>
      <c r="H3" s="30"/>
      <c r="K3" s="31"/>
    </row>
    <row r="4" spans="1:13" x14ac:dyDescent="0.2">
      <c r="A4" s="27" t="s">
        <v>36</v>
      </c>
      <c r="B4" s="31">
        <v>0.16636999999999999</v>
      </c>
      <c r="E4" s="27" t="s">
        <v>37</v>
      </c>
      <c r="F4" s="53">
        <v>17225100</v>
      </c>
      <c r="H4" s="30"/>
    </row>
    <row r="5" spans="1:13" x14ac:dyDescent="0.2">
      <c r="A5" s="27" t="s">
        <v>38</v>
      </c>
      <c r="B5" s="31">
        <v>0.10435999999999999</v>
      </c>
      <c r="E5" s="27" t="s">
        <v>39</v>
      </c>
      <c r="F5" s="53">
        <v>17440800000</v>
      </c>
      <c r="H5" s="30"/>
    </row>
    <row r="6" spans="1:13" x14ac:dyDescent="0.2">
      <c r="B6" s="30"/>
      <c r="D6" s="32"/>
      <c r="J6" s="30"/>
      <c r="M6" s="28"/>
    </row>
    <row r="7" spans="1:13" x14ac:dyDescent="0.2">
      <c r="A7" s="27" t="s">
        <v>40</v>
      </c>
      <c r="B7" s="48">
        <f>SUM(B2:B5)</f>
        <v>0.89570000000000005</v>
      </c>
      <c r="M7" s="28"/>
    </row>
    <row r="8" spans="1:13" x14ac:dyDescent="0.2">
      <c r="B8" s="33"/>
      <c r="M8" s="28"/>
    </row>
    <row r="9" spans="1:13" x14ac:dyDescent="0.2">
      <c r="B9" s="31" t="s">
        <v>41</v>
      </c>
      <c r="D9" s="27" t="s">
        <v>42</v>
      </c>
      <c r="E9" s="31" t="s">
        <v>43</v>
      </c>
      <c r="F9" s="31" t="s">
        <v>44</v>
      </c>
      <c r="G9" s="31" t="s">
        <v>45</v>
      </c>
      <c r="I9" s="31" t="s">
        <v>46</v>
      </c>
      <c r="J9" s="28"/>
    </row>
    <row r="10" spans="1:13" x14ac:dyDescent="0.2">
      <c r="B10" s="34">
        <v>1</v>
      </c>
      <c r="D10" s="34">
        <f t="shared" ref="D10:D49" si="0">G_1*(1-EXP(-B10/Tau_1))</f>
        <v>1.2253171671423407E-4</v>
      </c>
      <c r="E10" s="35">
        <f t="shared" ref="E10:E49" si="1">G_2*(1-EXP(-B10/Tau_2))</f>
        <v>2.4835975088982142E-6</v>
      </c>
      <c r="F10" s="34">
        <f t="shared" ref="F10:F49" si="2">G_3*(1-EXP(-B10/Tau_3))</f>
        <v>9.6585793424730499E-9</v>
      </c>
      <c r="G10" s="34">
        <f t="shared" ref="G10:G49" si="3">G_4*(1-EXP(-B10/Tau_4))</f>
        <v>5.9836686538972111E-12</v>
      </c>
      <c r="I10" s="35">
        <f t="shared" ref="I10:I49" si="4">1-SUM(D10:G10)</f>
        <v>0.99987497502121381</v>
      </c>
      <c r="J10" s="28"/>
    </row>
    <row r="11" spans="1:13" x14ac:dyDescent="0.2">
      <c r="B11" s="34">
        <v>2</v>
      </c>
      <c r="D11" s="34">
        <f t="shared" si="0"/>
        <v>2.4499112200141045E-4</v>
      </c>
      <c r="E11" s="35">
        <f t="shared" si="1"/>
        <v>4.9671802378838855E-6</v>
      </c>
      <c r="F11" s="34">
        <f t="shared" si="2"/>
        <v>1.9317158149293465E-8</v>
      </c>
      <c r="G11" s="34">
        <f t="shared" si="3"/>
        <v>1.1967337307794422E-11</v>
      </c>
      <c r="I11" s="35">
        <f t="shared" si="4"/>
        <v>0.99975002236863519</v>
      </c>
      <c r="J11" s="28"/>
    </row>
    <row r="12" spans="1:13" x14ac:dyDescent="0.2">
      <c r="B12" s="34">
        <v>3</v>
      </c>
      <c r="D12" s="34">
        <f t="shared" si="0"/>
        <v>3.6737825853570783E-4</v>
      </c>
      <c r="E12" s="35">
        <f t="shared" si="1"/>
        <v>7.4507481870033484E-6</v>
      </c>
      <c r="F12" s="34">
        <f t="shared" si="2"/>
        <v>2.8975736365048909E-8</v>
      </c>
      <c r="G12" s="34">
        <f t="shared" si="3"/>
        <v>1.7951005961691633E-11</v>
      </c>
      <c r="I12" s="35">
        <f t="shared" si="4"/>
        <v>0.99962514199958996</v>
      </c>
      <c r="J12" s="28"/>
    </row>
    <row r="13" spans="1:13" x14ac:dyDescent="0.2">
      <c r="B13" s="34">
        <v>10</v>
      </c>
      <c r="D13" s="34">
        <f t="shared" si="0"/>
        <v>1.2220682685431549E-3</v>
      </c>
      <c r="E13" s="35">
        <f t="shared" si="1"/>
        <v>2.4835310002601536E-5</v>
      </c>
      <c r="F13" s="34">
        <f t="shared" si="2"/>
        <v>9.6585768267527516E-8</v>
      </c>
      <c r="G13" s="34">
        <f t="shared" si="3"/>
        <v>5.9836709711547087E-11</v>
      </c>
      <c r="I13" s="35">
        <f t="shared" si="4"/>
        <v>0.9987529997758493</v>
      </c>
      <c r="J13" s="28"/>
    </row>
    <row r="14" spans="1:13" x14ac:dyDescent="0.2">
      <c r="B14" s="34">
        <v>20</v>
      </c>
      <c r="D14" s="34">
        <f t="shared" si="0"/>
        <v>2.4369436899400443E-3</v>
      </c>
      <c r="E14" s="35">
        <f t="shared" si="1"/>
        <v>4.966914209123399E-5</v>
      </c>
      <c r="F14" s="34">
        <f t="shared" si="2"/>
        <v>1.9317148047623633E-7</v>
      </c>
      <c r="G14" s="34">
        <f t="shared" si="3"/>
        <v>1.1967340783680669E-10</v>
      </c>
      <c r="I14" s="35">
        <f t="shared" si="4"/>
        <v>0.99751319387681481</v>
      </c>
      <c r="J14" s="28"/>
    </row>
    <row r="15" spans="1:13" x14ac:dyDescent="0.2">
      <c r="B15" s="34">
        <v>30</v>
      </c>
      <c r="D15" s="34">
        <f t="shared" si="0"/>
        <v>3.6446685998370427E-3</v>
      </c>
      <c r="E15" s="35">
        <f t="shared" si="1"/>
        <v>7.4501496353839388E-5</v>
      </c>
      <c r="F15" s="34">
        <f t="shared" si="2"/>
        <v>2.8975713660765567E-7</v>
      </c>
      <c r="G15" s="34">
        <f t="shared" si="3"/>
        <v>1.7951011754835376E-10</v>
      </c>
      <c r="I15" s="35">
        <f t="shared" si="4"/>
        <v>0.99628053996716237</v>
      </c>
      <c r="J15" s="28"/>
    </row>
    <row r="16" spans="1:13" x14ac:dyDescent="0.2">
      <c r="B16" s="34">
        <v>100</v>
      </c>
      <c r="D16" s="34">
        <f t="shared" si="0"/>
        <v>1.1902032881591583E-2</v>
      </c>
      <c r="E16" s="35">
        <f t="shared" si="1"/>
        <v>2.4828660444943003E-4</v>
      </c>
      <c r="F16" s="34">
        <f t="shared" si="2"/>
        <v>9.6585515945583947E-7</v>
      </c>
      <c r="G16" s="34">
        <f t="shared" si="3"/>
        <v>5.983670507703209E-10</v>
      </c>
      <c r="I16" s="35">
        <f t="shared" si="4"/>
        <v>0.98784871406043251</v>
      </c>
      <c r="J16" s="28"/>
    </row>
    <row r="17" spans="2:10" x14ac:dyDescent="0.2">
      <c r="B17" s="34">
        <v>200</v>
      </c>
      <c r="D17" s="34">
        <f t="shared" si="0"/>
        <v>2.3121802185114074E-2</v>
      </c>
      <c r="E17" s="35">
        <f t="shared" si="1"/>
        <v>4.9642549663082164E-4</v>
      </c>
      <c r="F17" s="34">
        <f t="shared" si="2"/>
        <v>1.9317047116814421E-6</v>
      </c>
      <c r="G17" s="34">
        <f t="shared" si="3"/>
        <v>1.1967340899543544E-9</v>
      </c>
      <c r="I17" s="35">
        <f t="shared" si="4"/>
        <v>0.97637983941680928</v>
      </c>
      <c r="J17" s="28"/>
    </row>
    <row r="18" spans="2:10" x14ac:dyDescent="0.2">
      <c r="B18" s="34">
        <v>300</v>
      </c>
      <c r="D18" s="34">
        <f t="shared" si="0"/>
        <v>3.369841749752546E-2</v>
      </c>
      <c r="E18" s="35">
        <f t="shared" si="1"/>
        <v>7.4441676442211732E-4</v>
      </c>
      <c r="F18" s="34">
        <f t="shared" si="2"/>
        <v>2.8975486566952791E-6</v>
      </c>
      <c r="G18" s="34">
        <f t="shared" si="3"/>
        <v>1.7951011291383878E-9</v>
      </c>
      <c r="I18" s="35">
        <f t="shared" si="4"/>
        <v>0.96555426639429465</v>
      </c>
      <c r="J18" s="28"/>
    </row>
    <row r="19" spans="2:10" x14ac:dyDescent="0.2">
      <c r="B19" s="34">
        <v>1000</v>
      </c>
      <c r="D19" s="34">
        <f t="shared" si="0"/>
        <v>9.2571709094324758E-2</v>
      </c>
      <c r="E19" s="35">
        <f t="shared" si="1"/>
        <v>2.4762295268131269E-3</v>
      </c>
      <c r="F19" s="34">
        <f t="shared" si="2"/>
        <v>9.6582992727810713E-6</v>
      </c>
      <c r="G19" s="34">
        <f t="shared" si="3"/>
        <v>5.9836702991500338E-9</v>
      </c>
      <c r="I19" s="35">
        <f t="shared" si="4"/>
        <v>0.90494239709591906</v>
      </c>
      <c r="J19" s="28"/>
    </row>
    <row r="20" spans="2:10" x14ac:dyDescent="0.2">
      <c r="B20" s="34">
        <v>2000</v>
      </c>
      <c r="D20" s="34">
        <f t="shared" si="0"/>
        <v>0.14387037804683817</v>
      </c>
      <c r="E20" s="35">
        <f t="shared" si="1"/>
        <v>4.9377666860855162E-3</v>
      </c>
      <c r="F20" s="34">
        <f t="shared" si="2"/>
        <v>1.9316037851057347E-5</v>
      </c>
      <c r="G20" s="34">
        <f t="shared" si="3"/>
        <v>1.1967340262297731E-8</v>
      </c>
      <c r="I20" s="35">
        <f t="shared" si="4"/>
        <v>0.85117252726188508</v>
      </c>
      <c r="J20" s="28"/>
    </row>
    <row r="21" spans="2:10" x14ac:dyDescent="0.2">
      <c r="B21" s="34">
        <v>3000</v>
      </c>
      <c r="D21" s="34">
        <f t="shared" si="0"/>
        <v>0.17229756667763441</v>
      </c>
      <c r="E21" s="35">
        <f t="shared" si="1"/>
        <v>7.384698652960495E-3</v>
      </c>
      <c r="F21" s="34">
        <f t="shared" si="2"/>
        <v>2.8973215767392816E-5</v>
      </c>
      <c r="G21" s="34">
        <f t="shared" si="3"/>
        <v>1.7951009877856803E-8</v>
      </c>
      <c r="I21" s="35">
        <f t="shared" si="4"/>
        <v>0.82028874350262782</v>
      </c>
      <c r="J21" s="28"/>
    </row>
    <row r="22" spans="2:10" x14ac:dyDescent="0.2">
      <c r="B22" s="34">
        <v>10000</v>
      </c>
      <c r="D22" s="34">
        <f t="shared" si="0"/>
        <v>0.20706301933243881</v>
      </c>
      <c r="E22" s="35">
        <f t="shared" si="1"/>
        <v>2.4111491894807598E-2</v>
      </c>
      <c r="F22" s="34">
        <f t="shared" si="2"/>
        <v>9.6557765380723024E-5</v>
      </c>
      <c r="G22" s="34">
        <f t="shared" si="3"/>
        <v>5.9836687581737991E-8</v>
      </c>
      <c r="I22" s="35">
        <f t="shared" si="4"/>
        <v>0.76872887117068522</v>
      </c>
      <c r="J22" s="28"/>
    </row>
    <row r="23" spans="2:10" x14ac:dyDescent="0.2">
      <c r="B23" s="34">
        <v>20000</v>
      </c>
      <c r="D23" s="34">
        <f t="shared" si="0"/>
        <v>0.20762845173107267</v>
      </c>
      <c r="E23" s="35">
        <f t="shared" si="1"/>
        <v>4.6829961214752074E-2</v>
      </c>
      <c r="F23" s="34">
        <f t="shared" si="2"/>
        <v>1.9305949059760812E-4</v>
      </c>
      <c r="G23" s="34">
        <f t="shared" si="3"/>
        <v>1.1967334085647872E-7</v>
      </c>
      <c r="I23" s="35">
        <f t="shared" si="4"/>
        <v>0.74534840789023682</v>
      </c>
      <c r="J23" s="28"/>
    </row>
    <row r="24" spans="2:10" x14ac:dyDescent="0.2">
      <c r="B24" s="34">
        <v>30000</v>
      </c>
      <c r="D24" s="34">
        <f t="shared" si="0"/>
        <v>0.20762999577210159</v>
      </c>
      <c r="E24" s="35">
        <f t="shared" si="1"/>
        <v>6.8235888748933674E-2</v>
      </c>
      <c r="F24" s="34">
        <f t="shared" si="2"/>
        <v>2.8950520817526155E-4</v>
      </c>
      <c r="G24" s="34">
        <f t="shared" si="3"/>
        <v>1.7950995982422223E-7</v>
      </c>
      <c r="I24" s="35">
        <f t="shared" si="4"/>
        <v>0.7238444307608296</v>
      </c>
      <c r="J24" s="28"/>
    </row>
    <row r="25" spans="2:10" x14ac:dyDescent="0.2">
      <c r="B25" s="34">
        <v>100000</v>
      </c>
      <c r="D25" s="34">
        <f t="shared" si="0"/>
        <v>0.20763000000000001</v>
      </c>
      <c r="E25" s="35">
        <f t="shared" si="1"/>
        <v>0.18717469945421691</v>
      </c>
      <c r="F25" s="34">
        <f t="shared" si="2"/>
        <v>9.6305974542239075E-4</v>
      </c>
      <c r="G25" s="34">
        <f t="shared" si="3"/>
        <v>5.9836533196774508E-7</v>
      </c>
      <c r="I25" s="35">
        <f t="shared" si="4"/>
        <v>0.60423164243502869</v>
      </c>
      <c r="J25" s="28"/>
    </row>
    <row r="26" spans="2:10" x14ac:dyDescent="0.2">
      <c r="B26" s="34">
        <v>200000</v>
      </c>
      <c r="D26" s="34">
        <f>G_1*(1-EXP(-B26/Tau_1))</f>
        <v>0.20763000000000001</v>
      </c>
      <c r="E26" s="35">
        <f>G_2*(1-EXP(-B26/Tau_2))</f>
        <v>0.29040257350042969</v>
      </c>
      <c r="F26" s="34">
        <f>G_3*(1-EXP(-B26/Tau_3))</f>
        <v>1.9205446632120909E-3</v>
      </c>
      <c r="G26" s="34">
        <f>G_4*(1-EXP(-B26/Tau_4))</f>
        <v>1.1967272330967304E-6</v>
      </c>
      <c r="I26" s="35">
        <f t="shared" si="4"/>
        <v>0.50004568510912506</v>
      </c>
      <c r="J26" s="28"/>
    </row>
    <row r="27" spans="2:10" x14ac:dyDescent="0.2">
      <c r="B27" s="34">
        <v>300000</v>
      </c>
      <c r="D27" s="34">
        <f>G_1*(1-EXP(-B27/Tau_1))</f>
        <v>0.20763000000000001</v>
      </c>
      <c r="E27" s="35">
        <f>G_2*(1-EXP(-B27/Tau_2))</f>
        <v>0.34733331259696687</v>
      </c>
      <c r="F27" s="34">
        <f>G_3*(1-EXP(-B27/Tau_3))</f>
        <v>2.8724870241635704E-3</v>
      </c>
      <c r="G27" s="34">
        <f>G_4*(1-EXP(-B27/Tau_4))</f>
        <v>1.7950857034333011E-6</v>
      </c>
      <c r="I27" s="35">
        <f t="shared" si="4"/>
        <v>0.44216240529316619</v>
      </c>
      <c r="J27" s="28"/>
    </row>
    <row r="28" spans="2:10" x14ac:dyDescent="0.2">
      <c r="B28" s="34">
        <v>1000000</v>
      </c>
      <c r="D28" s="34">
        <f>G_1*(1-EXP(-B28/Tau_1))</f>
        <v>0.20763000000000001</v>
      </c>
      <c r="E28" s="35">
        <f>G_2*(1-EXP(-B28/Tau_2))</f>
        <v>0.41625360339552003</v>
      </c>
      <c r="F28" s="34">
        <f>G_3*(1-EXP(-B28/Tau_3))</f>
        <v>9.3835637482884253E-3</v>
      </c>
      <c r="G28" s="34">
        <f>G_4*(1-EXP(-B28/Tau_4))</f>
        <v>5.9834989347950744E-6</v>
      </c>
      <c r="I28" s="35">
        <f t="shared" si="4"/>
        <v>0.36672684935725675</v>
      </c>
      <c r="J28" s="28"/>
    </row>
    <row r="29" spans="2:10" x14ac:dyDescent="0.2">
      <c r="B29" s="34">
        <v>2000000</v>
      </c>
      <c r="D29" s="34">
        <f t="shared" si="0"/>
        <v>0.20763000000000001</v>
      </c>
      <c r="E29" s="35">
        <f t="shared" si="1"/>
        <v>0.41733717195192832</v>
      </c>
      <c r="F29" s="34">
        <f t="shared" si="2"/>
        <v>1.8237877820444177E-2</v>
      </c>
      <c r="G29" s="34">
        <f t="shared" si="3"/>
        <v>1.1966654804622995E-5</v>
      </c>
      <c r="I29" s="35">
        <f t="shared" si="4"/>
        <v>0.3567829835728229</v>
      </c>
      <c r="J29" s="28"/>
    </row>
    <row r="30" spans="2:10" x14ac:dyDescent="0.2">
      <c r="B30" s="34">
        <v>3000000</v>
      </c>
      <c r="D30" s="34">
        <f t="shared" si="0"/>
        <v>0.20763000000000001</v>
      </c>
      <c r="E30" s="35">
        <f t="shared" si="1"/>
        <v>0.41733999263818028</v>
      </c>
      <c r="F30" s="34">
        <f t="shared" si="2"/>
        <v>2.6592792839023917E-2</v>
      </c>
      <c r="G30" s="34">
        <f t="shared" si="3"/>
        <v>1.7949467629157277E-5</v>
      </c>
      <c r="I30" s="35">
        <f t="shared" si="4"/>
        <v>0.34841926505516663</v>
      </c>
      <c r="J30" s="28"/>
    </row>
    <row r="31" spans="2:10" x14ac:dyDescent="0.2">
      <c r="B31" s="34">
        <v>10000000</v>
      </c>
      <c r="D31" s="34">
        <f t="shared" si="0"/>
        <v>0.20763000000000001</v>
      </c>
      <c r="E31" s="35">
        <f t="shared" si="1"/>
        <v>0.41733999999999999</v>
      </c>
      <c r="F31" s="34">
        <f t="shared" si="2"/>
        <v>7.3270755426903936E-2</v>
      </c>
      <c r="G31" s="34">
        <f t="shared" si="3"/>
        <v>5.9819553784740949E-5</v>
      </c>
      <c r="I31" s="35">
        <f t="shared" si="4"/>
        <v>0.30169942501931124</v>
      </c>
      <c r="J31" s="28"/>
    </row>
    <row r="32" spans="2:10" x14ac:dyDescent="0.2">
      <c r="B32" s="34">
        <v>20000000</v>
      </c>
      <c r="D32" s="34">
        <f>G_1*(1-EXP(-B32/Tau_1))</f>
        <v>0.20763000000000001</v>
      </c>
      <c r="E32" s="35">
        <f>G_2*(1-EXP(-B32/Tau_2))</f>
        <v>0.41733999999999999</v>
      </c>
      <c r="F32" s="34">
        <f>G_3*(1-EXP(-B32/Tau_3))</f>
        <v>0.11427245032108459</v>
      </c>
      <c r="G32" s="34">
        <f>G_4*(1-EXP(-B32/Tau_4))</f>
        <v>1.1960481877094804E-4</v>
      </c>
      <c r="I32" s="35">
        <f t="shared" si="4"/>
        <v>0.26063794486014447</v>
      </c>
      <c r="J32" s="28"/>
    </row>
    <row r="33" spans="2:10" x14ac:dyDescent="0.2">
      <c r="B33" s="34">
        <v>30000000</v>
      </c>
      <c r="D33" s="34">
        <f>G_1*(1-EXP(-B33/Tau_1))</f>
        <v>0.20763000000000001</v>
      </c>
      <c r="E33" s="35">
        <f>G_2*(1-EXP(-B33/Tau_2))</f>
        <v>0.41733999999999999</v>
      </c>
      <c r="F33" s="34">
        <f>G_3*(1-EXP(-B33/Tau_3))</f>
        <v>0.13721665192512852</v>
      </c>
      <c r="G33" s="34">
        <f>G_4*(1-EXP(-B33/Tau_4))</f>
        <v>1.793558146130896E-4</v>
      </c>
      <c r="I33" s="35">
        <f t="shared" si="4"/>
        <v>0.23763399226025839</v>
      </c>
      <c r="J33" s="28"/>
    </row>
    <row r="34" spans="2:10" x14ac:dyDescent="0.2">
      <c r="B34" s="34">
        <v>100000000</v>
      </c>
      <c r="D34" s="34">
        <f>G_1*(1-EXP(-B34/Tau_1))</f>
        <v>0.20763000000000001</v>
      </c>
      <c r="E34" s="35">
        <f>G_2*(1-EXP(-B34/Tau_2))</f>
        <v>0.41733999999999999</v>
      </c>
      <c r="F34" s="34">
        <f>G_3*(1-EXP(-B34/Tau_3))</f>
        <v>0.16586905918168685</v>
      </c>
      <c r="G34" s="34">
        <f>G_4*(1-EXP(-B34/Tau_4))</f>
        <v>5.9665489808568911E-4</v>
      </c>
      <c r="I34" s="35">
        <f t="shared" si="4"/>
        <v>0.20856428592022747</v>
      </c>
      <c r="J34" s="28"/>
    </row>
    <row r="35" spans="2:10" x14ac:dyDescent="0.2">
      <c r="B35" s="34">
        <v>200000000</v>
      </c>
      <c r="D35" s="34">
        <f t="shared" si="0"/>
        <v>0.20763000000000001</v>
      </c>
      <c r="E35" s="35">
        <f t="shared" si="1"/>
        <v>0.41733999999999999</v>
      </c>
      <c r="F35" s="34">
        <f t="shared" si="2"/>
        <v>0.16636849166494289</v>
      </c>
      <c r="G35" s="34">
        <f t="shared" si="3"/>
        <v>1.1898985555867684E-3</v>
      </c>
      <c r="I35" s="35">
        <f t="shared" si="4"/>
        <v>0.20747160977947032</v>
      </c>
      <c r="J35" s="28"/>
    </row>
    <row r="36" spans="2:10" x14ac:dyDescent="0.2">
      <c r="B36" s="34">
        <v>300000000</v>
      </c>
      <c r="D36" s="34">
        <f t="shared" si="0"/>
        <v>0.20763000000000001</v>
      </c>
      <c r="E36" s="35">
        <f t="shared" si="1"/>
        <v>0.41733999999999999</v>
      </c>
      <c r="F36" s="34">
        <f t="shared" si="2"/>
        <v>0.16636999545839634</v>
      </c>
      <c r="G36" s="34">
        <f t="shared" si="3"/>
        <v>1.7797504755063464E-3</v>
      </c>
      <c r="I36" s="35">
        <f t="shared" si="4"/>
        <v>0.20688025406609722</v>
      </c>
      <c r="J36" s="28"/>
    </row>
    <row r="37" spans="2:10" x14ac:dyDescent="0.2">
      <c r="B37" s="34">
        <v>1000000000</v>
      </c>
      <c r="D37" s="34">
        <f t="shared" si="0"/>
        <v>0.20763000000000001</v>
      </c>
      <c r="E37" s="35">
        <f t="shared" si="1"/>
        <v>0.41733999999999999</v>
      </c>
      <c r="F37" s="34">
        <f t="shared" si="2"/>
        <v>0.16636999999999999</v>
      </c>
      <c r="G37" s="34">
        <f t="shared" si="3"/>
        <v>5.815360258958473E-3</v>
      </c>
      <c r="I37" s="35">
        <f t="shared" si="4"/>
        <v>0.2028446397410415</v>
      </c>
      <c r="J37" s="28"/>
    </row>
    <row r="38" spans="2:10" x14ac:dyDescent="0.2">
      <c r="B38" s="34">
        <v>2000000000</v>
      </c>
      <c r="D38" s="34">
        <f>G_1*(1-EXP(-B38/Tau_1))</f>
        <v>0.20763000000000001</v>
      </c>
      <c r="E38" s="35">
        <f>G_2*(1-EXP(-B38/Tau_2))</f>
        <v>0.41733999999999999</v>
      </c>
      <c r="F38" s="34">
        <f>G_3*(1-EXP(-B38/Tau_3))</f>
        <v>0.16636999999999999</v>
      </c>
      <c r="G38" s="34">
        <f>G_4*(1-EXP(-B38/Tau_4))</f>
        <v>1.1306665181183777E-2</v>
      </c>
      <c r="I38" s="35">
        <f t="shared" si="4"/>
        <v>0.19735333481881623</v>
      </c>
      <c r="J38" s="28"/>
    </row>
    <row r="39" spans="2:10" x14ac:dyDescent="0.2">
      <c r="B39" s="34">
        <v>3000000000</v>
      </c>
      <c r="D39" s="34">
        <f>G_1*(1-EXP(-B39/Tau_1))</f>
        <v>0.20763000000000001</v>
      </c>
      <c r="E39" s="35">
        <f>G_2*(1-EXP(-B39/Tau_2))</f>
        <v>0.41733999999999999</v>
      </c>
      <c r="F39" s="34">
        <f>G_3*(1-EXP(-B39/Tau_3))</f>
        <v>0.16636999999999999</v>
      </c>
      <c r="G39" s="34">
        <f>G_4*(1-EXP(-B39/Tau_4))</f>
        <v>1.6491972437497497E-2</v>
      </c>
      <c r="I39" s="35">
        <f t="shared" si="4"/>
        <v>0.19216802756250251</v>
      </c>
      <c r="J39" s="28"/>
    </row>
    <row r="40" spans="2:10" x14ac:dyDescent="0.2">
      <c r="B40" s="34">
        <v>10000000000</v>
      </c>
      <c r="D40" s="34">
        <f>G_1*(1-EXP(-B40/Tau_1))</f>
        <v>0.20763000000000001</v>
      </c>
      <c r="E40" s="35">
        <f>G_2*(1-EXP(-B40/Tau_2))</f>
        <v>0.41733999999999999</v>
      </c>
      <c r="F40" s="34">
        <f>G_3*(1-EXP(-B40/Tau_3))</f>
        <v>0.16636999999999999</v>
      </c>
      <c r="G40" s="34">
        <f>G_4*(1-EXP(-B40/Tau_4))</f>
        <v>4.5540215691183265E-2</v>
      </c>
      <c r="I40" s="35">
        <f t="shared" si="4"/>
        <v>0.16311978430881668</v>
      </c>
      <c r="J40" s="28"/>
    </row>
    <row r="41" spans="2:10" x14ac:dyDescent="0.2">
      <c r="B41" s="34">
        <v>20000000000</v>
      </c>
      <c r="D41" s="34">
        <f t="shared" si="0"/>
        <v>0.20763000000000001</v>
      </c>
      <c r="E41" s="35">
        <f t="shared" si="1"/>
        <v>0.41733999999999999</v>
      </c>
      <c r="F41" s="34">
        <f t="shared" si="2"/>
        <v>0.16636999999999999</v>
      </c>
      <c r="G41" s="34">
        <f t="shared" si="3"/>
        <v>7.1207767093371746E-2</v>
      </c>
      <c r="I41" s="35">
        <f t="shared" si="4"/>
        <v>0.13745223290662822</v>
      </c>
    </row>
    <row r="42" spans="2:10" x14ac:dyDescent="0.2">
      <c r="B42" s="34">
        <v>30000000000</v>
      </c>
      <c r="D42" s="34">
        <f t="shared" si="0"/>
        <v>0.20763000000000001</v>
      </c>
      <c r="E42" s="35">
        <f t="shared" si="1"/>
        <v>0.41733999999999999</v>
      </c>
      <c r="F42" s="34">
        <f t="shared" si="2"/>
        <v>0.16636999999999999</v>
      </c>
      <c r="G42" s="34">
        <f t="shared" si="3"/>
        <v>8.5674611068191547E-2</v>
      </c>
      <c r="I42" s="35">
        <f t="shared" si="4"/>
        <v>0.12298538893180844</v>
      </c>
    </row>
    <row r="43" spans="2:10" x14ac:dyDescent="0.2">
      <c r="B43" s="34">
        <v>100000000000</v>
      </c>
      <c r="D43" s="34">
        <f t="shared" si="0"/>
        <v>0.20763000000000001</v>
      </c>
      <c r="E43" s="35">
        <f t="shared" si="1"/>
        <v>0.41733999999999999</v>
      </c>
      <c r="F43" s="34">
        <f t="shared" si="2"/>
        <v>0.16636999999999999</v>
      </c>
      <c r="G43" s="34">
        <f t="shared" si="3"/>
        <v>0.10402238040670285</v>
      </c>
      <c r="I43" s="35">
        <f t="shared" si="4"/>
        <v>0.10463761959329709</v>
      </c>
    </row>
    <row r="44" spans="2:10" x14ac:dyDescent="0.2">
      <c r="B44" s="34">
        <v>200000000000</v>
      </c>
      <c r="D44" s="34">
        <f>G_1*(1-EXP(-B44/Tau_1))</f>
        <v>0.20763000000000001</v>
      </c>
      <c r="E44" s="35">
        <f>G_2*(1-EXP(-B44/Tau_2))</f>
        <v>0.41733999999999999</v>
      </c>
      <c r="F44" s="34">
        <f>G_3*(1-EXP(-B44/Tau_3))</f>
        <v>0.16636999999999999</v>
      </c>
      <c r="G44" s="34">
        <f>G_4*(1-EXP(-B44/Tau_4))</f>
        <v>0.10435890775211021</v>
      </c>
      <c r="I44" s="35">
        <f t="shared" si="4"/>
        <v>0.10430109224788975</v>
      </c>
    </row>
    <row r="45" spans="2:10" x14ac:dyDescent="0.2">
      <c r="B45" s="34">
        <v>300000000000</v>
      </c>
      <c r="D45" s="34">
        <f>G_1*(1-EXP(-B45/Tau_1))</f>
        <v>0.20763000000000001</v>
      </c>
      <c r="E45" s="35">
        <f>G_2*(1-EXP(-B45/Tau_2))</f>
        <v>0.41733999999999999</v>
      </c>
      <c r="F45" s="34">
        <f>G_3*(1-EXP(-B45/Tau_3))</f>
        <v>0.16636999999999999</v>
      </c>
      <c r="G45" s="34">
        <f>G_4*(1-EXP(-B45/Tau_4))</f>
        <v>0.10435999646642115</v>
      </c>
      <c r="I45" s="35">
        <f t="shared" si="4"/>
        <v>0.10430000353357882</v>
      </c>
    </row>
    <row r="46" spans="2:10" x14ac:dyDescent="0.2">
      <c r="B46" s="34">
        <v>1000000000000</v>
      </c>
      <c r="D46" s="34">
        <f t="shared" si="0"/>
        <v>0.20763000000000001</v>
      </c>
      <c r="E46" s="35">
        <f t="shared" si="1"/>
        <v>0.41733999999999999</v>
      </c>
      <c r="F46" s="34">
        <f t="shared" si="2"/>
        <v>0.16636999999999999</v>
      </c>
      <c r="G46" s="34">
        <f t="shared" si="3"/>
        <v>0.10435999999999999</v>
      </c>
      <c r="I46" s="35">
        <f t="shared" si="4"/>
        <v>0.10429999999999995</v>
      </c>
    </row>
    <row r="47" spans="2:10" x14ac:dyDescent="0.2">
      <c r="B47" s="34">
        <v>2000000000000</v>
      </c>
      <c r="D47" s="34">
        <f t="shared" si="0"/>
        <v>0.20763000000000001</v>
      </c>
      <c r="E47" s="35">
        <f t="shared" si="1"/>
        <v>0.41733999999999999</v>
      </c>
      <c r="F47" s="34">
        <f t="shared" si="2"/>
        <v>0.16636999999999999</v>
      </c>
      <c r="G47" s="34">
        <f t="shared" si="3"/>
        <v>0.10435999999999999</v>
      </c>
      <c r="I47" s="35">
        <f t="shared" si="4"/>
        <v>0.10429999999999995</v>
      </c>
    </row>
    <row r="48" spans="2:10" x14ac:dyDescent="0.2">
      <c r="B48" s="34">
        <v>3000000000000</v>
      </c>
      <c r="D48" s="34">
        <f t="shared" si="0"/>
        <v>0.20763000000000001</v>
      </c>
      <c r="E48" s="35">
        <f t="shared" si="1"/>
        <v>0.41733999999999999</v>
      </c>
      <c r="F48" s="34">
        <f t="shared" si="2"/>
        <v>0.16636999999999999</v>
      </c>
      <c r="G48" s="34">
        <f t="shared" si="3"/>
        <v>0.10435999999999999</v>
      </c>
      <c r="I48" s="35">
        <f t="shared" si="4"/>
        <v>0.10429999999999995</v>
      </c>
    </row>
    <row r="49" spans="2:9" x14ac:dyDescent="0.2">
      <c r="B49" s="34">
        <v>10000000000000</v>
      </c>
      <c r="D49" s="34">
        <f t="shared" si="0"/>
        <v>0.20763000000000001</v>
      </c>
      <c r="E49" s="35">
        <f t="shared" si="1"/>
        <v>0.41733999999999999</v>
      </c>
      <c r="F49" s="34">
        <f t="shared" si="2"/>
        <v>0.16636999999999999</v>
      </c>
      <c r="G49" s="34">
        <f t="shared" si="3"/>
        <v>0.10435999999999999</v>
      </c>
      <c r="I49" s="35">
        <f t="shared" si="4"/>
        <v>0.10429999999999995</v>
      </c>
    </row>
    <row r="53" spans="2:9" x14ac:dyDescent="0.2">
      <c r="C53" s="27" t="s">
        <v>56</v>
      </c>
    </row>
    <row r="54" spans="2:9" x14ac:dyDescent="0.2">
      <c r="C54" s="31" t="s">
        <v>47</v>
      </c>
      <c r="D54" s="31" t="s">
        <v>48</v>
      </c>
      <c r="E54" s="31" t="s">
        <v>49</v>
      </c>
      <c r="F54" s="31" t="s">
        <v>50</v>
      </c>
    </row>
    <row r="56" spans="2:9" x14ac:dyDescent="0.2">
      <c r="C56" s="27">
        <v>1</v>
      </c>
      <c r="D56" s="31">
        <v>0.20763000000000001</v>
      </c>
      <c r="E56" s="31">
        <v>0</v>
      </c>
      <c r="F56" s="27">
        <v>1694</v>
      </c>
    </row>
    <row r="57" spans="2:9" x14ac:dyDescent="0.2">
      <c r="C57" s="27">
        <v>2</v>
      </c>
      <c r="D57" s="31">
        <v>0.41733999999999999</v>
      </c>
      <c r="E57" s="31">
        <v>0</v>
      </c>
      <c r="F57" s="50">
        <v>168038</v>
      </c>
    </row>
    <row r="58" spans="2:9" x14ac:dyDescent="0.2">
      <c r="C58" s="27">
        <v>3</v>
      </c>
      <c r="D58" s="31">
        <v>0.16636999999999999</v>
      </c>
      <c r="E58" s="31">
        <v>0</v>
      </c>
      <c r="F58" s="50">
        <v>17225100</v>
      </c>
    </row>
    <row r="59" spans="2:9" x14ac:dyDescent="0.2">
      <c r="C59" s="27">
        <v>4</v>
      </c>
      <c r="D59" s="31">
        <v>0.10435999999999999</v>
      </c>
      <c r="E59" s="31">
        <v>0</v>
      </c>
      <c r="F59" s="50">
        <v>17440800000</v>
      </c>
    </row>
    <row r="60" spans="2:9" x14ac:dyDescent="0.2">
      <c r="C60" s="31"/>
      <c r="D60" s="28"/>
    </row>
    <row r="62" spans="2:9" x14ac:dyDescent="0.2">
      <c r="C62" s="36" t="s">
        <v>40</v>
      </c>
      <c r="D62" s="27">
        <f>SUM(D56:D60)</f>
        <v>0.89570000000000005</v>
      </c>
    </row>
    <row r="73" spans="3:3" x14ac:dyDescent="0.2">
      <c r="C73" s="28"/>
    </row>
    <row r="74" spans="3:3" x14ac:dyDescent="0.2">
      <c r="C74" s="28"/>
    </row>
    <row r="75" spans="3:3" x14ac:dyDescent="0.2">
      <c r="C75" s="28"/>
    </row>
    <row r="76" spans="3:3" x14ac:dyDescent="0.2">
      <c r="C76" s="28"/>
    </row>
    <row r="77" spans="3:3" x14ac:dyDescent="0.2">
      <c r="C77" s="28"/>
    </row>
    <row r="78" spans="3:3" x14ac:dyDescent="0.2">
      <c r="C78" s="28"/>
    </row>
    <row r="79" spans="3:3" x14ac:dyDescent="0.2">
      <c r="C79" s="28"/>
    </row>
    <row r="80" spans="3:3" x14ac:dyDescent="0.2">
      <c r="C80" s="28"/>
    </row>
    <row r="81" spans="3:3" x14ac:dyDescent="0.2">
      <c r="C81" s="28"/>
    </row>
    <row r="82" spans="3:3" x14ac:dyDescent="0.2">
      <c r="C82" s="28"/>
    </row>
    <row r="83" spans="3:3" x14ac:dyDescent="0.2">
      <c r="C83" s="28"/>
    </row>
    <row r="84" spans="3:3" x14ac:dyDescent="0.2">
      <c r="C84" s="28"/>
    </row>
    <row r="85" spans="3:3" x14ac:dyDescent="0.2">
      <c r="C85" s="28"/>
    </row>
    <row r="86" spans="3:3" x14ac:dyDescent="0.2">
      <c r="C86" s="28"/>
    </row>
    <row r="87" spans="3:3" x14ac:dyDescent="0.2">
      <c r="C87" s="28"/>
    </row>
    <row r="88" spans="3:3" x14ac:dyDescent="0.2">
      <c r="C88" s="28"/>
    </row>
    <row r="89" spans="3:3" x14ac:dyDescent="0.2">
      <c r="C89" s="28"/>
    </row>
    <row r="90" spans="3:3" x14ac:dyDescent="0.2">
      <c r="C90" s="28"/>
    </row>
    <row r="91" spans="3:3" x14ac:dyDescent="0.2">
      <c r="C91" s="28"/>
    </row>
    <row r="92" spans="3:3" x14ac:dyDescent="0.2">
      <c r="C92" s="28"/>
    </row>
    <row r="93" spans="3:3" x14ac:dyDescent="0.2">
      <c r="C93" s="28"/>
    </row>
    <row r="94" spans="3:3" x14ac:dyDescent="0.2">
      <c r="C94" s="28"/>
    </row>
    <row r="95" spans="3:3" x14ac:dyDescent="0.2">
      <c r="C95" s="28"/>
    </row>
    <row r="96" spans="3:3" x14ac:dyDescent="0.2">
      <c r="C96" s="28"/>
    </row>
    <row r="97" spans="3:3" x14ac:dyDescent="0.2">
      <c r="C97" s="28"/>
    </row>
    <row r="98" spans="3:3" x14ac:dyDescent="0.2">
      <c r="C98" s="28"/>
    </row>
    <row r="99" spans="3:3" x14ac:dyDescent="0.2">
      <c r="C99" s="28"/>
    </row>
    <row r="100" spans="3:3" x14ac:dyDescent="0.2">
      <c r="C100" s="28"/>
    </row>
    <row r="101" spans="3:3" x14ac:dyDescent="0.2">
      <c r="C101" s="28"/>
    </row>
    <row r="102" spans="3:3" x14ac:dyDescent="0.2">
      <c r="C102" s="28"/>
    </row>
    <row r="103" spans="3:3" x14ac:dyDescent="0.2">
      <c r="C103" s="28"/>
    </row>
    <row r="104" spans="3:3" x14ac:dyDescent="0.2">
      <c r="C104" s="28"/>
    </row>
    <row r="105" spans="3:3" x14ac:dyDescent="0.2">
      <c r="C105" s="28"/>
    </row>
    <row r="106" spans="3:3" x14ac:dyDescent="0.2">
      <c r="C106" s="28"/>
    </row>
    <row r="107" spans="3:3" x14ac:dyDescent="0.2">
      <c r="C107" s="28"/>
    </row>
    <row r="108" spans="3:3" x14ac:dyDescent="0.2">
      <c r="C108" s="28"/>
    </row>
    <row r="109" spans="3:3" x14ac:dyDescent="0.2">
      <c r="C109" s="28"/>
    </row>
    <row r="110" spans="3:3" x14ac:dyDescent="0.2">
      <c r="C110" s="28"/>
    </row>
    <row r="111" spans="3:3" x14ac:dyDescent="0.2">
      <c r="C111" s="28"/>
    </row>
    <row r="112" spans="3:3" x14ac:dyDescent="0.2">
      <c r="C112" s="28"/>
    </row>
    <row r="113" spans="3:3" x14ac:dyDescent="0.2">
      <c r="C113" s="28"/>
    </row>
    <row r="114" spans="3:3" x14ac:dyDescent="0.2">
      <c r="C114" s="28"/>
    </row>
    <row r="115" spans="3:3" x14ac:dyDescent="0.2">
      <c r="C115" s="28"/>
    </row>
    <row r="116" spans="3:3" x14ac:dyDescent="0.2">
      <c r="C116" s="28"/>
    </row>
    <row r="117" spans="3:3" x14ac:dyDescent="0.2">
      <c r="C117" s="28"/>
    </row>
    <row r="118" spans="3:3" x14ac:dyDescent="0.2">
      <c r="C118" s="28"/>
    </row>
    <row r="119" spans="3:3" x14ac:dyDescent="0.2">
      <c r="C119" s="28"/>
    </row>
    <row r="120" spans="3:3" x14ac:dyDescent="0.2">
      <c r="C120" s="28"/>
    </row>
    <row r="121" spans="3:3" x14ac:dyDescent="0.2">
      <c r="C121" s="28"/>
    </row>
    <row r="122" spans="3:3" x14ac:dyDescent="0.2">
      <c r="C122" s="28"/>
    </row>
    <row r="123" spans="3:3" x14ac:dyDescent="0.2">
      <c r="C123" s="28"/>
    </row>
    <row r="124" spans="3:3" x14ac:dyDescent="0.2">
      <c r="C124" s="28"/>
    </row>
    <row r="125" spans="3:3" x14ac:dyDescent="0.2">
      <c r="C125" s="28"/>
    </row>
    <row r="126" spans="3:3" x14ac:dyDescent="0.2">
      <c r="C126" s="28"/>
    </row>
    <row r="127" spans="3:3" x14ac:dyDescent="0.2">
      <c r="C127" s="28"/>
    </row>
    <row r="128" spans="3:3" x14ac:dyDescent="0.2">
      <c r="C128" s="28"/>
    </row>
    <row r="129" spans="3:3" x14ac:dyDescent="0.2">
      <c r="C129" s="28"/>
    </row>
    <row r="130" spans="3:3" x14ac:dyDescent="0.2">
      <c r="C130" s="28"/>
    </row>
    <row r="131" spans="3:3" x14ac:dyDescent="0.2">
      <c r="C131" s="28"/>
    </row>
    <row r="132" spans="3:3" x14ac:dyDescent="0.2">
      <c r="C132" s="28"/>
    </row>
    <row r="133" spans="3:3" x14ac:dyDescent="0.2">
      <c r="C133" s="28"/>
    </row>
    <row r="134" spans="3:3" x14ac:dyDescent="0.2">
      <c r="C134" s="28"/>
    </row>
    <row r="135" spans="3:3" x14ac:dyDescent="0.2">
      <c r="C135" s="28"/>
    </row>
    <row r="136" spans="3:3" x14ac:dyDescent="0.2">
      <c r="C136" s="28"/>
    </row>
    <row r="137" spans="3:3" x14ac:dyDescent="0.2">
      <c r="C137" s="28"/>
    </row>
    <row r="138" spans="3:3" x14ac:dyDescent="0.2">
      <c r="C138" s="28"/>
    </row>
    <row r="139" spans="3:3" x14ac:dyDescent="0.2">
      <c r="C139" s="28"/>
    </row>
    <row r="140" spans="3:3" x14ac:dyDescent="0.2">
      <c r="C140" s="28"/>
    </row>
    <row r="141" spans="3:3" x14ac:dyDescent="0.2">
      <c r="C141" s="28"/>
    </row>
    <row r="142" spans="3:3" x14ac:dyDescent="0.2">
      <c r="C142" s="28"/>
    </row>
    <row r="143" spans="3:3" x14ac:dyDescent="0.2">
      <c r="C143" s="28"/>
    </row>
    <row r="144" spans="3:3" x14ac:dyDescent="0.2">
      <c r="C144" s="28"/>
    </row>
    <row r="145" spans="3:3" x14ac:dyDescent="0.2">
      <c r="C145" s="28"/>
    </row>
    <row r="146" spans="3:3" x14ac:dyDescent="0.2">
      <c r="C146" s="28"/>
    </row>
    <row r="147" spans="3:3" x14ac:dyDescent="0.2">
      <c r="C147" s="28"/>
    </row>
    <row r="148" spans="3:3" x14ac:dyDescent="0.2">
      <c r="C148" s="28"/>
    </row>
    <row r="149" spans="3:3" x14ac:dyDescent="0.2">
      <c r="C149" s="28"/>
    </row>
    <row r="150" spans="3:3" x14ac:dyDescent="0.2">
      <c r="C150" s="28"/>
    </row>
    <row r="151" spans="3:3" x14ac:dyDescent="0.2">
      <c r="C151" s="28"/>
    </row>
    <row r="152" spans="3:3" x14ac:dyDescent="0.2">
      <c r="C152" s="28"/>
    </row>
    <row r="153" spans="3:3" x14ac:dyDescent="0.2">
      <c r="C153" s="28"/>
    </row>
    <row r="154" spans="3:3" x14ac:dyDescent="0.2">
      <c r="C154" s="28"/>
    </row>
    <row r="155" spans="3:3" x14ac:dyDescent="0.2">
      <c r="C155" s="28"/>
    </row>
    <row r="156" spans="3:3" x14ac:dyDescent="0.2">
      <c r="C156" s="28"/>
    </row>
    <row r="157" spans="3:3" x14ac:dyDescent="0.2">
      <c r="C157" s="28"/>
    </row>
    <row r="158" spans="3:3" x14ac:dyDescent="0.2">
      <c r="C158" s="28"/>
    </row>
    <row r="159" spans="3:3" x14ac:dyDescent="0.2">
      <c r="C159" s="28"/>
    </row>
    <row r="160" spans="3:3" x14ac:dyDescent="0.2">
      <c r="C160" s="28"/>
    </row>
    <row r="161" spans="3:3" x14ac:dyDescent="0.2">
      <c r="C161" s="28"/>
    </row>
    <row r="162" spans="3:3" x14ac:dyDescent="0.2">
      <c r="C162" s="28"/>
    </row>
    <row r="163" spans="3:3" x14ac:dyDescent="0.2">
      <c r="C163" s="28"/>
    </row>
    <row r="164" spans="3:3" x14ac:dyDescent="0.2">
      <c r="C164" s="28"/>
    </row>
    <row r="165" spans="3:3" x14ac:dyDescent="0.2">
      <c r="C165" s="28"/>
    </row>
    <row r="166" spans="3:3" x14ac:dyDescent="0.2">
      <c r="C166" s="28"/>
    </row>
    <row r="167" spans="3:3" x14ac:dyDescent="0.2">
      <c r="C167" s="28"/>
    </row>
    <row r="168" spans="3:3" x14ac:dyDescent="0.2">
      <c r="C168" s="28"/>
    </row>
    <row r="169" spans="3:3" x14ac:dyDescent="0.2">
      <c r="C169" s="28"/>
    </row>
    <row r="170" spans="3:3" x14ac:dyDescent="0.2">
      <c r="C170" s="28"/>
    </row>
    <row r="171" spans="3:3" x14ac:dyDescent="0.2">
      <c r="C171" s="28"/>
    </row>
    <row r="172" spans="3:3" x14ac:dyDescent="0.2">
      <c r="C172" s="28"/>
    </row>
    <row r="173" spans="3:3" x14ac:dyDescent="0.2">
      <c r="C173" s="28"/>
    </row>
    <row r="174" spans="3:3" x14ac:dyDescent="0.2">
      <c r="C174" s="28"/>
    </row>
    <row r="175" spans="3:3" x14ac:dyDescent="0.2">
      <c r="C175" s="28"/>
    </row>
    <row r="176" spans="3:3" x14ac:dyDescent="0.2">
      <c r="C176" s="28"/>
    </row>
    <row r="177" spans="3:3" x14ac:dyDescent="0.2">
      <c r="C177" s="28"/>
    </row>
    <row r="178" spans="3:3" x14ac:dyDescent="0.2">
      <c r="C178" s="28"/>
    </row>
    <row r="179" spans="3:3" x14ac:dyDescent="0.2">
      <c r="C179" s="28"/>
    </row>
    <row r="180" spans="3:3" x14ac:dyDescent="0.2">
      <c r="C180" s="28"/>
    </row>
    <row r="181" spans="3:3" x14ac:dyDescent="0.2">
      <c r="C181" s="28"/>
    </row>
    <row r="182" spans="3:3" x14ac:dyDescent="0.2">
      <c r="C182" s="28"/>
    </row>
    <row r="183" spans="3:3" x14ac:dyDescent="0.2">
      <c r="C183" s="28"/>
    </row>
    <row r="184" spans="3:3" x14ac:dyDescent="0.2">
      <c r="C184" s="28"/>
    </row>
    <row r="185" spans="3:3" x14ac:dyDescent="0.2">
      <c r="C185" s="28"/>
    </row>
    <row r="186" spans="3:3" x14ac:dyDescent="0.2">
      <c r="C186" s="28"/>
    </row>
    <row r="187" spans="3:3" x14ac:dyDescent="0.2">
      <c r="C187" s="28"/>
    </row>
    <row r="188" spans="3:3" x14ac:dyDescent="0.2">
      <c r="C188" s="28"/>
    </row>
    <row r="189" spans="3:3" x14ac:dyDescent="0.2">
      <c r="C189" s="28"/>
    </row>
    <row r="190" spans="3:3" x14ac:dyDescent="0.2">
      <c r="C190" s="28"/>
    </row>
    <row r="191" spans="3:3" x14ac:dyDescent="0.2">
      <c r="C191" s="28"/>
    </row>
    <row r="192" spans="3:3" x14ac:dyDescent="0.2">
      <c r="C192" s="28"/>
    </row>
    <row r="193" spans="3:3" x14ac:dyDescent="0.2">
      <c r="C193" s="28"/>
    </row>
    <row r="194" spans="3:3" x14ac:dyDescent="0.2">
      <c r="C194" s="28"/>
    </row>
    <row r="195" spans="3:3" x14ac:dyDescent="0.2">
      <c r="C195" s="28"/>
    </row>
    <row r="196" spans="3:3" x14ac:dyDescent="0.2">
      <c r="C196" s="28"/>
    </row>
    <row r="197" spans="3:3" x14ac:dyDescent="0.2">
      <c r="C197" s="28"/>
    </row>
    <row r="198" spans="3:3" x14ac:dyDescent="0.2">
      <c r="C198" s="28"/>
    </row>
    <row r="199" spans="3:3" x14ac:dyDescent="0.2">
      <c r="C199" s="28"/>
    </row>
    <row r="200" spans="3:3" x14ac:dyDescent="0.2">
      <c r="C200" s="28"/>
    </row>
    <row r="201" spans="3:3" x14ac:dyDescent="0.2">
      <c r="C201" s="28"/>
    </row>
    <row r="202" spans="3:3" x14ac:dyDescent="0.2">
      <c r="C202" s="28"/>
    </row>
    <row r="203" spans="3:3" x14ac:dyDescent="0.2">
      <c r="C203" s="28"/>
    </row>
    <row r="204" spans="3:3" x14ac:dyDescent="0.2">
      <c r="C204" s="28"/>
    </row>
    <row r="205" spans="3:3" x14ac:dyDescent="0.2">
      <c r="C205" s="28"/>
    </row>
    <row r="206" spans="3:3" x14ac:dyDescent="0.2">
      <c r="C206" s="28"/>
    </row>
    <row r="207" spans="3:3" x14ac:dyDescent="0.2">
      <c r="C207" s="28"/>
    </row>
    <row r="208" spans="3:3" x14ac:dyDescent="0.2">
      <c r="C208" s="28"/>
    </row>
    <row r="209" spans="3:3" x14ac:dyDescent="0.2">
      <c r="C209" s="28"/>
    </row>
    <row r="210" spans="3:3" x14ac:dyDescent="0.2">
      <c r="C210" s="28"/>
    </row>
    <row r="211" spans="3:3" x14ac:dyDescent="0.2">
      <c r="C211" s="28"/>
    </row>
    <row r="212" spans="3:3" x14ac:dyDescent="0.2">
      <c r="C212" s="28"/>
    </row>
    <row r="213" spans="3:3" x14ac:dyDescent="0.2">
      <c r="C213" s="28"/>
    </row>
    <row r="214" spans="3:3" x14ac:dyDescent="0.2">
      <c r="C214" s="28"/>
    </row>
    <row r="215" spans="3:3" x14ac:dyDescent="0.2">
      <c r="C215" s="28"/>
    </row>
    <row r="216" spans="3:3" x14ac:dyDescent="0.2">
      <c r="C216" s="28"/>
    </row>
    <row r="217" spans="3:3" x14ac:dyDescent="0.2">
      <c r="C217" s="28"/>
    </row>
    <row r="218" spans="3:3" x14ac:dyDescent="0.2">
      <c r="C218" s="28"/>
    </row>
    <row r="219" spans="3:3" x14ac:dyDescent="0.2">
      <c r="C219" s="28"/>
    </row>
    <row r="220" spans="3:3" x14ac:dyDescent="0.2">
      <c r="C220" s="28"/>
    </row>
    <row r="221" spans="3:3" x14ac:dyDescent="0.2">
      <c r="C221" s="28"/>
    </row>
    <row r="222" spans="3:3" x14ac:dyDescent="0.2">
      <c r="C222" s="28"/>
    </row>
    <row r="223" spans="3:3" x14ac:dyDescent="0.2">
      <c r="C223" s="28"/>
    </row>
    <row r="224" spans="3:3" x14ac:dyDescent="0.2">
      <c r="C224" s="28"/>
    </row>
    <row r="225" spans="2:3" x14ac:dyDescent="0.2">
      <c r="C225" s="28"/>
    </row>
    <row r="226" spans="2:3" x14ac:dyDescent="0.2">
      <c r="C226" s="28"/>
    </row>
    <row r="227" spans="2:3" x14ac:dyDescent="0.2">
      <c r="C227" s="28"/>
    </row>
    <row r="228" spans="2:3" x14ac:dyDescent="0.2">
      <c r="C228" s="28"/>
    </row>
    <row r="229" spans="2:3" x14ac:dyDescent="0.2">
      <c r="C229" s="28"/>
    </row>
    <row r="230" spans="2:3" x14ac:dyDescent="0.2">
      <c r="C230" s="28"/>
    </row>
    <row r="231" spans="2:3" x14ac:dyDescent="0.2">
      <c r="C231" s="28"/>
    </row>
    <row r="232" spans="2:3" x14ac:dyDescent="0.2">
      <c r="C232" s="28"/>
    </row>
    <row r="233" spans="2:3" x14ac:dyDescent="0.2">
      <c r="C233" s="28"/>
    </row>
    <row r="234" spans="2:3" x14ac:dyDescent="0.2">
      <c r="C234" s="28"/>
    </row>
    <row r="236" spans="2:3" x14ac:dyDescent="0.2">
      <c r="B236" s="36"/>
      <c r="C236" s="28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workbookViewId="0">
      <selection activeCell="S2" sqref="S2:S118"/>
    </sheetView>
  </sheetViews>
  <sheetFormatPr defaultRowHeight="15" x14ac:dyDescent="0.25"/>
  <cols>
    <col min="1" max="2" width="10.7109375" customWidth="1"/>
  </cols>
  <sheetData>
    <row r="1" spans="1:19" ht="15.75" thickBot="1" x14ac:dyDescent="0.3"/>
    <row r="2" spans="1:19" ht="18" thickBot="1" x14ac:dyDescent="0.3">
      <c r="A2" s="61" t="s">
        <v>31</v>
      </c>
      <c r="B2" s="62"/>
      <c r="S2" s="16" t="s">
        <v>80</v>
      </c>
    </row>
    <row r="3" spans="1:19" x14ac:dyDescent="0.25">
      <c r="A3" s="37"/>
      <c r="B3" s="38" t="s">
        <v>28</v>
      </c>
      <c r="S3" s="16" t="s">
        <v>81</v>
      </c>
    </row>
    <row r="4" spans="1:19" x14ac:dyDescent="0.25">
      <c r="A4" s="37" t="s">
        <v>4</v>
      </c>
      <c r="B4" s="38" t="s">
        <v>57</v>
      </c>
      <c r="S4" s="16" t="s">
        <v>223</v>
      </c>
    </row>
    <row r="5" spans="1:19" x14ac:dyDescent="0.25">
      <c r="A5" s="37"/>
      <c r="B5" s="38" t="s">
        <v>6</v>
      </c>
      <c r="S5" s="16" t="s">
        <v>224</v>
      </c>
    </row>
    <row r="6" spans="1:19" x14ac:dyDescent="0.25">
      <c r="A6" s="37" t="s">
        <v>29</v>
      </c>
      <c r="B6" s="38" t="s">
        <v>7</v>
      </c>
      <c r="S6" s="16" t="s">
        <v>225</v>
      </c>
    </row>
    <row r="7" spans="1:19" x14ac:dyDescent="0.25">
      <c r="A7" s="23">
        <v>1</v>
      </c>
      <c r="B7" s="24">
        <v>23.948502540588379</v>
      </c>
      <c r="S7" s="16" t="s">
        <v>226</v>
      </c>
    </row>
    <row r="8" spans="1:19" x14ac:dyDescent="0.25">
      <c r="A8" s="23">
        <v>2</v>
      </c>
      <c r="B8" s="24">
        <v>23.945508897304535</v>
      </c>
      <c r="S8" s="16" t="s">
        <v>227</v>
      </c>
    </row>
    <row r="9" spans="1:19" x14ac:dyDescent="0.25">
      <c r="A9" s="23">
        <v>3</v>
      </c>
      <c r="B9" s="24">
        <v>23.94251674413681</v>
      </c>
      <c r="S9" s="16" t="s">
        <v>228</v>
      </c>
    </row>
    <row r="10" spans="1:19" x14ac:dyDescent="0.25">
      <c r="A10" s="23">
        <v>4</v>
      </c>
      <c r="B10" s="24">
        <v>23.939527571201324</v>
      </c>
      <c r="S10" s="16" t="s">
        <v>82</v>
      </c>
    </row>
    <row r="11" spans="1:19" x14ac:dyDescent="0.25">
      <c r="A11" s="23">
        <v>6</v>
      </c>
      <c r="B11" s="24">
        <v>23.933552205562592</v>
      </c>
      <c r="S11" s="16" t="s">
        <v>83</v>
      </c>
    </row>
    <row r="12" spans="1:19" x14ac:dyDescent="0.25">
      <c r="A12" s="23">
        <v>11</v>
      </c>
      <c r="B12" s="24">
        <v>23.918645083904266</v>
      </c>
      <c r="S12" s="16" t="s">
        <v>84</v>
      </c>
    </row>
    <row r="13" spans="1:19" x14ac:dyDescent="0.25">
      <c r="A13" s="23">
        <v>21</v>
      </c>
      <c r="B13" s="24">
        <v>23.888960480690002</v>
      </c>
      <c r="S13" s="16" t="s">
        <v>229</v>
      </c>
    </row>
    <row r="14" spans="1:19" x14ac:dyDescent="0.25">
      <c r="A14" s="23">
        <v>31</v>
      </c>
      <c r="B14" s="24">
        <v>23.859447240829468</v>
      </c>
      <c r="S14" s="16" t="s">
        <v>82</v>
      </c>
    </row>
    <row r="15" spans="1:19" x14ac:dyDescent="0.25">
      <c r="A15" s="23">
        <v>51</v>
      </c>
      <c r="B15" s="24">
        <v>23.800930380821228</v>
      </c>
      <c r="S15" s="16" t="s">
        <v>230</v>
      </c>
    </row>
    <row r="16" spans="1:19" x14ac:dyDescent="0.25">
      <c r="A16" s="23">
        <v>101</v>
      </c>
      <c r="B16" s="24">
        <v>23.657563328742981</v>
      </c>
      <c r="S16" s="16" t="s">
        <v>59</v>
      </c>
    </row>
    <row r="17" spans="1:19" x14ac:dyDescent="0.25">
      <c r="A17" s="23">
        <v>201</v>
      </c>
      <c r="B17" s="24">
        <v>23.382963240146637</v>
      </c>
      <c r="S17" s="16" t="s">
        <v>60</v>
      </c>
    </row>
    <row r="18" spans="1:19" x14ac:dyDescent="0.25">
      <c r="A18" s="23">
        <v>301</v>
      </c>
      <c r="B18" s="24">
        <v>23.123764991760254</v>
      </c>
      <c r="S18" s="16" t="s">
        <v>85</v>
      </c>
    </row>
    <row r="19" spans="1:19" x14ac:dyDescent="0.25">
      <c r="A19" s="23">
        <v>501</v>
      </c>
      <c r="B19" s="24">
        <v>22.648097574710846</v>
      </c>
      <c r="S19" s="16" t="s">
        <v>61</v>
      </c>
    </row>
    <row r="20" spans="1:19" x14ac:dyDescent="0.25">
      <c r="A20" s="23">
        <v>1001</v>
      </c>
      <c r="B20" s="24">
        <v>21.672527492046356</v>
      </c>
      <c r="S20" s="16" t="s">
        <v>59</v>
      </c>
    </row>
    <row r="21" spans="1:19" x14ac:dyDescent="0.25">
      <c r="A21" s="23">
        <v>2001</v>
      </c>
      <c r="B21" s="24">
        <v>20.385101437568665</v>
      </c>
      <c r="S21" s="16" t="s">
        <v>231</v>
      </c>
    </row>
    <row r="22" spans="1:19" x14ac:dyDescent="0.25">
      <c r="A22" s="23">
        <v>3001</v>
      </c>
      <c r="B22" s="24">
        <v>19.645635783672333</v>
      </c>
      <c r="S22" s="16" t="s">
        <v>232</v>
      </c>
    </row>
    <row r="23" spans="1:19" x14ac:dyDescent="0.25">
      <c r="A23" s="23">
        <v>5001</v>
      </c>
      <c r="B23" s="24">
        <v>18.942825496196747</v>
      </c>
      <c r="S23" s="16" t="s">
        <v>59</v>
      </c>
    </row>
    <row r="24" spans="1:19" x14ac:dyDescent="0.25">
      <c r="A24" s="23">
        <v>10001</v>
      </c>
      <c r="B24" s="24">
        <v>18.411023914813995</v>
      </c>
      <c r="S24" s="16" t="s">
        <v>63</v>
      </c>
    </row>
    <row r="25" spans="1:19" x14ac:dyDescent="0.25">
      <c r="A25" s="23">
        <v>20001</v>
      </c>
      <c r="B25" s="24">
        <v>17.851068079471588</v>
      </c>
      <c r="S25" s="16" t="s">
        <v>233</v>
      </c>
    </row>
    <row r="26" spans="1:19" x14ac:dyDescent="0.25">
      <c r="A26" s="25">
        <v>30001</v>
      </c>
      <c r="B26" s="26">
        <v>17.336049675941467</v>
      </c>
      <c r="S26" s="16" t="s">
        <v>65</v>
      </c>
    </row>
    <row r="27" spans="1:19" x14ac:dyDescent="0.25">
      <c r="S27" s="16" t="s">
        <v>86</v>
      </c>
    </row>
    <row r="28" spans="1:19" x14ac:dyDescent="0.25">
      <c r="S28" s="16" t="s">
        <v>87</v>
      </c>
    </row>
    <row r="29" spans="1:19" x14ac:dyDescent="0.25">
      <c r="C29" t="s">
        <v>58</v>
      </c>
      <c r="S29" s="16" t="s">
        <v>88</v>
      </c>
    </row>
    <row r="30" spans="1:19" x14ac:dyDescent="0.25">
      <c r="B30" s="16"/>
      <c r="C30" t="s">
        <v>59</v>
      </c>
      <c r="S30" s="16" t="s">
        <v>89</v>
      </c>
    </row>
    <row r="31" spans="1:19" x14ac:dyDescent="0.25">
      <c r="B31" s="16"/>
      <c r="C31" t="s">
        <v>60</v>
      </c>
      <c r="S31" s="16" t="s">
        <v>70</v>
      </c>
    </row>
    <row r="32" spans="1:19" x14ac:dyDescent="0.25">
      <c r="B32" s="16"/>
      <c r="C32" t="s">
        <v>72</v>
      </c>
      <c r="S32" s="16" t="s">
        <v>71</v>
      </c>
    </row>
    <row r="33" spans="2:19" x14ac:dyDescent="0.25">
      <c r="B33" s="16"/>
      <c r="C33" t="s">
        <v>61</v>
      </c>
      <c r="S33" s="16" t="s">
        <v>82</v>
      </c>
    </row>
    <row r="34" spans="2:19" x14ac:dyDescent="0.25">
      <c r="B34" s="51"/>
      <c r="C34" t="s">
        <v>59</v>
      </c>
      <c r="S34" s="16" t="s">
        <v>90</v>
      </c>
    </row>
    <row r="35" spans="2:19" x14ac:dyDescent="0.25">
      <c r="B35" s="20"/>
      <c r="C35" t="s">
        <v>62</v>
      </c>
      <c r="S35" s="16" t="s">
        <v>82</v>
      </c>
    </row>
    <row r="36" spans="2:19" x14ac:dyDescent="0.25">
      <c r="B36" s="20"/>
      <c r="C36" t="s">
        <v>63</v>
      </c>
      <c r="S36" s="16" t="s">
        <v>234</v>
      </c>
    </row>
    <row r="37" spans="2:19" x14ac:dyDescent="0.25">
      <c r="B37" s="20"/>
      <c r="C37" t="s">
        <v>64</v>
      </c>
      <c r="S37" s="16" t="s">
        <v>235</v>
      </c>
    </row>
    <row r="38" spans="2:19" x14ac:dyDescent="0.25">
      <c r="B38" s="20"/>
      <c r="C38" t="s">
        <v>65</v>
      </c>
      <c r="S38" s="16" t="s">
        <v>91</v>
      </c>
    </row>
    <row r="39" spans="2:19" x14ac:dyDescent="0.25">
      <c r="B39" s="20"/>
      <c r="C39" t="s">
        <v>66</v>
      </c>
      <c r="S39" s="16" t="s">
        <v>92</v>
      </c>
    </row>
    <row r="40" spans="2:19" x14ac:dyDescent="0.25">
      <c r="B40" s="20"/>
      <c r="C40" t="s">
        <v>67</v>
      </c>
      <c r="S40" s="16" t="s">
        <v>93</v>
      </c>
    </row>
    <row r="41" spans="2:19" x14ac:dyDescent="0.25">
      <c r="B41" s="20"/>
      <c r="C41" t="s">
        <v>68</v>
      </c>
      <c r="S41" s="16" t="s">
        <v>94</v>
      </c>
    </row>
    <row r="42" spans="2:19" x14ac:dyDescent="0.25">
      <c r="B42" s="20"/>
      <c r="C42" t="s">
        <v>69</v>
      </c>
      <c r="S42" s="16" t="s">
        <v>95</v>
      </c>
    </row>
    <row r="43" spans="2:19" x14ac:dyDescent="0.25">
      <c r="B43" s="20"/>
      <c r="C43" t="s">
        <v>70</v>
      </c>
      <c r="S43" s="16" t="s">
        <v>96</v>
      </c>
    </row>
    <row r="44" spans="2:19" x14ac:dyDescent="0.25">
      <c r="B44" s="20"/>
      <c r="C44" t="s">
        <v>71</v>
      </c>
      <c r="S44" s="16" t="s">
        <v>97</v>
      </c>
    </row>
    <row r="45" spans="2:19" x14ac:dyDescent="0.25">
      <c r="B45" s="20"/>
      <c r="S45" s="16" t="s">
        <v>98</v>
      </c>
    </row>
    <row r="46" spans="2:19" x14ac:dyDescent="0.25">
      <c r="S46" s="16" t="s">
        <v>236</v>
      </c>
    </row>
    <row r="47" spans="2:19" x14ac:dyDescent="0.25">
      <c r="S47" s="16" t="s">
        <v>99</v>
      </c>
    </row>
    <row r="48" spans="2:19" x14ac:dyDescent="0.25">
      <c r="S48" s="16" t="s">
        <v>237</v>
      </c>
    </row>
    <row r="49" spans="19:19" x14ac:dyDescent="0.25">
      <c r="S49" s="16" t="s">
        <v>100</v>
      </c>
    </row>
    <row r="50" spans="19:19" x14ac:dyDescent="0.25">
      <c r="S50" s="16" t="s">
        <v>238</v>
      </c>
    </row>
    <row r="51" spans="19:19" x14ac:dyDescent="0.25">
      <c r="S51" s="16" t="s">
        <v>101</v>
      </c>
    </row>
    <row r="52" spans="19:19" x14ac:dyDescent="0.25">
      <c r="S52" s="16" t="s">
        <v>239</v>
      </c>
    </row>
    <row r="53" spans="19:19" x14ac:dyDescent="0.25">
      <c r="S53" s="16" t="s">
        <v>102</v>
      </c>
    </row>
    <row r="54" spans="19:19" x14ac:dyDescent="0.25">
      <c r="S54" s="16" t="s">
        <v>240</v>
      </c>
    </row>
    <row r="55" spans="19:19" x14ac:dyDescent="0.25">
      <c r="S55" s="16" t="s">
        <v>103</v>
      </c>
    </row>
    <row r="56" spans="19:19" x14ac:dyDescent="0.25">
      <c r="S56" s="16" t="s">
        <v>241</v>
      </c>
    </row>
    <row r="57" spans="19:19" x14ac:dyDescent="0.25">
      <c r="S57" s="16" t="s">
        <v>104</v>
      </c>
    </row>
    <row r="58" spans="19:19" x14ac:dyDescent="0.25">
      <c r="S58" s="16" t="s">
        <v>242</v>
      </c>
    </row>
    <row r="59" spans="19:19" x14ac:dyDescent="0.25">
      <c r="S59" s="16" t="s">
        <v>105</v>
      </c>
    </row>
    <row r="60" spans="19:19" x14ac:dyDescent="0.25">
      <c r="S60" s="16" t="s">
        <v>243</v>
      </c>
    </row>
    <row r="61" spans="19:19" x14ac:dyDescent="0.25">
      <c r="S61" s="16" t="s">
        <v>106</v>
      </c>
    </row>
    <row r="62" spans="19:19" x14ac:dyDescent="0.25">
      <c r="S62" s="16" t="s">
        <v>82</v>
      </c>
    </row>
    <row r="63" spans="19:19" x14ac:dyDescent="0.25">
      <c r="S63" s="16" t="s">
        <v>244</v>
      </c>
    </row>
    <row r="64" spans="19:19" x14ac:dyDescent="0.25">
      <c r="S64" s="16" t="s">
        <v>245</v>
      </c>
    </row>
    <row r="65" spans="19:19" x14ac:dyDescent="0.25">
      <c r="S65" s="16" t="s">
        <v>107</v>
      </c>
    </row>
    <row r="66" spans="19:19" x14ac:dyDescent="0.25">
      <c r="S66" s="16" t="s">
        <v>108</v>
      </c>
    </row>
    <row r="67" spans="19:19" x14ac:dyDescent="0.25">
      <c r="S67" s="16" t="s">
        <v>59</v>
      </c>
    </row>
    <row r="68" spans="19:19" x14ac:dyDescent="0.25">
      <c r="S68" s="16" t="s">
        <v>109</v>
      </c>
    </row>
    <row r="69" spans="19:19" x14ac:dyDescent="0.25">
      <c r="S69" s="16" t="s">
        <v>246</v>
      </c>
    </row>
    <row r="70" spans="19:19" x14ac:dyDescent="0.25">
      <c r="S70" s="16" t="s">
        <v>247</v>
      </c>
    </row>
    <row r="71" spans="19:19" x14ac:dyDescent="0.25">
      <c r="S71" s="16" t="s">
        <v>248</v>
      </c>
    </row>
    <row r="72" spans="19:19" x14ac:dyDescent="0.25">
      <c r="S72" s="16" t="s">
        <v>249</v>
      </c>
    </row>
    <row r="73" spans="19:19" x14ac:dyDescent="0.25">
      <c r="S73" s="16" t="s">
        <v>250</v>
      </c>
    </row>
    <row r="74" spans="19:19" x14ac:dyDescent="0.25">
      <c r="S74" s="16" t="s">
        <v>251</v>
      </c>
    </row>
    <row r="75" spans="19:19" x14ac:dyDescent="0.25">
      <c r="S75" s="16" t="s">
        <v>82</v>
      </c>
    </row>
    <row r="76" spans="19:19" x14ac:dyDescent="0.25">
      <c r="S76" s="16" t="s">
        <v>252</v>
      </c>
    </row>
    <row r="77" spans="19:19" x14ac:dyDescent="0.25">
      <c r="S77" s="16" t="s">
        <v>110</v>
      </c>
    </row>
    <row r="78" spans="19:19" x14ac:dyDescent="0.25">
      <c r="S78" s="16" t="s">
        <v>111</v>
      </c>
    </row>
    <row r="79" spans="19:19" x14ac:dyDescent="0.25">
      <c r="S79" s="16" t="s">
        <v>112</v>
      </c>
    </row>
    <row r="80" spans="19:19" x14ac:dyDescent="0.25">
      <c r="S80" s="16" t="s">
        <v>113</v>
      </c>
    </row>
    <row r="81" spans="19:19" x14ac:dyDescent="0.25">
      <c r="S81" s="16" t="s">
        <v>114</v>
      </c>
    </row>
    <row r="82" spans="19:19" x14ac:dyDescent="0.25">
      <c r="S82" s="16" t="s">
        <v>115</v>
      </c>
    </row>
    <row r="83" spans="19:19" x14ac:dyDescent="0.25">
      <c r="S83" s="16" t="s">
        <v>116</v>
      </c>
    </row>
    <row r="84" spans="19:19" x14ac:dyDescent="0.25">
      <c r="S84" s="16" t="s">
        <v>117</v>
      </c>
    </row>
    <row r="85" spans="19:19" x14ac:dyDescent="0.25">
      <c r="S85" s="16" t="s">
        <v>118</v>
      </c>
    </row>
    <row r="86" spans="19:19" x14ac:dyDescent="0.25">
      <c r="S86" s="16" t="s">
        <v>119</v>
      </c>
    </row>
    <row r="87" spans="19:19" x14ac:dyDescent="0.25">
      <c r="S87" s="16" t="s">
        <v>120</v>
      </c>
    </row>
    <row r="88" spans="19:19" x14ac:dyDescent="0.25">
      <c r="S88" s="16" t="s">
        <v>121</v>
      </c>
    </row>
    <row r="89" spans="19:19" x14ac:dyDescent="0.25">
      <c r="S89" s="16" t="s">
        <v>122</v>
      </c>
    </row>
    <row r="90" spans="19:19" x14ac:dyDescent="0.25">
      <c r="S90" s="16" t="s">
        <v>123</v>
      </c>
    </row>
    <row r="91" spans="19:19" x14ac:dyDescent="0.25">
      <c r="S91" s="16" t="s">
        <v>124</v>
      </c>
    </row>
    <row r="92" spans="19:19" x14ac:dyDescent="0.25">
      <c r="S92" s="16" t="s">
        <v>125</v>
      </c>
    </row>
    <row r="93" spans="19:19" x14ac:dyDescent="0.25">
      <c r="S93" s="16" t="s">
        <v>126</v>
      </c>
    </row>
    <row r="94" spans="19:19" x14ac:dyDescent="0.25">
      <c r="S94" s="16" t="s">
        <v>127</v>
      </c>
    </row>
    <row r="95" spans="19:19" x14ac:dyDescent="0.25">
      <c r="S95" s="16" t="s">
        <v>128</v>
      </c>
    </row>
    <row r="96" spans="19:19" x14ac:dyDescent="0.25">
      <c r="S96" s="16" t="s">
        <v>253</v>
      </c>
    </row>
    <row r="97" spans="19:19" x14ac:dyDescent="0.25">
      <c r="S97" s="16" t="s">
        <v>254</v>
      </c>
    </row>
    <row r="98" spans="19:19" x14ac:dyDescent="0.25">
      <c r="S98" s="16" t="s">
        <v>255</v>
      </c>
    </row>
    <row r="99" spans="19:19" x14ac:dyDescent="0.25">
      <c r="S99" s="16" t="s">
        <v>256</v>
      </c>
    </row>
    <row r="100" spans="19:19" x14ac:dyDescent="0.25">
      <c r="S100" s="16" t="s">
        <v>257</v>
      </c>
    </row>
    <row r="101" spans="19:19" x14ac:dyDescent="0.25">
      <c r="S101" s="16" t="s">
        <v>129</v>
      </c>
    </row>
    <row r="102" spans="19:19" x14ac:dyDescent="0.25">
      <c r="S102" s="16" t="s">
        <v>258</v>
      </c>
    </row>
    <row r="103" spans="19:19" x14ac:dyDescent="0.25">
      <c r="S103" s="16" t="s">
        <v>259</v>
      </c>
    </row>
    <row r="104" spans="19:19" x14ac:dyDescent="0.25">
      <c r="S104" s="16" t="s">
        <v>82</v>
      </c>
    </row>
    <row r="105" spans="19:19" x14ac:dyDescent="0.25">
      <c r="S105" s="16" t="s">
        <v>260</v>
      </c>
    </row>
    <row r="106" spans="19:19" x14ac:dyDescent="0.25">
      <c r="S106" s="16" t="s">
        <v>130</v>
      </c>
    </row>
    <row r="107" spans="19:19" x14ac:dyDescent="0.25">
      <c r="S107" s="16" t="s">
        <v>131</v>
      </c>
    </row>
    <row r="108" spans="19:19" x14ac:dyDescent="0.25">
      <c r="S108" s="16" t="s">
        <v>132</v>
      </c>
    </row>
    <row r="109" spans="19:19" x14ac:dyDescent="0.25">
      <c r="S109" s="16" t="s">
        <v>133</v>
      </c>
    </row>
    <row r="110" spans="19:19" x14ac:dyDescent="0.25">
      <c r="S110" s="16" t="s">
        <v>261</v>
      </c>
    </row>
    <row r="111" spans="19:19" x14ac:dyDescent="0.25">
      <c r="S111" s="16" t="s">
        <v>262</v>
      </c>
    </row>
    <row r="112" spans="19:19" x14ac:dyDescent="0.25">
      <c r="S112" s="16" t="s">
        <v>134</v>
      </c>
    </row>
    <row r="113" spans="19:19" x14ac:dyDescent="0.25">
      <c r="S113" s="16" t="s">
        <v>263</v>
      </c>
    </row>
    <row r="114" spans="19:19" x14ac:dyDescent="0.25">
      <c r="S114" s="16" t="s">
        <v>255</v>
      </c>
    </row>
    <row r="115" spans="19:19" x14ac:dyDescent="0.25">
      <c r="S115" s="16" t="s">
        <v>256</v>
      </c>
    </row>
    <row r="116" spans="19:19" x14ac:dyDescent="0.25">
      <c r="S116" s="16" t="s">
        <v>257</v>
      </c>
    </row>
    <row r="117" spans="19:19" x14ac:dyDescent="0.25">
      <c r="S117" s="16" t="s">
        <v>135</v>
      </c>
    </row>
    <row r="118" spans="19:19" x14ac:dyDescent="0.25">
      <c r="S118" s="16" t="s">
        <v>263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L44" sqref="L44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1" t="s">
        <v>73</v>
      </c>
      <c r="B2" s="62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23.407603800296783</v>
      </c>
    </row>
    <row r="8" spans="1:2" x14ac:dyDescent="0.25">
      <c r="A8" s="23">
        <v>2</v>
      </c>
      <c r="B8" s="24">
        <v>22.471143305301666</v>
      </c>
    </row>
    <row r="9" spans="1:2" x14ac:dyDescent="0.25">
      <c r="A9" s="23">
        <v>3</v>
      </c>
      <c r="B9" s="24">
        <v>21.722489595413208</v>
      </c>
    </row>
    <row r="10" spans="1:2" x14ac:dyDescent="0.25">
      <c r="A10" s="23">
        <v>4</v>
      </c>
      <c r="B10" s="24">
        <v>21.123041212558746</v>
      </c>
    </row>
    <row r="11" spans="1:2" x14ac:dyDescent="0.25">
      <c r="A11" s="23">
        <v>6</v>
      </c>
      <c r="B11" s="24">
        <v>20.255409181118011</v>
      </c>
    </row>
    <row r="12" spans="1:2" x14ac:dyDescent="0.25">
      <c r="A12" s="23">
        <v>11</v>
      </c>
      <c r="B12" s="24">
        <v>19.18039470911026</v>
      </c>
    </row>
    <row r="13" spans="1:2" x14ac:dyDescent="0.25">
      <c r="A13" s="23">
        <v>21</v>
      </c>
      <c r="B13" s="24">
        <v>18.555629253387451</v>
      </c>
    </row>
    <row r="14" spans="1:2" x14ac:dyDescent="0.25">
      <c r="A14" s="23">
        <v>31</v>
      </c>
      <c r="B14" s="24">
        <v>18.296077847480774</v>
      </c>
    </row>
    <row r="15" spans="1:2" x14ac:dyDescent="0.25">
      <c r="A15" s="23">
        <v>51</v>
      </c>
      <c r="B15" s="24">
        <v>17.867599427700043</v>
      </c>
    </row>
    <row r="16" spans="1:2" x14ac:dyDescent="0.25">
      <c r="A16" s="23">
        <v>101</v>
      </c>
      <c r="B16" s="24">
        <v>16.889268159866333</v>
      </c>
    </row>
    <row r="17" spans="1:2" x14ac:dyDescent="0.25">
      <c r="A17" s="23">
        <v>201</v>
      </c>
      <c r="B17" s="24">
        <v>15.241016447544098</v>
      </c>
    </row>
    <row r="18" spans="1:2" x14ac:dyDescent="0.25">
      <c r="A18" s="23">
        <v>301</v>
      </c>
      <c r="B18" s="24">
        <v>13.932229578495026</v>
      </c>
    </row>
    <row r="19" spans="1:2" x14ac:dyDescent="0.25">
      <c r="A19" s="23">
        <v>501</v>
      </c>
      <c r="B19" s="24">
        <v>12.066448479890823</v>
      </c>
    </row>
    <row r="20" spans="1:2" x14ac:dyDescent="0.25">
      <c r="A20" s="23">
        <v>1001</v>
      </c>
      <c r="B20" s="24">
        <v>9.8736003041267395</v>
      </c>
    </row>
    <row r="21" spans="1:2" x14ac:dyDescent="0.25">
      <c r="A21" s="23">
        <v>2001</v>
      </c>
      <c r="B21" s="24">
        <v>8.9018315076828003</v>
      </c>
    </row>
    <row r="22" spans="1:2" x14ac:dyDescent="0.25">
      <c r="A22" s="23">
        <v>3001</v>
      </c>
      <c r="B22" s="24">
        <v>8.729640394449234</v>
      </c>
    </row>
    <row r="23" spans="1:2" x14ac:dyDescent="0.25">
      <c r="A23" s="23">
        <v>5001</v>
      </c>
      <c r="B23" s="24">
        <v>8.5553728044033051</v>
      </c>
    </row>
    <row r="24" spans="1:2" x14ac:dyDescent="0.25">
      <c r="A24" s="23">
        <v>10001</v>
      </c>
      <c r="B24" s="24">
        <v>8.1742629408836365</v>
      </c>
    </row>
    <row r="25" spans="1:2" x14ac:dyDescent="0.25">
      <c r="A25" s="23">
        <v>20001</v>
      </c>
      <c r="B25" s="24">
        <v>7.5300887227058411</v>
      </c>
    </row>
    <row r="26" spans="1:2" x14ac:dyDescent="0.25">
      <c r="A26" s="25">
        <v>30001</v>
      </c>
      <c r="B26" s="26">
        <v>7.0162847638130188</v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2" sqref="A2:B2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1" t="s">
        <v>74</v>
      </c>
      <c r="B2" s="62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17.474356293678284</v>
      </c>
    </row>
    <row r="8" spans="1:2" x14ac:dyDescent="0.25">
      <c r="A8" s="23">
        <v>2</v>
      </c>
      <c r="B8" s="24">
        <v>14.750055968761444</v>
      </c>
    </row>
    <row r="9" spans="1:2" x14ac:dyDescent="0.25">
      <c r="A9" s="23">
        <v>3</v>
      </c>
      <c r="B9" s="24">
        <v>12.954165041446686</v>
      </c>
    </row>
    <row r="10" spans="1:2" x14ac:dyDescent="0.25">
      <c r="A10" s="23">
        <v>4</v>
      </c>
      <c r="B10" s="24">
        <v>11.706630885601044</v>
      </c>
    </row>
    <row r="11" spans="1:2" x14ac:dyDescent="0.25">
      <c r="A11" s="23">
        <v>6</v>
      </c>
      <c r="B11" s="24">
        <v>10.233607143163681</v>
      </c>
    </row>
    <row r="12" spans="1:2" x14ac:dyDescent="0.25">
      <c r="A12" s="23">
        <v>11</v>
      </c>
      <c r="B12" s="24">
        <v>9.0459182858467102</v>
      </c>
    </row>
    <row r="13" spans="1:2" x14ac:dyDescent="0.25">
      <c r="A13" s="23">
        <v>21</v>
      </c>
      <c r="B13" s="24">
        <v>8.7045654654502869</v>
      </c>
    </row>
    <row r="14" spans="1:2" x14ac:dyDescent="0.25">
      <c r="A14" s="23">
        <v>31</v>
      </c>
      <c r="B14" s="24">
        <v>8.5687950253486633</v>
      </c>
    </row>
    <row r="15" spans="1:2" x14ac:dyDescent="0.25">
      <c r="A15" s="23">
        <v>51</v>
      </c>
      <c r="B15" s="24">
        <v>8.3211667835712433</v>
      </c>
    </row>
    <row r="16" spans="1:2" x14ac:dyDescent="0.25">
      <c r="A16" s="23">
        <v>101</v>
      </c>
      <c r="B16" s="24">
        <v>7.774786651134491</v>
      </c>
    </row>
    <row r="17" spans="1:2" x14ac:dyDescent="0.25">
      <c r="A17" s="23">
        <v>201</v>
      </c>
      <c r="B17" s="24">
        <v>6.9362811744213104</v>
      </c>
    </row>
    <row r="18" spans="1:2" x14ac:dyDescent="0.25">
      <c r="A18" s="23">
        <v>301</v>
      </c>
      <c r="B18" s="24">
        <v>6.3503101468086243</v>
      </c>
    </row>
    <row r="19" spans="1:2" x14ac:dyDescent="0.25">
      <c r="A19" s="23">
        <v>501</v>
      </c>
      <c r="B19" s="24">
        <v>5.6543797254562378</v>
      </c>
    </row>
    <row r="20" spans="1:2" x14ac:dyDescent="0.25">
      <c r="A20" s="23">
        <v>1001</v>
      </c>
      <c r="B20" s="24">
        <v>5.098545178771019</v>
      </c>
    </row>
    <row r="21" spans="1:2" x14ac:dyDescent="0.25">
      <c r="A21" s="23">
        <v>2001</v>
      </c>
      <c r="B21" s="24">
        <v>4.9827922135591507</v>
      </c>
    </row>
    <row r="22" spans="1:2" x14ac:dyDescent="0.25">
      <c r="A22" s="23">
        <v>3001</v>
      </c>
      <c r="B22" s="24">
        <v>4.9710560590028763</v>
      </c>
    </row>
    <row r="23" spans="1:2" x14ac:dyDescent="0.25">
      <c r="A23" s="23">
        <v>5001</v>
      </c>
      <c r="B23" s="24">
        <v>4.9535069614648819</v>
      </c>
    </row>
    <row r="24" spans="1:2" x14ac:dyDescent="0.25">
      <c r="A24" s="23">
        <v>10001</v>
      </c>
      <c r="B24" s="24">
        <v>4.9103822559118271</v>
      </c>
    </row>
    <row r="25" spans="1:2" x14ac:dyDescent="0.25">
      <c r="A25" s="23">
        <v>20001</v>
      </c>
      <c r="B25" s="24">
        <v>4.8263914883136749</v>
      </c>
    </row>
    <row r="26" spans="1:2" x14ac:dyDescent="0.25">
      <c r="A26" s="25">
        <v>30001</v>
      </c>
      <c r="B26" s="26">
        <v>4.7453250735998154</v>
      </c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7" sqref="B7:B26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1" t="s">
        <v>54</v>
      </c>
      <c r="B2" s="62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9.5440663397312164</v>
      </c>
    </row>
    <row r="8" spans="1:2" x14ac:dyDescent="0.25">
      <c r="A8" s="23">
        <v>2</v>
      </c>
      <c r="B8" s="24">
        <v>8.3127692341804504</v>
      </c>
    </row>
    <row r="9" spans="1:2" x14ac:dyDescent="0.25">
      <c r="A9" s="23">
        <v>3</v>
      </c>
      <c r="B9" s="24">
        <v>7.9289890825748444</v>
      </c>
    </row>
    <row r="10" spans="1:2" x14ac:dyDescent="0.25">
      <c r="A10" s="23">
        <v>4</v>
      </c>
      <c r="B10" s="24">
        <v>7.5895607471466064</v>
      </c>
    </row>
    <row r="11" spans="1:2" x14ac:dyDescent="0.25">
      <c r="A11" s="23">
        <v>6</v>
      </c>
      <c r="B11" s="24">
        <v>7.0238277316093445</v>
      </c>
    </row>
    <row r="12" spans="1:2" x14ac:dyDescent="0.25">
      <c r="A12" s="23">
        <v>11</v>
      </c>
      <c r="B12" s="24">
        <v>6.091226264834404</v>
      </c>
    </row>
    <row r="13" spans="1:2" x14ac:dyDescent="0.25">
      <c r="A13" s="23">
        <v>21</v>
      </c>
      <c r="B13" s="24">
        <v>5.3121544420719147</v>
      </c>
    </row>
    <row r="14" spans="1:2" x14ac:dyDescent="0.25">
      <c r="A14" s="23">
        <v>31</v>
      </c>
      <c r="B14" s="24">
        <v>5.0820764154195786</v>
      </c>
    </row>
    <row r="15" spans="1:2" x14ac:dyDescent="0.25">
      <c r="A15" s="23">
        <v>51</v>
      </c>
      <c r="B15" s="24">
        <v>4.9901712685823441</v>
      </c>
    </row>
    <row r="16" spans="1:2" x14ac:dyDescent="0.25">
      <c r="A16" s="23">
        <v>101</v>
      </c>
      <c r="B16" s="24">
        <v>4.9671191722154617</v>
      </c>
    </row>
    <row r="17" spans="1:2" x14ac:dyDescent="0.25">
      <c r="A17" s="23">
        <v>201</v>
      </c>
      <c r="B17" s="24">
        <v>4.9373123794794083</v>
      </c>
    </row>
    <row r="18" spans="1:2" x14ac:dyDescent="0.25">
      <c r="A18" s="23">
        <v>301</v>
      </c>
      <c r="B18" s="24">
        <v>4.9078822135925293</v>
      </c>
    </row>
    <row r="19" spans="1:2" x14ac:dyDescent="0.25">
      <c r="A19" s="23">
        <v>501</v>
      </c>
      <c r="B19" s="24">
        <v>4.8500828444957733</v>
      </c>
    </row>
    <row r="20" spans="1:2" x14ac:dyDescent="0.25">
      <c r="A20" s="23">
        <v>1001</v>
      </c>
      <c r="B20" s="24">
        <v>4.7115769237279892</v>
      </c>
    </row>
    <row r="21" spans="1:2" x14ac:dyDescent="0.25">
      <c r="A21" s="23">
        <v>2001</v>
      </c>
      <c r="B21" s="24">
        <v>4.4585525989532471</v>
      </c>
    </row>
    <row r="22" spans="1:2" x14ac:dyDescent="0.25">
      <c r="A22" s="23">
        <v>3001</v>
      </c>
      <c r="B22" s="24">
        <v>4.2344503104686737</v>
      </c>
    </row>
    <row r="23" spans="1:2" x14ac:dyDescent="0.25">
      <c r="A23" s="23">
        <v>5001</v>
      </c>
      <c r="B23" s="24">
        <v>3.8601655513048172</v>
      </c>
    </row>
    <row r="24" spans="1:2" x14ac:dyDescent="0.25">
      <c r="A24" s="23">
        <v>10001</v>
      </c>
      <c r="B24" s="24">
        <v>3.2404161989688873</v>
      </c>
    </row>
    <row r="25" spans="1:2" x14ac:dyDescent="0.25">
      <c r="A25" s="23">
        <v>20001</v>
      </c>
      <c r="B25" s="24">
        <v>2.7185309678316116</v>
      </c>
    </row>
    <row r="26" spans="1:2" x14ac:dyDescent="0.25">
      <c r="A26" s="25">
        <v>30001</v>
      </c>
      <c r="B26" s="26">
        <v>2.5635002180933952</v>
      </c>
    </row>
  </sheetData>
  <mergeCells count="1"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7" sqref="B7:B26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1" t="s">
        <v>55</v>
      </c>
      <c r="B2" s="62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6.995546817779541</v>
      </c>
    </row>
    <row r="8" spans="1:2" x14ac:dyDescent="0.25">
      <c r="A8" s="23">
        <v>2</v>
      </c>
      <c r="B8" s="24">
        <v>5.3589954972267151</v>
      </c>
    </row>
    <row r="9" spans="1:2" x14ac:dyDescent="0.25">
      <c r="A9" s="23">
        <v>3</v>
      </c>
      <c r="B9" s="24">
        <v>5.0568226724863052</v>
      </c>
    </row>
    <row r="10" spans="1:2" x14ac:dyDescent="0.25">
      <c r="A10" s="23">
        <v>4</v>
      </c>
      <c r="B10" s="24">
        <v>4.9962703138589859</v>
      </c>
    </row>
    <row r="11" spans="1:2" x14ac:dyDescent="0.25">
      <c r="A11" s="23">
        <v>6</v>
      </c>
      <c r="B11" s="24">
        <v>4.975394532084465</v>
      </c>
    </row>
    <row r="12" spans="1:2" x14ac:dyDescent="0.25">
      <c r="A12" s="23">
        <v>11</v>
      </c>
      <c r="B12" s="24">
        <v>4.9546543508768082</v>
      </c>
    </row>
    <row r="13" spans="1:2" x14ac:dyDescent="0.25">
      <c r="A13" s="23">
        <v>21</v>
      </c>
      <c r="B13" s="24">
        <v>4.9146175384521484</v>
      </c>
    </row>
    <row r="14" spans="1:2" x14ac:dyDescent="0.25">
      <c r="A14" s="23">
        <v>31</v>
      </c>
      <c r="B14" s="24">
        <v>4.8752330243587494</v>
      </c>
    </row>
    <row r="15" spans="1:2" x14ac:dyDescent="0.25">
      <c r="A15" s="23">
        <v>51</v>
      </c>
      <c r="B15" s="24">
        <v>4.7983791679143906</v>
      </c>
    </row>
    <row r="16" spans="1:2" x14ac:dyDescent="0.25">
      <c r="A16" s="23">
        <v>101</v>
      </c>
      <c r="B16" s="24">
        <v>4.6169396489858627</v>
      </c>
    </row>
    <row r="17" spans="1:2" x14ac:dyDescent="0.25">
      <c r="A17" s="23">
        <v>201</v>
      </c>
      <c r="B17" s="24">
        <v>4.2958639562129974</v>
      </c>
    </row>
    <row r="18" spans="1:2" x14ac:dyDescent="0.25">
      <c r="A18" s="23">
        <v>301</v>
      </c>
      <c r="B18" s="24">
        <v>4.0234394371509552</v>
      </c>
    </row>
    <row r="19" spans="1:2" x14ac:dyDescent="0.25">
      <c r="A19" s="23">
        <v>501</v>
      </c>
      <c r="B19" s="24">
        <v>3.5961735993623734</v>
      </c>
    </row>
    <row r="20" spans="1:2" x14ac:dyDescent="0.25">
      <c r="A20" s="23">
        <v>1001</v>
      </c>
      <c r="B20" s="24">
        <v>2.9809001833200455</v>
      </c>
    </row>
    <row r="21" spans="1:2" x14ac:dyDescent="0.25">
      <c r="A21" s="23">
        <v>2001</v>
      </c>
      <c r="B21" s="24">
        <v>2.59136613458395</v>
      </c>
    </row>
    <row r="22" spans="1:2" x14ac:dyDescent="0.25">
      <c r="A22" s="23">
        <v>3001</v>
      </c>
      <c r="B22" s="24">
        <v>2.5160420686006546</v>
      </c>
    </row>
    <row r="23" spans="1:2" x14ac:dyDescent="0.25">
      <c r="A23" s="23">
        <v>5001</v>
      </c>
      <c r="B23" s="24">
        <v>2.4986602365970612</v>
      </c>
    </row>
    <row r="24" spans="1:2" x14ac:dyDescent="0.25">
      <c r="A24" s="23">
        <v>10001</v>
      </c>
      <c r="B24" s="24">
        <v>2.4979852139949799</v>
      </c>
    </row>
    <row r="25" spans="1:2" x14ac:dyDescent="0.25">
      <c r="A25" s="23">
        <v>20001</v>
      </c>
      <c r="B25" s="24">
        <v>2.4979850277304649</v>
      </c>
    </row>
    <row r="26" spans="1:2" x14ac:dyDescent="0.25">
      <c r="A26" s="25">
        <v>30001</v>
      </c>
      <c r="B26" s="26">
        <v>2.4979850277304649</v>
      </c>
    </row>
  </sheetData>
  <mergeCells count="1"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11"/>
  <sheetViews>
    <sheetView workbookViewId="0">
      <selection activeCell="B2" sqref="B2:B111"/>
    </sheetView>
  </sheetViews>
  <sheetFormatPr defaultRowHeight="15" x14ac:dyDescent="0.25"/>
  <sheetData>
    <row r="2" spans="2:2" x14ac:dyDescent="0.25">
      <c r="B2" t="s">
        <v>136</v>
      </c>
    </row>
    <row r="3" spans="2:2" x14ac:dyDescent="0.25">
      <c r="B3" t="s">
        <v>137</v>
      </c>
    </row>
    <row r="4" spans="2:2" x14ac:dyDescent="0.25">
      <c r="B4" t="s">
        <v>138</v>
      </c>
    </row>
    <row r="5" spans="2:2" x14ac:dyDescent="0.25">
      <c r="B5" t="s">
        <v>139</v>
      </c>
    </row>
    <row r="6" spans="2:2" x14ac:dyDescent="0.25">
      <c r="B6" t="s">
        <v>140</v>
      </c>
    </row>
    <row r="7" spans="2:2" x14ac:dyDescent="0.25">
      <c r="B7" t="s">
        <v>141</v>
      </c>
    </row>
    <row r="8" spans="2:2" x14ac:dyDescent="0.25">
      <c r="B8" t="s">
        <v>142</v>
      </c>
    </row>
    <row r="9" spans="2:2" x14ac:dyDescent="0.25">
      <c r="B9" t="s">
        <v>143</v>
      </c>
    </row>
    <row r="10" spans="2:2" x14ac:dyDescent="0.25">
      <c r="B10" t="s">
        <v>144</v>
      </c>
    </row>
    <row r="11" spans="2:2" x14ac:dyDescent="0.25">
      <c r="B11" t="s">
        <v>219</v>
      </c>
    </row>
    <row r="12" spans="2:2" x14ac:dyDescent="0.25">
      <c r="B12" t="s">
        <v>220</v>
      </c>
    </row>
    <row r="13" spans="2:2" x14ac:dyDescent="0.25">
      <c r="B13" t="s">
        <v>144</v>
      </c>
    </row>
    <row r="14" spans="2:2" x14ac:dyDescent="0.25">
      <c r="B14" t="s">
        <v>221</v>
      </c>
    </row>
    <row r="15" spans="2:2" x14ac:dyDescent="0.25">
      <c r="B15" t="s">
        <v>140</v>
      </c>
    </row>
    <row r="17" spans="2:2" x14ac:dyDescent="0.25">
      <c r="B17" t="s">
        <v>145</v>
      </c>
    </row>
    <row r="18" spans="2:2" x14ac:dyDescent="0.25">
      <c r="B18" t="s">
        <v>146</v>
      </c>
    </row>
    <row r="20" spans="2:2" x14ac:dyDescent="0.25">
      <c r="B20" t="s">
        <v>147</v>
      </c>
    </row>
    <row r="21" spans="2:2" x14ac:dyDescent="0.25">
      <c r="B21" t="s">
        <v>148</v>
      </c>
    </row>
    <row r="22" spans="2:2" x14ac:dyDescent="0.25">
      <c r="B22" t="s">
        <v>149</v>
      </c>
    </row>
    <row r="23" spans="2:2" x14ac:dyDescent="0.25">
      <c r="B23" t="s">
        <v>150</v>
      </c>
    </row>
    <row r="24" spans="2:2" x14ac:dyDescent="0.25">
      <c r="B24" t="s">
        <v>151</v>
      </c>
    </row>
    <row r="25" spans="2:2" x14ac:dyDescent="0.25">
      <c r="B25" t="s">
        <v>152</v>
      </c>
    </row>
    <row r="26" spans="2:2" x14ac:dyDescent="0.25">
      <c r="B26" t="s">
        <v>153</v>
      </c>
    </row>
    <row r="28" spans="2:2" x14ac:dyDescent="0.25">
      <c r="B28" t="s">
        <v>154</v>
      </c>
    </row>
    <row r="29" spans="2:2" x14ac:dyDescent="0.25">
      <c r="B29" t="s">
        <v>155</v>
      </c>
    </row>
    <row r="30" spans="2:2" x14ac:dyDescent="0.25">
      <c r="B30" t="s">
        <v>156</v>
      </c>
    </row>
    <row r="31" spans="2:2" x14ac:dyDescent="0.25">
      <c r="B31" t="s">
        <v>157</v>
      </c>
    </row>
    <row r="32" spans="2:2" x14ac:dyDescent="0.25">
      <c r="B32" t="s">
        <v>158</v>
      </c>
    </row>
    <row r="33" spans="2:2" x14ac:dyDescent="0.25">
      <c r="B33" t="s">
        <v>159</v>
      </c>
    </row>
    <row r="34" spans="2:2" x14ac:dyDescent="0.25">
      <c r="B34" t="s">
        <v>160</v>
      </c>
    </row>
    <row r="35" spans="2:2" x14ac:dyDescent="0.25">
      <c r="B35" t="s">
        <v>161</v>
      </c>
    </row>
    <row r="36" spans="2:2" x14ac:dyDescent="0.25">
      <c r="B36" t="s">
        <v>162</v>
      </c>
    </row>
    <row r="38" spans="2:2" x14ac:dyDescent="0.25">
      <c r="B38" t="s">
        <v>190</v>
      </c>
    </row>
    <row r="39" spans="2:2" x14ac:dyDescent="0.25">
      <c r="B39" t="s">
        <v>163</v>
      </c>
    </row>
    <row r="40" spans="2:2" x14ac:dyDescent="0.25">
      <c r="B40" t="s">
        <v>164</v>
      </c>
    </row>
    <row r="41" spans="2:2" x14ac:dyDescent="0.25">
      <c r="B41" t="s">
        <v>165</v>
      </c>
    </row>
    <row r="42" spans="2:2" x14ac:dyDescent="0.25">
      <c r="B42" t="s">
        <v>166</v>
      </c>
    </row>
    <row r="43" spans="2:2" x14ac:dyDescent="0.25">
      <c r="B43" t="s">
        <v>167</v>
      </c>
    </row>
    <row r="44" spans="2:2" x14ac:dyDescent="0.25">
      <c r="B44" t="s">
        <v>168</v>
      </c>
    </row>
    <row r="46" spans="2:2" x14ac:dyDescent="0.25">
      <c r="B46" t="s">
        <v>169</v>
      </c>
    </row>
    <row r="47" spans="2:2" x14ac:dyDescent="0.25">
      <c r="B47" t="s">
        <v>170</v>
      </c>
    </row>
    <row r="48" spans="2:2" x14ac:dyDescent="0.25">
      <c r="B48" t="s">
        <v>171</v>
      </c>
    </row>
    <row r="49" spans="2:2" x14ac:dyDescent="0.25">
      <c r="B49" t="s">
        <v>172</v>
      </c>
    </row>
    <row r="50" spans="2:2" x14ac:dyDescent="0.25">
      <c r="B50" t="s">
        <v>173</v>
      </c>
    </row>
    <row r="51" spans="2:2" x14ac:dyDescent="0.25">
      <c r="B51" t="s">
        <v>174</v>
      </c>
    </row>
    <row r="52" spans="2:2" x14ac:dyDescent="0.25">
      <c r="B52" t="s">
        <v>175</v>
      </c>
    </row>
    <row r="53" spans="2:2" x14ac:dyDescent="0.25">
      <c r="B53" t="s">
        <v>176</v>
      </c>
    </row>
    <row r="54" spans="2:2" x14ac:dyDescent="0.25">
      <c r="B54" t="s">
        <v>177</v>
      </c>
    </row>
    <row r="55" spans="2:2" x14ac:dyDescent="0.25">
      <c r="B55" t="s">
        <v>178</v>
      </c>
    </row>
    <row r="56" spans="2:2" x14ac:dyDescent="0.25">
      <c r="B56" t="s">
        <v>179</v>
      </c>
    </row>
    <row r="57" spans="2:2" x14ac:dyDescent="0.25">
      <c r="B57" t="s">
        <v>180</v>
      </c>
    </row>
    <row r="58" spans="2:2" x14ac:dyDescent="0.25">
      <c r="B58" t="s">
        <v>181</v>
      </c>
    </row>
    <row r="59" spans="2:2" x14ac:dyDescent="0.25">
      <c r="B59" t="s">
        <v>182</v>
      </c>
    </row>
    <row r="60" spans="2:2" x14ac:dyDescent="0.25">
      <c r="B60" t="s">
        <v>183</v>
      </c>
    </row>
    <row r="61" spans="2:2" x14ac:dyDescent="0.25">
      <c r="B61" t="s">
        <v>222</v>
      </c>
    </row>
    <row r="62" spans="2:2" x14ac:dyDescent="0.25">
      <c r="B62" t="s">
        <v>184</v>
      </c>
    </row>
    <row r="63" spans="2:2" x14ac:dyDescent="0.25">
      <c r="B63" t="s">
        <v>185</v>
      </c>
    </row>
    <row r="65" spans="2:2" x14ac:dyDescent="0.25">
      <c r="B65" t="s">
        <v>186</v>
      </c>
    </row>
    <row r="66" spans="2:2" x14ac:dyDescent="0.25">
      <c r="B66" t="s">
        <v>187</v>
      </c>
    </row>
    <row r="67" spans="2:2" x14ac:dyDescent="0.25">
      <c r="B67" t="s">
        <v>188</v>
      </c>
    </row>
    <row r="68" spans="2:2" x14ac:dyDescent="0.25">
      <c r="B68" t="s">
        <v>189</v>
      </c>
    </row>
    <row r="69" spans="2:2" x14ac:dyDescent="0.25">
      <c r="B69" t="s">
        <v>139</v>
      </c>
    </row>
    <row r="70" spans="2:2" x14ac:dyDescent="0.25">
      <c r="B70" t="s">
        <v>190</v>
      </c>
    </row>
    <row r="72" spans="2:2" x14ac:dyDescent="0.25">
      <c r="B72" t="s">
        <v>191</v>
      </c>
    </row>
    <row r="73" spans="2:2" x14ac:dyDescent="0.25">
      <c r="B73" t="s">
        <v>192</v>
      </c>
    </row>
    <row r="75" spans="2:2" x14ac:dyDescent="0.25">
      <c r="B75" t="s">
        <v>193</v>
      </c>
    </row>
    <row r="77" spans="2:2" x14ac:dyDescent="0.25">
      <c r="B77" t="s">
        <v>194</v>
      </c>
    </row>
    <row r="79" spans="2:2" x14ac:dyDescent="0.25">
      <c r="B79" t="s">
        <v>195</v>
      </c>
    </row>
    <row r="80" spans="2:2" x14ac:dyDescent="0.25">
      <c r="B80" t="s">
        <v>196</v>
      </c>
    </row>
    <row r="82" spans="2:2" x14ac:dyDescent="0.25">
      <c r="B82" t="s">
        <v>197</v>
      </c>
    </row>
    <row r="83" spans="2:2" x14ac:dyDescent="0.25">
      <c r="B83" t="s">
        <v>198</v>
      </c>
    </row>
    <row r="84" spans="2:2" x14ac:dyDescent="0.25">
      <c r="B84" t="s">
        <v>199</v>
      </c>
    </row>
    <row r="85" spans="2:2" x14ac:dyDescent="0.25">
      <c r="B85" t="s">
        <v>200</v>
      </c>
    </row>
    <row r="86" spans="2:2" x14ac:dyDescent="0.25">
      <c r="B86" t="s">
        <v>201</v>
      </c>
    </row>
    <row r="87" spans="2:2" x14ac:dyDescent="0.25">
      <c r="B87" t="s">
        <v>165</v>
      </c>
    </row>
    <row r="88" spans="2:2" x14ac:dyDescent="0.25">
      <c r="B88" t="s">
        <v>202</v>
      </c>
    </row>
    <row r="90" spans="2:2" x14ac:dyDescent="0.25">
      <c r="B90" t="s">
        <v>203</v>
      </c>
    </row>
    <row r="91" spans="2:2" x14ac:dyDescent="0.25">
      <c r="B91" t="s">
        <v>204</v>
      </c>
    </row>
    <row r="93" spans="2:2" x14ac:dyDescent="0.25">
      <c r="B93" t="s">
        <v>205</v>
      </c>
    </row>
    <row r="94" spans="2:2" x14ac:dyDescent="0.25">
      <c r="B94" t="s">
        <v>206</v>
      </c>
    </row>
    <row r="95" spans="2:2" x14ac:dyDescent="0.25">
      <c r="B95" t="s">
        <v>207</v>
      </c>
    </row>
    <row r="96" spans="2:2" x14ac:dyDescent="0.25">
      <c r="B96" t="s">
        <v>208</v>
      </c>
    </row>
    <row r="97" spans="2:2" x14ac:dyDescent="0.25">
      <c r="B97" t="s">
        <v>209</v>
      </c>
    </row>
    <row r="98" spans="2:2" x14ac:dyDescent="0.25">
      <c r="B98" t="s">
        <v>210</v>
      </c>
    </row>
    <row r="100" spans="2:2" x14ac:dyDescent="0.25">
      <c r="B100" t="s">
        <v>211</v>
      </c>
    </row>
    <row r="102" spans="2:2" x14ac:dyDescent="0.25">
      <c r="B102" t="s">
        <v>212</v>
      </c>
    </row>
    <row r="103" spans="2:2" x14ac:dyDescent="0.25">
      <c r="B103" t="s">
        <v>213</v>
      </c>
    </row>
    <row r="105" spans="2:2" x14ac:dyDescent="0.25">
      <c r="B105" t="s">
        <v>214</v>
      </c>
    </row>
    <row r="106" spans="2:2" x14ac:dyDescent="0.25">
      <c r="B106" t="s">
        <v>215</v>
      </c>
    </row>
    <row r="107" spans="2:2" x14ac:dyDescent="0.25">
      <c r="B107" t="s">
        <v>216</v>
      </c>
    </row>
    <row r="109" spans="2:2" x14ac:dyDescent="0.25">
      <c r="B109" t="s">
        <v>217</v>
      </c>
    </row>
    <row r="110" spans="2:2" x14ac:dyDescent="0.25">
      <c r="B110" t="s">
        <v>218</v>
      </c>
    </row>
    <row r="111" spans="2:2" x14ac:dyDescent="0.25">
      <c r="B11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Original Test Data</vt:lpstr>
      <vt:lpstr>Test Data Master Curve</vt:lpstr>
      <vt:lpstr>WLF Calculations</vt:lpstr>
      <vt:lpstr>Prony Setup</vt:lpstr>
      <vt:lpstr>Prony Representation w 4 terms</vt:lpstr>
      <vt:lpstr>Sim_27</vt:lpstr>
      <vt:lpstr>Sim_35</vt:lpstr>
      <vt:lpstr>Sim_45</vt:lpstr>
      <vt:lpstr>Sim_55</vt:lpstr>
      <vt:lpstr>Sim_65</vt:lpstr>
      <vt:lpstr>PSF File</vt:lpstr>
      <vt:lpstr>_C1</vt:lpstr>
      <vt:lpstr>_C2</vt:lpstr>
      <vt:lpstr>'Prony Representation w 4 terms'!G_1</vt:lpstr>
      <vt:lpstr>'Prony Representation w 4 terms'!G_2</vt:lpstr>
      <vt:lpstr>'Prony Representation w 4 terms'!G_3</vt:lpstr>
      <vt:lpstr>'Prony Representation w 4 terms'!G_4</vt:lpstr>
      <vt:lpstr>'Prony Representation w 4 terms'!Sum_G</vt:lpstr>
      <vt:lpstr>T0</vt:lpstr>
      <vt:lpstr>'Prony Representation w 4 terms'!Tau_1</vt:lpstr>
      <vt:lpstr>'Prony Representation w 4 terms'!Tau_2</vt:lpstr>
      <vt:lpstr>'Prony Representation w 4 terms'!Tau_3</vt:lpstr>
      <vt:lpstr>'Prony Representation w 4 terms'!Tau_4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2015-05-17T14:51:40Z</dcterms:modified>
</cp:coreProperties>
</file>