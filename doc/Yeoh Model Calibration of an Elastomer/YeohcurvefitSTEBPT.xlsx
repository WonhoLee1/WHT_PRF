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trlProps/ctrlProp4.xml" ContentType="application/vnd.ms-excel.controlproperties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60" windowWidth="25905" windowHeight="14730" activeTab="4"/>
  </bookViews>
  <sheets>
    <sheet name="Plots" sheetId="3" r:id="rId1"/>
    <sheet name="ST_S58" sheetId="1" r:id="rId2"/>
    <sheet name="EB_S58" sheetId="5" r:id="rId3"/>
    <sheet name="PT_S58" sheetId="4" r:id="rId4"/>
    <sheet name="just data" sheetId="2" r:id="rId5"/>
    <sheet name="from Abaqus" sheetId="6" r:id="rId6"/>
  </sheets>
  <definedNames>
    <definedName name="_C10">Plots!$E$36</definedName>
    <definedName name="_C20">Plots!$E$37</definedName>
    <definedName name="_C30">Plots!$E$38</definedName>
    <definedName name="alpha">ST_S58!$B$36</definedName>
    <definedName name="beta">ST_S58!$B$37</definedName>
    <definedName name="EB_S58" localSheetId="4">'just data'!$D$5:$D$54</definedName>
    <definedName name="EB_S58_1" localSheetId="2">EB_S58!$A$7:$A$56</definedName>
    <definedName name="gamma">ST_S58!$B$38</definedName>
    <definedName name="_xlnm.Print_Area" localSheetId="1">ST_S58!$A$1:$S$53</definedName>
    <definedName name="PT_S58" localSheetId="4">'just data'!$H$5:$I$42</definedName>
    <definedName name="solver_adj" localSheetId="0" hidden="1">Plots!$K$36:$K$38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100</definedName>
    <definedName name="solver_lhs1" localSheetId="0" hidden="1">Plots!$K$36</definedName>
    <definedName name="solver_lhs2" localSheetId="0" hidden="1">Plots!$K$37</definedName>
    <definedName name="solver_lhs3" localSheetId="0" hidden="1">Plots!$K$38</definedName>
    <definedName name="solver_lhs4" localSheetId="0" hidden="1">Plots!$K$37</definedName>
    <definedName name="solver_lhs5" localSheetId="0" hidden="1">Plots!$K$38</definedName>
    <definedName name="solver_lhs6" localSheetId="0" hidden="1">Plots!$K$38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Plots!$AC$33</definedName>
    <definedName name="solver_opt" localSheetId="1" hidden="1">ST_S58!$H$51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hs1" localSheetId="0" hidden="1">100</definedName>
    <definedName name="solver_rhs2" localSheetId="0" hidden="1">100</definedName>
    <definedName name="solver_rhs3" localSheetId="0" hidden="1">100</definedName>
    <definedName name="solver_rhs4" localSheetId="0" hidden="1">0</definedName>
    <definedName name="solver_rhs5" localSheetId="0" hidden="1">100</definedName>
    <definedName name="solver_rhs6" localSheetId="0" hidden="1">0</definedName>
    <definedName name="solver_rlx" localSheetId="0" hidden="1">2</definedName>
    <definedName name="solver_rlx" localSheetId="1" hidden="1">1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100</definedName>
    <definedName name="solver_tol" localSheetId="0" hidden="1">0.01</definedName>
    <definedName name="solver_tol" localSheetId="1" hidden="1">0.05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Yeoh_from_Abaqus" localSheetId="5">'from Abaqus'!$A$3:$K$171</definedName>
  </definedNames>
  <calcPr calcId="145621"/>
</workbook>
</file>

<file path=xl/calcChain.xml><?xml version="1.0" encoding="utf-8"?>
<calcChain xmlns="http://schemas.openxmlformats.org/spreadsheetml/2006/main">
  <c r="E38" i="3" l="1"/>
  <c r="E37" i="3"/>
  <c r="D44" i="4" l="1"/>
  <c r="D43" i="4"/>
  <c r="E42" i="4"/>
  <c r="D42" i="4"/>
  <c r="D41" i="4"/>
  <c r="D40" i="4"/>
  <c r="D39" i="4"/>
  <c r="E39" i="4" s="1"/>
  <c r="D38" i="4"/>
  <c r="D37" i="4"/>
  <c r="D36" i="4"/>
  <c r="D35" i="4"/>
  <c r="E34" i="4"/>
  <c r="D34" i="4"/>
  <c r="D33" i="4"/>
  <c r="D32" i="4"/>
  <c r="D31" i="4"/>
  <c r="E31" i="4" s="1"/>
  <c r="D30" i="4"/>
  <c r="D29" i="4"/>
  <c r="D28" i="4"/>
  <c r="D27" i="4"/>
  <c r="E26" i="4"/>
  <c r="D26" i="4"/>
  <c r="D25" i="4"/>
  <c r="D24" i="4"/>
  <c r="D23" i="4"/>
  <c r="E23" i="4" s="1"/>
  <c r="D22" i="4"/>
  <c r="D21" i="4"/>
  <c r="D20" i="4"/>
  <c r="D19" i="4"/>
  <c r="E18" i="4"/>
  <c r="D18" i="4"/>
  <c r="D17" i="4"/>
  <c r="D16" i="4"/>
  <c r="D15" i="4"/>
  <c r="E15" i="4" s="1"/>
  <c r="D14" i="4"/>
  <c r="D13" i="4"/>
  <c r="E13" i="4" s="1"/>
  <c r="D12" i="4"/>
  <c r="D11" i="4"/>
  <c r="E10" i="4"/>
  <c r="D10" i="4"/>
  <c r="D9" i="4"/>
  <c r="D8" i="4"/>
  <c r="E7" i="4"/>
  <c r="D7" i="4"/>
  <c r="E29" i="4" l="1"/>
  <c r="E37" i="4"/>
  <c r="E8" i="4"/>
  <c r="E32" i="4"/>
  <c r="E40" i="4"/>
  <c r="E21" i="4"/>
  <c r="E16" i="4"/>
  <c r="E24" i="4"/>
  <c r="E11" i="4"/>
  <c r="E19" i="4"/>
  <c r="E27" i="4"/>
  <c r="E35" i="4"/>
  <c r="E43" i="4"/>
  <c r="E14" i="4"/>
  <c r="E22" i="4"/>
  <c r="E30" i="4"/>
  <c r="E38" i="4"/>
  <c r="E9" i="4"/>
  <c r="E17" i="4"/>
  <c r="E25" i="4"/>
  <c r="E33" i="4"/>
  <c r="E41" i="4"/>
  <c r="E12" i="4"/>
  <c r="E20" i="4"/>
  <c r="E28" i="4"/>
  <c r="E36" i="4"/>
  <c r="E44" i="4"/>
  <c r="D56" i="5"/>
  <c r="D55" i="5"/>
  <c r="D54" i="5"/>
  <c r="E54" i="5" s="1"/>
  <c r="D53" i="5"/>
  <c r="D52" i="5"/>
  <c r="D51" i="5"/>
  <c r="E51" i="5" s="1"/>
  <c r="D50" i="5"/>
  <c r="D49" i="5"/>
  <c r="D48" i="5"/>
  <c r="D47" i="5"/>
  <c r="D46" i="5"/>
  <c r="E46" i="5" s="1"/>
  <c r="D45" i="5"/>
  <c r="D44" i="5"/>
  <c r="D43" i="5"/>
  <c r="E43" i="5" s="1"/>
  <c r="D42" i="5"/>
  <c r="D41" i="5"/>
  <c r="D40" i="5"/>
  <c r="D39" i="5"/>
  <c r="D38" i="5"/>
  <c r="E38" i="5" s="1"/>
  <c r="D37" i="5"/>
  <c r="D36" i="5"/>
  <c r="D35" i="5"/>
  <c r="E35" i="5" s="1"/>
  <c r="D34" i="5"/>
  <c r="D33" i="5"/>
  <c r="D32" i="5"/>
  <c r="D31" i="5"/>
  <c r="D30" i="5"/>
  <c r="E30" i="5" s="1"/>
  <c r="D29" i="5"/>
  <c r="D28" i="5"/>
  <c r="D27" i="5"/>
  <c r="E27" i="5" s="1"/>
  <c r="D26" i="5"/>
  <c r="D25" i="5"/>
  <c r="D24" i="5"/>
  <c r="D23" i="5"/>
  <c r="D22" i="5"/>
  <c r="E22" i="5" s="1"/>
  <c r="D21" i="5"/>
  <c r="D20" i="5"/>
  <c r="D19" i="5"/>
  <c r="E19" i="5" s="1"/>
  <c r="D18" i="5"/>
  <c r="D17" i="5"/>
  <c r="D16" i="5"/>
  <c r="D15" i="5"/>
  <c r="D14" i="5"/>
  <c r="E14" i="5" s="1"/>
  <c r="D13" i="5"/>
  <c r="D12" i="5"/>
  <c r="E12" i="5" s="1"/>
  <c r="D11" i="5"/>
  <c r="E11" i="5" s="1"/>
  <c r="D10" i="5"/>
  <c r="D9" i="5"/>
  <c r="D8" i="5"/>
  <c r="D7" i="5"/>
  <c r="E7" i="5" s="1"/>
  <c r="E9" i="5" l="1"/>
  <c r="E17" i="5"/>
  <c r="E25" i="5"/>
  <c r="E49" i="5"/>
  <c r="E20" i="5"/>
  <c r="E52" i="5"/>
  <c r="E15" i="5"/>
  <c r="E23" i="5"/>
  <c r="E33" i="5"/>
  <c r="E41" i="5"/>
  <c r="E28" i="5"/>
  <c r="E36" i="5"/>
  <c r="E44" i="5"/>
  <c r="E31" i="5"/>
  <c r="E39" i="5"/>
  <c r="E47" i="5"/>
  <c r="E55" i="5"/>
  <c r="E10" i="5"/>
  <c r="E18" i="5"/>
  <c r="E26" i="5"/>
  <c r="E34" i="5"/>
  <c r="E42" i="5"/>
  <c r="E50" i="5"/>
  <c r="E13" i="5"/>
  <c r="E21" i="5"/>
  <c r="E29" i="5"/>
  <c r="E37" i="5"/>
  <c r="E45" i="5"/>
  <c r="E53" i="5"/>
  <c r="E8" i="5"/>
  <c r="E16" i="5"/>
  <c r="E24" i="5"/>
  <c r="E32" i="5"/>
  <c r="E40" i="5"/>
  <c r="E48" i="5"/>
  <c r="E56" i="5"/>
  <c r="E36" i="3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37" i="4" l="1"/>
  <c r="M4" i="1"/>
  <c r="F8" i="4"/>
  <c r="F36" i="4"/>
  <c r="F17" i="4"/>
  <c r="F25" i="4"/>
  <c r="F22" i="4"/>
  <c r="F29" i="4"/>
  <c r="F24" i="4"/>
  <c r="F35" i="5"/>
  <c r="F7" i="4"/>
  <c r="F34" i="4"/>
  <c r="F26" i="4"/>
  <c r="F14" i="4"/>
  <c r="F42" i="4"/>
  <c r="F33" i="4"/>
  <c r="F21" i="4"/>
  <c r="F13" i="4"/>
  <c r="F15" i="4"/>
  <c r="F12" i="4"/>
  <c r="F28" i="4"/>
  <c r="F23" i="4"/>
  <c r="F19" i="4"/>
  <c r="F43" i="4"/>
  <c r="F31" i="4"/>
  <c r="F27" i="4"/>
  <c r="F9" i="4"/>
  <c r="F10" i="4"/>
  <c r="F40" i="4"/>
  <c r="F16" i="4"/>
  <c r="F39" i="4"/>
  <c r="F41" i="4"/>
  <c r="F18" i="4"/>
  <c r="F20" i="4"/>
  <c r="F44" i="4"/>
  <c r="F11" i="4"/>
  <c r="F32" i="4"/>
  <c r="F38" i="4"/>
  <c r="F35" i="4"/>
  <c r="F30" i="4"/>
  <c r="F21" i="5"/>
  <c r="F42" i="5"/>
  <c r="F31" i="5"/>
  <c r="F12" i="5"/>
  <c r="F8" i="5"/>
  <c r="F40" i="5"/>
  <c r="F36" i="5"/>
  <c r="F33" i="5"/>
  <c r="F43" i="5"/>
  <c r="F26" i="5"/>
  <c r="F11" i="5"/>
  <c r="F29" i="5"/>
  <c r="F41" i="5"/>
  <c r="F25" i="5"/>
  <c r="F10" i="5"/>
  <c r="F38" i="5"/>
  <c r="F32" i="5"/>
  <c r="F17" i="5"/>
  <c r="F52" i="5"/>
  <c r="F30" i="5"/>
  <c r="F24" i="5"/>
  <c r="F13" i="5"/>
  <c r="F47" i="5"/>
  <c r="F23" i="5"/>
  <c r="F9" i="5"/>
  <c r="F51" i="5"/>
  <c r="F50" i="5"/>
  <c r="F39" i="5"/>
  <c r="F56" i="5"/>
  <c r="F15" i="5"/>
  <c r="F49" i="1"/>
  <c r="F7" i="5"/>
  <c r="F53" i="5"/>
  <c r="F55" i="5"/>
  <c r="F45" i="5"/>
  <c r="F14" i="5"/>
  <c r="F19" i="5"/>
  <c r="F34" i="5"/>
  <c r="F44" i="5"/>
  <c r="F27" i="5"/>
  <c r="F46" i="5"/>
  <c r="F48" i="5"/>
  <c r="F37" i="5"/>
  <c r="F18" i="5"/>
  <c r="F28" i="5"/>
  <c r="F49" i="5"/>
  <c r="F20" i="5"/>
  <c r="F16" i="5"/>
  <c r="F54" i="5"/>
  <c r="F22" i="5"/>
  <c r="F42" i="1"/>
  <c r="F10" i="1"/>
  <c r="F18" i="1"/>
  <c r="F26" i="1"/>
  <c r="F11" i="1"/>
  <c r="F19" i="1"/>
  <c r="F27" i="1"/>
  <c r="F35" i="1"/>
  <c r="F43" i="1"/>
  <c r="F12" i="1"/>
  <c r="F20" i="1"/>
  <c r="F28" i="1"/>
  <c r="F36" i="1"/>
  <c r="F44" i="1"/>
  <c r="F38" i="1"/>
  <c r="F13" i="1"/>
  <c r="F29" i="1"/>
  <c r="F37" i="1"/>
  <c r="F14" i="1"/>
  <c r="F22" i="1"/>
  <c r="F30" i="1"/>
  <c r="F46" i="1"/>
  <c r="F7" i="1"/>
  <c r="F15" i="1"/>
  <c r="F23" i="1"/>
  <c r="F31" i="1"/>
  <c r="F39" i="1"/>
  <c r="F47" i="1"/>
  <c r="F8" i="1"/>
  <c r="S8" i="1" s="1"/>
  <c r="F16" i="1"/>
  <c r="F24" i="1"/>
  <c r="F32" i="1"/>
  <c r="F40" i="1"/>
  <c r="F48" i="1"/>
  <c r="F34" i="1"/>
  <c r="F21" i="1"/>
  <c r="F45" i="1"/>
  <c r="F9" i="1"/>
  <c r="F17" i="1"/>
  <c r="F25" i="1"/>
  <c r="F33" i="1"/>
  <c r="F41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H33" i="5" l="1"/>
  <c r="S33" i="5"/>
  <c r="Q33" i="5"/>
  <c r="H41" i="4"/>
  <c r="S41" i="4"/>
  <c r="Q41" i="4"/>
  <c r="H33" i="4"/>
  <c r="S33" i="4"/>
  <c r="Q33" i="4"/>
  <c r="H44" i="5"/>
  <c r="Q44" i="5"/>
  <c r="S44" i="5"/>
  <c r="H10" i="5"/>
  <c r="Q10" i="5"/>
  <c r="S10" i="5"/>
  <c r="H39" i="4"/>
  <c r="S39" i="4"/>
  <c r="Q39" i="4"/>
  <c r="H42" i="4"/>
  <c r="S42" i="4"/>
  <c r="Q42" i="4"/>
  <c r="H34" i="5"/>
  <c r="Q34" i="5"/>
  <c r="S34" i="5"/>
  <c r="H25" i="5"/>
  <c r="Q25" i="5"/>
  <c r="S25" i="5"/>
  <c r="H16" i="4"/>
  <c r="S16" i="4"/>
  <c r="Q16" i="4"/>
  <c r="H25" i="4"/>
  <c r="Q25" i="4"/>
  <c r="S25" i="4"/>
  <c r="H28" i="5"/>
  <c r="Q28" i="5"/>
  <c r="S28" i="5"/>
  <c r="H19" i="5"/>
  <c r="S19" i="5"/>
  <c r="Q19" i="5"/>
  <c r="H56" i="5"/>
  <c r="Q56" i="5"/>
  <c r="S56" i="5"/>
  <c r="H24" i="5"/>
  <c r="Q24" i="5"/>
  <c r="S24" i="5"/>
  <c r="H41" i="5"/>
  <c r="S41" i="5"/>
  <c r="Q41" i="5"/>
  <c r="H8" i="5"/>
  <c r="Q8" i="5"/>
  <c r="S8" i="5"/>
  <c r="H32" i="4"/>
  <c r="S32" i="4"/>
  <c r="Q32" i="4"/>
  <c r="H40" i="4"/>
  <c r="S40" i="4"/>
  <c r="Q40" i="4"/>
  <c r="H28" i="4"/>
  <c r="S28" i="4"/>
  <c r="Q28" i="4"/>
  <c r="H26" i="4"/>
  <c r="Q26" i="4"/>
  <c r="S26" i="4"/>
  <c r="H17" i="4"/>
  <c r="S17" i="4"/>
  <c r="Q17" i="4"/>
  <c r="H18" i="5"/>
  <c r="Q18" i="5"/>
  <c r="S18" i="5"/>
  <c r="H14" i="5"/>
  <c r="S14" i="5"/>
  <c r="Q14" i="5"/>
  <c r="H39" i="5"/>
  <c r="Q39" i="5"/>
  <c r="S39" i="5"/>
  <c r="H30" i="5"/>
  <c r="Q30" i="5"/>
  <c r="S30" i="5"/>
  <c r="H29" i="5"/>
  <c r="S29" i="5"/>
  <c r="Q29" i="5"/>
  <c r="H12" i="5"/>
  <c r="Q12" i="5"/>
  <c r="S12" i="5"/>
  <c r="H11" i="4"/>
  <c r="S11" i="4"/>
  <c r="Q11" i="4"/>
  <c r="H10" i="4"/>
  <c r="Q10" i="4"/>
  <c r="S10" i="4"/>
  <c r="H12" i="4"/>
  <c r="S12" i="4"/>
  <c r="Q12" i="4"/>
  <c r="H34" i="4"/>
  <c r="S34" i="4"/>
  <c r="Q34" i="4"/>
  <c r="H36" i="4"/>
  <c r="S36" i="4"/>
  <c r="Q36" i="4"/>
  <c r="H16" i="5"/>
  <c r="Q16" i="5"/>
  <c r="S16" i="5"/>
  <c r="H23" i="5"/>
  <c r="Q23" i="5"/>
  <c r="S23" i="5"/>
  <c r="H43" i="4"/>
  <c r="S43" i="4"/>
  <c r="Q43" i="4"/>
  <c r="H36" i="5"/>
  <c r="Q36" i="5"/>
  <c r="S36" i="5"/>
  <c r="H19" i="4"/>
  <c r="S19" i="4"/>
  <c r="Q19" i="4"/>
  <c r="H15" i="5"/>
  <c r="Q15" i="5"/>
  <c r="S15" i="5"/>
  <c r="H40" i="5"/>
  <c r="Q40" i="5"/>
  <c r="S40" i="5"/>
  <c r="H23" i="4"/>
  <c r="S23" i="4"/>
  <c r="Q23" i="4"/>
  <c r="H45" i="5"/>
  <c r="Q45" i="5"/>
  <c r="S45" i="5"/>
  <c r="H52" i="5"/>
  <c r="S52" i="5"/>
  <c r="Q52" i="5"/>
  <c r="H31" i="5"/>
  <c r="Q31" i="5"/>
  <c r="S31" i="5"/>
  <c r="H9" i="4"/>
  <c r="S9" i="4"/>
  <c r="Q9" i="4"/>
  <c r="H22" i="5"/>
  <c r="S22" i="5"/>
  <c r="Q22" i="5"/>
  <c r="H48" i="5"/>
  <c r="Q48" i="5"/>
  <c r="S48" i="5"/>
  <c r="H55" i="5"/>
  <c r="Q55" i="5"/>
  <c r="S55" i="5"/>
  <c r="H51" i="5"/>
  <c r="S51" i="5"/>
  <c r="Q51" i="5"/>
  <c r="H17" i="5"/>
  <c r="S17" i="5"/>
  <c r="Q17" i="5"/>
  <c r="H26" i="5"/>
  <c r="Q26" i="5"/>
  <c r="S26" i="5"/>
  <c r="H42" i="5"/>
  <c r="Q42" i="5"/>
  <c r="S42" i="5"/>
  <c r="H20" i="4"/>
  <c r="S20" i="4"/>
  <c r="Q20" i="4"/>
  <c r="H27" i="4"/>
  <c r="S27" i="4"/>
  <c r="Q27" i="4"/>
  <c r="H13" i="4"/>
  <c r="S13" i="4"/>
  <c r="Q13" i="4"/>
  <c r="H35" i="5"/>
  <c r="S35" i="5"/>
  <c r="Q35" i="5"/>
  <c r="H27" i="5"/>
  <c r="S27" i="5"/>
  <c r="Q27" i="5"/>
  <c r="H38" i="5"/>
  <c r="S38" i="5"/>
  <c r="Q38" i="5"/>
  <c r="H30" i="4"/>
  <c r="S30" i="4"/>
  <c r="Q30" i="4"/>
  <c r="H29" i="4"/>
  <c r="S29" i="4"/>
  <c r="Q29" i="4"/>
  <c r="H20" i="5"/>
  <c r="S20" i="5"/>
  <c r="Q20" i="5"/>
  <c r="H47" i="5"/>
  <c r="Q47" i="5"/>
  <c r="S47" i="5"/>
  <c r="H35" i="4"/>
  <c r="S35" i="4"/>
  <c r="Q35" i="4"/>
  <c r="H22" i="4"/>
  <c r="Q22" i="4"/>
  <c r="S22" i="4"/>
  <c r="H49" i="5"/>
  <c r="Q49" i="5"/>
  <c r="S49" i="5"/>
  <c r="H13" i="5"/>
  <c r="S13" i="5"/>
  <c r="Q13" i="5"/>
  <c r="H38" i="4"/>
  <c r="S38" i="4"/>
  <c r="Q38" i="4"/>
  <c r="H14" i="4"/>
  <c r="S14" i="4"/>
  <c r="Q14" i="4"/>
  <c r="H37" i="5"/>
  <c r="Q37" i="5"/>
  <c r="S37" i="5"/>
  <c r="H50" i="5"/>
  <c r="Q50" i="5"/>
  <c r="S50" i="5"/>
  <c r="H11" i="5"/>
  <c r="S11" i="5"/>
  <c r="Q11" i="5"/>
  <c r="H44" i="4"/>
  <c r="S44" i="4"/>
  <c r="Q44" i="4"/>
  <c r="H15" i="4"/>
  <c r="S15" i="4"/>
  <c r="Q15" i="4"/>
  <c r="H8" i="4"/>
  <c r="S8" i="4"/>
  <c r="Q8" i="4"/>
  <c r="H54" i="5"/>
  <c r="S54" i="5"/>
  <c r="Q54" i="5"/>
  <c r="H46" i="5"/>
  <c r="Q46" i="5"/>
  <c r="S46" i="5"/>
  <c r="H53" i="5"/>
  <c r="S53" i="5"/>
  <c r="Q53" i="5"/>
  <c r="H9" i="5"/>
  <c r="Q9" i="5"/>
  <c r="S9" i="5"/>
  <c r="H32" i="5"/>
  <c r="Q32" i="5"/>
  <c r="S32" i="5"/>
  <c r="H43" i="5"/>
  <c r="S43" i="5"/>
  <c r="Q43" i="5"/>
  <c r="H21" i="5"/>
  <c r="Q21" i="5"/>
  <c r="S21" i="5"/>
  <c r="H18" i="4"/>
  <c r="S18" i="4"/>
  <c r="Q18" i="4"/>
  <c r="H31" i="4"/>
  <c r="S31" i="4"/>
  <c r="Q31" i="4"/>
  <c r="H21" i="4"/>
  <c r="S21" i="4"/>
  <c r="Q21" i="4"/>
  <c r="H24" i="4"/>
  <c r="S24" i="4"/>
  <c r="Q24" i="4"/>
  <c r="H37" i="4"/>
  <c r="S37" i="4"/>
  <c r="Q37" i="4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7" i="1"/>
  <c r="H46" i="4" l="1"/>
  <c r="Y31" i="3" s="1"/>
  <c r="H58" i="5"/>
  <c r="P31" i="3" s="1"/>
  <c r="S58" i="5"/>
  <c r="P33" i="3" s="1"/>
  <c r="Q58" i="5"/>
  <c r="Q46" i="4"/>
  <c r="S46" i="4"/>
  <c r="Y33" i="3" s="1"/>
  <c r="S26" i="1"/>
  <c r="Q26" i="1"/>
  <c r="H43" i="1"/>
  <c r="S43" i="1"/>
  <c r="Q43" i="1"/>
  <c r="S16" i="1"/>
  <c r="Q16" i="1"/>
  <c r="S18" i="1"/>
  <c r="Q18" i="1"/>
  <c r="H39" i="1"/>
  <c r="S39" i="1"/>
  <c r="Q39" i="1"/>
  <c r="S25" i="1"/>
  <c r="Q25" i="1"/>
  <c r="S17" i="1"/>
  <c r="Q17" i="1"/>
  <c r="H9" i="1"/>
  <c r="S9" i="1"/>
  <c r="Q9" i="1"/>
  <c r="H36" i="1"/>
  <c r="Q36" i="1"/>
  <c r="S36" i="1"/>
  <c r="H47" i="1"/>
  <c r="S47" i="1"/>
  <c r="Q47" i="1"/>
  <c r="S24" i="1"/>
  <c r="Q24" i="1"/>
  <c r="H44" i="1"/>
  <c r="Q44" i="1"/>
  <c r="S44" i="1"/>
  <c r="H32" i="1"/>
  <c r="S32" i="1"/>
  <c r="Q32" i="1"/>
  <c r="S23" i="1"/>
  <c r="Q23" i="1"/>
  <c r="S15" i="1"/>
  <c r="Q15" i="1"/>
  <c r="H10" i="1"/>
  <c r="S10" i="1"/>
  <c r="Q10" i="1"/>
  <c r="H37" i="1"/>
  <c r="S37" i="1"/>
  <c r="Q37" i="1"/>
  <c r="H40" i="1"/>
  <c r="S40" i="1"/>
  <c r="Q40" i="1"/>
  <c r="S30" i="1"/>
  <c r="Q30" i="1"/>
  <c r="S22" i="1"/>
  <c r="Q22" i="1"/>
  <c r="S14" i="1"/>
  <c r="Q14" i="1"/>
  <c r="Q20" i="1"/>
  <c r="S20" i="1"/>
  <c r="H45" i="1"/>
  <c r="S45" i="1"/>
  <c r="Q45" i="1"/>
  <c r="H48" i="1"/>
  <c r="S48" i="1"/>
  <c r="Q48" i="1"/>
  <c r="S29" i="1"/>
  <c r="Q29" i="1"/>
  <c r="S21" i="1"/>
  <c r="Q21" i="1"/>
  <c r="S13" i="1"/>
  <c r="Q13" i="1"/>
  <c r="H34" i="1"/>
  <c r="S34" i="1"/>
  <c r="Q34" i="1"/>
  <c r="H38" i="1"/>
  <c r="S38" i="1"/>
  <c r="Q38" i="1"/>
  <c r="H33" i="1"/>
  <c r="S33" i="1"/>
  <c r="Q33" i="1"/>
  <c r="Q28" i="1"/>
  <c r="S28" i="1"/>
  <c r="H12" i="1"/>
  <c r="Q12" i="1"/>
  <c r="S12" i="1"/>
  <c r="H42" i="1"/>
  <c r="S42" i="1"/>
  <c r="Q42" i="1"/>
  <c r="H46" i="1"/>
  <c r="S46" i="1"/>
  <c r="Q46" i="1"/>
  <c r="H41" i="1"/>
  <c r="S41" i="1"/>
  <c r="Q41" i="1"/>
  <c r="S27" i="1"/>
  <c r="Q27" i="1"/>
  <c r="S19" i="1"/>
  <c r="Q19" i="1"/>
  <c r="H11" i="1"/>
  <c r="S11" i="1"/>
  <c r="Q11" i="1"/>
  <c r="H35" i="1"/>
  <c r="S35" i="1"/>
  <c r="Q35" i="1"/>
  <c r="H31" i="1"/>
  <c r="S31" i="1"/>
  <c r="Q31" i="1"/>
  <c r="H49" i="1"/>
  <c r="S49" i="1"/>
  <c r="Q49" i="1"/>
  <c r="H8" i="1"/>
  <c r="Q8" i="1"/>
  <c r="H30" i="1"/>
  <c r="H22" i="1"/>
  <c r="H14" i="1"/>
  <c r="H17" i="1"/>
  <c r="H26" i="1"/>
  <c r="H24" i="1"/>
  <c r="H16" i="1"/>
  <c r="H18" i="1"/>
  <c r="H25" i="1"/>
  <c r="H23" i="1"/>
  <c r="H15" i="1"/>
  <c r="H29" i="1"/>
  <c r="H21" i="1"/>
  <c r="H13" i="1"/>
  <c r="H28" i="1"/>
  <c r="H20" i="1"/>
  <c r="H27" i="1"/>
  <c r="H19" i="1"/>
  <c r="H51" i="1" l="1"/>
  <c r="E31" i="3" s="1"/>
  <c r="AC31" i="3" s="1"/>
  <c r="Q51" i="1"/>
  <c r="S51" i="1"/>
  <c r="E33" i="3" s="1"/>
  <c r="AC33" i="3" s="1"/>
</calcChain>
</file>

<file path=xl/connections.xml><?xml version="1.0" encoding="utf-8"?>
<connections xmlns="http://schemas.openxmlformats.org/spreadsheetml/2006/main">
  <connection id="1" name="EB_S58" type="6" refreshedVersion="4" background="1" saveData="1">
    <textPr codePage="437" sourceFile="C:\Tod\ElastomersClass_3_19_2013\Workshops\Excel_Fit_to_ST_S58\3_Yeoh\EB_S58.txt" space="1" consecutive="1">
      <textFields count="2">
        <textField/>
        <textField/>
      </textFields>
    </textPr>
  </connection>
  <connection id="2" name="EB_S581" type="6" refreshedVersion="4" background="1" saveData="1">
    <textPr codePage="437" sourceFile="C:\Tod\ElastomersClass_3_19_2013\Workshops\Excel_Fit_to_ST_S58\3_Yeoh\EB_S58.txt" space="1" consecutive="1">
      <textFields count="2">
        <textField/>
        <textField/>
      </textFields>
    </textPr>
  </connection>
  <connection id="3" name="PT_S58" type="6" refreshedVersion="4" background="1" saveData="1">
    <textPr codePage="437" sourceFile="C:\Tod\ElastomersClass_3_19_2013\Workshops\Excel_Fit_to_ST_S58\3_Yeoh\PT_S58.txt" space="1" consecutive="1">
      <textFields count="2">
        <textField/>
        <textField/>
      </textFields>
    </textPr>
  </connection>
  <connection id="4" name="Yeoh_from_Abaqus" type="6" refreshedVersion="4" background="1" saveData="1">
    <textPr codePage="437" sourceFile="C:\Tod\ElastomersClass_3_19_2013\Workshops\Excel_Fit_to_ST_S58\3_Yeoh\Yeoh_from_Abaqus.txt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<sst xmlns="http://schemas.openxmlformats.org/spreadsheetml/2006/main" count="220" uniqueCount="88">
  <si>
    <t>Strain</t>
  </si>
  <si>
    <t>Stress</t>
  </si>
  <si>
    <t>Stretch</t>
  </si>
  <si>
    <t>Calc Stress</t>
  </si>
  <si>
    <t>ERROR</t>
  </si>
  <si>
    <t>Eng.</t>
  </si>
  <si>
    <r>
      <t xml:space="preserve">The stress </t>
    </r>
    <r>
      <rPr>
        <i/>
        <sz val="12"/>
        <color theme="1"/>
        <rFont val="Calibri"/>
        <family val="2"/>
        <scheme val="minor"/>
      </rPr>
      <t>T</t>
    </r>
    <r>
      <rPr>
        <i/>
        <vertAlign val="subscript"/>
        <sz val="12"/>
        <color theme="1"/>
        <rFont val="Calibri"/>
        <family val="2"/>
        <scheme val="minor"/>
      </rPr>
      <t>U</t>
    </r>
    <r>
      <rPr>
        <sz val="12"/>
        <color theme="1"/>
        <rFont val="Calibri"/>
        <family val="2"/>
        <scheme val="minor"/>
      </rPr>
      <t xml:space="preserve"> is the nominal, or engineering stress. For the case of uniaxial deformation,</t>
    </r>
  </si>
  <si>
    <t>the relationship between nominal stress and stretch is given by this equation:</t>
  </si>
  <si>
    <t>C10=</t>
  </si>
  <si>
    <t>TEST DATA</t>
  </si>
  <si>
    <t>Relative</t>
  </si>
  <si>
    <t>SQUARE</t>
  </si>
  <si>
    <t>Absolute</t>
  </si>
  <si>
    <t>TOTAL ERROR=</t>
  </si>
  <si>
    <t>value</t>
  </si>
  <si>
    <t>UNIAXIAL</t>
  </si>
  <si>
    <t>EQUI-BIAXIAL</t>
  </si>
  <si>
    <t>PLANAR</t>
  </si>
  <si>
    <t>This is test data used in the SIMULIA course "Testing and Analysis of Elastomers" taught at the Axel Products test facility.</t>
  </si>
  <si>
    <t>All test data taken at 23 degrees C</t>
  </si>
  <si>
    <t>www.axelproducts.com</t>
  </si>
  <si>
    <t>ST == Simple Tension (same as Uniaxial)</t>
  </si>
  <si>
    <t>EB == Equi-Biaxial</t>
  </si>
  <si>
    <t>PT == Planar Tension</t>
  </si>
  <si>
    <t>Uniaxial</t>
  </si>
  <si>
    <t>Invariant</t>
  </si>
  <si>
    <t>C30=</t>
  </si>
  <si>
    <t>C20=</t>
  </si>
  <si>
    <t>Yeoh Calibration of an Elastomer, Simple Tension test data</t>
  </si>
  <si>
    <t>Yeoh Calibration of an Elastomer, Equi-Biaxial Tension test data</t>
  </si>
  <si>
    <t>EquiBiaxial</t>
  </si>
  <si>
    <t>Planar</t>
  </si>
  <si>
    <t>TEST</t>
  </si>
  <si>
    <t>DATA</t>
  </si>
  <si>
    <t>NOMINAL</t>
  </si>
  <si>
    <t>STRAIN</t>
  </si>
  <si>
    <t>STRESS(TEST)</t>
  </si>
  <si>
    <t>STRESS(Abaqus)</t>
  </si>
  <si>
    <t>BIAXIAL</t>
  </si>
  <si>
    <t>HYPERELASTICITY</t>
  </si>
  <si>
    <t>-</t>
  </si>
  <si>
    <t>POLYNOMIAL</t>
  </si>
  <si>
    <t>ENERGY</t>
  </si>
  <si>
    <t>FUNCTION</t>
  </si>
  <si>
    <t>WITH</t>
  </si>
  <si>
    <t>N</t>
  </si>
  <si>
    <t>=</t>
  </si>
  <si>
    <t>D1</t>
  </si>
  <si>
    <t>C10</t>
  </si>
  <si>
    <t>C01</t>
  </si>
  <si>
    <t>D2</t>
  </si>
  <si>
    <t>C20</t>
  </si>
  <si>
    <t>C11</t>
  </si>
  <si>
    <t>C02</t>
  </si>
  <si>
    <t>D3</t>
  </si>
  <si>
    <t>C30</t>
  </si>
  <si>
    <t>C21</t>
  </si>
  <si>
    <t>C12</t>
  </si>
  <si>
    <t>C03</t>
  </si>
  <si>
    <t>STABILITY</t>
  </si>
  <si>
    <t>LIMIT</t>
  </si>
  <si>
    <t>INFORMATION</t>
  </si>
  <si>
    <t>TENSION:</t>
  </si>
  <si>
    <t>STABLE</t>
  </si>
  <si>
    <t>FOR</t>
  </si>
  <si>
    <t>ALL</t>
  </si>
  <si>
    <t>STRAINS</t>
  </si>
  <si>
    <t>COMPRESSION:</t>
  </si>
  <si>
    <t>VOLUMETRIC</t>
  </si>
  <si>
    <t>VOLUME</t>
  </si>
  <si>
    <t>RATIOS</t>
  </si>
  <si>
    <t>Uniaxial Total SSError=</t>
  </si>
  <si>
    <t>Equi-Biaxial Total SSError =</t>
  </si>
  <si>
    <t>Planar Tension Total SSError =</t>
  </si>
  <si>
    <t>Total SSE=</t>
  </si>
  <si>
    <t>If C20 and C30 are set to zero, then this becomes the Neo-Hookean model</t>
  </si>
  <si>
    <t>Yeoh,  O. H., “Some Forms of the Strain Energy Function for Rubber,” Rubber Chemistry and Technology, vol. 66, pp. 754–771, 1993.</t>
  </si>
  <si>
    <t>Yeoh Calibration of an Elastomer, Planar Tension test data</t>
  </si>
  <si>
    <t>Yeoh Material Model Calibration of an Elastomer, using Simple Tension, Equi-Biaxial Tension, and Planar Tension test data</t>
  </si>
  <si>
    <t>Uniaxial AD Error =</t>
  </si>
  <si>
    <t>Equi-Biaxial AD Error =</t>
  </si>
  <si>
    <t>Total AD Err =</t>
  </si>
  <si>
    <r>
      <t xml:space="preserve">The stress </t>
    </r>
    <r>
      <rPr>
        <i/>
        <sz val="12"/>
        <color theme="1"/>
        <rFont val="Calibri"/>
        <family val="2"/>
        <scheme val="minor"/>
      </rPr>
      <t>T</t>
    </r>
    <r>
      <rPr>
        <i/>
        <vertAlign val="sub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 xml:space="preserve"> is the engineering stress. For the case of equibiaxial deformation,</t>
    </r>
  </si>
  <si>
    <t>Taken from section 4.6.2 of the Abaqus Theory Manual</t>
  </si>
  <si>
    <r>
      <t xml:space="preserve">The stress </t>
    </r>
    <r>
      <rPr>
        <i/>
        <sz val="12"/>
        <color theme="1"/>
        <rFont val="Calibri"/>
        <family val="2"/>
        <scheme val="minor"/>
      </rPr>
      <t>T</t>
    </r>
    <r>
      <rPr>
        <i/>
        <vertAlign val="subscript"/>
        <sz val="12"/>
        <color theme="1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 xml:space="preserve"> is the engineering stress. For the case of equibiaxial deformation,</t>
    </r>
  </si>
  <si>
    <t>Planar Tension AD Error =</t>
  </si>
  <si>
    <t>This paper by Dr. Yeoh is a good reference for a variety of hyperelastic models:</t>
  </si>
  <si>
    <t>copied and pasted from the Abaqus 6.13-1 .dat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</si>
</sst>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000000"/>
    <numFmt numFmtId="166" formatCode="0.000000"/>
    <numFmt numFmtId="167" formatCode="0.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right"/>
    </xf>
    <xf numFmtId="0" fontId="18" fillId="0" borderId="0" xfId="0" applyFont="1" applyAlignment="1">
      <alignment vertical="center"/>
    </xf>
    <xf numFmtId="0" fontId="18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12" xfId="0" applyBorder="1"/>
    <xf numFmtId="0" fontId="0" fillId="0" borderId="13" xfId="0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right"/>
    </xf>
    <xf numFmtId="166" fontId="0" fillId="0" borderId="0" xfId="0" applyNumberFormat="1"/>
    <xf numFmtId="0" fontId="0" fillId="0" borderId="0" xfId="0" applyBorder="1"/>
    <xf numFmtId="0" fontId="21" fillId="0" borderId="0" xfId="0" applyFont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4" xfId="0" applyNumberFormat="1" applyBorder="1"/>
    <xf numFmtId="164" fontId="0" fillId="0" borderId="15" xfId="0" applyNumberFormat="1" applyBorder="1"/>
    <xf numFmtId="0" fontId="22" fillId="0" borderId="0" xfId="42"/>
    <xf numFmtId="16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23" fillId="0" borderId="0" xfId="0" applyFont="1"/>
    <xf numFmtId="164" fontId="23" fillId="0" borderId="0" xfId="0" applyNumberFormat="1" applyFont="1" applyAlignment="1">
      <alignment horizontal="center"/>
    </xf>
    <xf numFmtId="11" fontId="0" fillId="0" borderId="0" xfId="0" applyNumberFormat="1"/>
    <xf numFmtId="164" fontId="23" fillId="0" borderId="0" xfId="0" applyNumberFormat="1" applyFont="1"/>
    <xf numFmtId="167" fontId="0" fillId="0" borderId="0" xfId="0" applyNumberFormat="1"/>
    <xf numFmtId="0" fontId="24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167" fontId="23" fillId="0" borderId="0" xfId="0" applyNumberFormat="1" applyFont="1"/>
    <xf numFmtId="0" fontId="21" fillId="0" borderId="0" xfId="0" applyFont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847D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Uniaxial Response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5032995725792767"/>
          <c:y val="1.5860999831161456E-2"/>
          <c:w val="0.78480219093943404"/>
          <c:h val="0.84253830844243893"/>
        </c:manualLayout>
      </c:layout>
      <c:scatterChart>
        <c:scatterStyle val="lineMarker"/>
        <c:varyColors val="0"/>
        <c:ser>
          <c:idx val="0"/>
          <c:order val="0"/>
          <c:tx>
            <c:v>DATA- 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xVal>
            <c:numRef>
              <c:f>ST_S58!$A$7:$A$49</c:f>
              <c:numCache>
                <c:formatCode>0.0000</c:formatCode>
                <c:ptCount val="43"/>
                <c:pt idx="0" formatCode="General">
                  <c:v>0</c:v>
                </c:pt>
                <c:pt idx="1">
                  <c:v>1.8599999999999998E-2</c:v>
                </c:pt>
                <c:pt idx="2">
                  <c:v>3.7199999999999997E-2</c:v>
                </c:pt>
                <c:pt idx="3">
                  <c:v>5.7500000000000002E-2</c:v>
                </c:pt>
                <c:pt idx="4">
                  <c:v>7.7700000000000005E-2</c:v>
                </c:pt>
                <c:pt idx="5">
                  <c:v>9.74E-2</c:v>
                </c:pt>
                <c:pt idx="6">
                  <c:v>0.1172</c:v>
                </c:pt>
                <c:pt idx="7">
                  <c:v>0.13739999999999999</c:v>
                </c:pt>
                <c:pt idx="8">
                  <c:v>0.15809999999999999</c:v>
                </c:pt>
                <c:pt idx="9">
                  <c:v>0.17780000000000001</c:v>
                </c:pt>
                <c:pt idx="10">
                  <c:v>0.1991</c:v>
                </c:pt>
                <c:pt idx="11">
                  <c:v>0.22020000000000001</c:v>
                </c:pt>
                <c:pt idx="12">
                  <c:v>0.24079999999999999</c:v>
                </c:pt>
                <c:pt idx="13">
                  <c:v>0.26150000000000001</c:v>
                </c:pt>
                <c:pt idx="14">
                  <c:v>0.28260000000000002</c:v>
                </c:pt>
                <c:pt idx="15">
                  <c:v>0.3039</c:v>
                </c:pt>
                <c:pt idx="16">
                  <c:v>0.32519999999999999</c:v>
                </c:pt>
                <c:pt idx="17">
                  <c:v>0.34649999999999997</c:v>
                </c:pt>
                <c:pt idx="18">
                  <c:v>0.36840000000000001</c:v>
                </c:pt>
                <c:pt idx="19">
                  <c:v>0.38969999999999999</c:v>
                </c:pt>
                <c:pt idx="20">
                  <c:v>0.4108</c:v>
                </c:pt>
                <c:pt idx="21">
                  <c:v>0.43130000000000002</c:v>
                </c:pt>
                <c:pt idx="22">
                  <c:v>0.45200000000000001</c:v>
                </c:pt>
                <c:pt idx="23">
                  <c:v>0.47249999999999998</c:v>
                </c:pt>
                <c:pt idx="24">
                  <c:v>0.49390000000000001</c:v>
                </c:pt>
                <c:pt idx="25">
                  <c:v>0.51580000000000004</c:v>
                </c:pt>
                <c:pt idx="26">
                  <c:v>0.53710000000000002</c:v>
                </c:pt>
                <c:pt idx="27">
                  <c:v>0.5575</c:v>
                </c:pt>
                <c:pt idx="28">
                  <c:v>0.57869999999999999</c:v>
                </c:pt>
                <c:pt idx="29">
                  <c:v>0.59960000000000002</c:v>
                </c:pt>
                <c:pt idx="30">
                  <c:v>0.621</c:v>
                </c:pt>
                <c:pt idx="31">
                  <c:v>0.64200000000000002</c:v>
                </c:pt>
                <c:pt idx="32">
                  <c:v>0.66310000000000002</c:v>
                </c:pt>
                <c:pt idx="33">
                  <c:v>0.68489999999999995</c:v>
                </c:pt>
                <c:pt idx="34">
                  <c:v>0.70599999999999996</c:v>
                </c:pt>
                <c:pt idx="35">
                  <c:v>0.72709999999999997</c:v>
                </c:pt>
                <c:pt idx="36">
                  <c:v>0.74829999999999997</c:v>
                </c:pt>
                <c:pt idx="37">
                  <c:v>0.76919999999999999</c:v>
                </c:pt>
                <c:pt idx="38">
                  <c:v>0.79039999999999999</c:v>
                </c:pt>
                <c:pt idx="39">
                  <c:v>0.81120000000000003</c:v>
                </c:pt>
                <c:pt idx="40">
                  <c:v>0.83199999999999996</c:v>
                </c:pt>
                <c:pt idx="41">
                  <c:v>0.85329999999999995</c:v>
                </c:pt>
                <c:pt idx="42">
                  <c:v>0.873</c:v>
                </c:pt>
              </c:numCache>
            </c:numRef>
          </c:xVal>
          <c:yVal>
            <c:numRef>
              <c:f>ST_S58!$B$7:$B$49</c:f>
              <c:numCache>
                <c:formatCode>0.0000</c:formatCode>
                <c:ptCount val="43"/>
                <c:pt idx="0" formatCode="General">
                  <c:v>0</c:v>
                </c:pt>
                <c:pt idx="1">
                  <c:v>2.81E-2</c:v>
                </c:pt>
                <c:pt idx="2">
                  <c:v>5.1499999999999997E-2</c:v>
                </c:pt>
                <c:pt idx="3">
                  <c:v>7.1599999999999997E-2</c:v>
                </c:pt>
                <c:pt idx="4">
                  <c:v>9.06E-2</c:v>
                </c:pt>
                <c:pt idx="5">
                  <c:v>0.1085</c:v>
                </c:pt>
                <c:pt idx="6">
                  <c:v>0.12540000000000001</c:v>
                </c:pt>
                <c:pt idx="7">
                  <c:v>0.1414</c:v>
                </c:pt>
                <c:pt idx="8">
                  <c:v>0.15659999999999999</c:v>
                </c:pt>
                <c:pt idx="9">
                  <c:v>0.17180000000000001</c:v>
                </c:pt>
                <c:pt idx="10">
                  <c:v>0.18479999999999999</c:v>
                </c:pt>
                <c:pt idx="11">
                  <c:v>0.19850000000000001</c:v>
                </c:pt>
                <c:pt idx="12">
                  <c:v>0.21099999999999999</c:v>
                </c:pt>
                <c:pt idx="13">
                  <c:v>0.22289999999999999</c:v>
                </c:pt>
                <c:pt idx="14">
                  <c:v>0.23480000000000001</c:v>
                </c:pt>
                <c:pt idx="15">
                  <c:v>0.2457</c:v>
                </c:pt>
                <c:pt idx="16">
                  <c:v>0.25719999999999998</c:v>
                </c:pt>
                <c:pt idx="17">
                  <c:v>0.2671</c:v>
                </c:pt>
                <c:pt idx="18">
                  <c:v>0.2772</c:v>
                </c:pt>
                <c:pt idx="19">
                  <c:v>0.28699999999999998</c:v>
                </c:pt>
                <c:pt idx="20">
                  <c:v>0.29670000000000002</c:v>
                </c:pt>
                <c:pt idx="21">
                  <c:v>0.30599999999999999</c:v>
                </c:pt>
                <c:pt idx="22">
                  <c:v>0.31519999999999998</c:v>
                </c:pt>
                <c:pt idx="23">
                  <c:v>0.3246</c:v>
                </c:pt>
                <c:pt idx="24">
                  <c:v>0.3332</c:v>
                </c:pt>
                <c:pt idx="25">
                  <c:v>0.34150000000000003</c:v>
                </c:pt>
                <c:pt idx="26">
                  <c:v>0.35010000000000002</c:v>
                </c:pt>
                <c:pt idx="27">
                  <c:v>0.35830000000000001</c:v>
                </c:pt>
                <c:pt idx="28">
                  <c:v>0.36659999999999998</c:v>
                </c:pt>
                <c:pt idx="29">
                  <c:v>0.37459999999999999</c:v>
                </c:pt>
                <c:pt idx="30">
                  <c:v>0.38329999999999997</c:v>
                </c:pt>
                <c:pt idx="31">
                  <c:v>0.39119999999999999</c:v>
                </c:pt>
                <c:pt idx="32">
                  <c:v>0.40010000000000001</c:v>
                </c:pt>
                <c:pt idx="33">
                  <c:v>0.4083</c:v>
                </c:pt>
                <c:pt idx="34">
                  <c:v>0.41720000000000002</c:v>
                </c:pt>
                <c:pt idx="35">
                  <c:v>0.4254</c:v>
                </c:pt>
                <c:pt idx="36">
                  <c:v>0.43380000000000002</c:v>
                </c:pt>
                <c:pt idx="37">
                  <c:v>0.44259999999999999</c:v>
                </c:pt>
                <c:pt idx="38">
                  <c:v>0.45100000000000001</c:v>
                </c:pt>
                <c:pt idx="39">
                  <c:v>0.46050000000000002</c:v>
                </c:pt>
                <c:pt idx="40">
                  <c:v>0.46949999999999997</c:v>
                </c:pt>
                <c:pt idx="41">
                  <c:v>0.47899999999999998</c:v>
                </c:pt>
                <c:pt idx="42">
                  <c:v>0.48870000000000002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ST_S58!$F$6</c:f>
              <c:strCache>
                <c:ptCount val="1"/>
                <c:pt idx="0">
                  <c:v>Calc Stress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ST_S58!$A$7:$A$49</c:f>
              <c:numCache>
                <c:formatCode>0.0000</c:formatCode>
                <c:ptCount val="43"/>
                <c:pt idx="0" formatCode="General">
                  <c:v>0</c:v>
                </c:pt>
                <c:pt idx="1">
                  <c:v>1.8599999999999998E-2</c:v>
                </c:pt>
                <c:pt idx="2">
                  <c:v>3.7199999999999997E-2</c:v>
                </c:pt>
                <c:pt idx="3">
                  <c:v>5.7500000000000002E-2</c:v>
                </c:pt>
                <c:pt idx="4">
                  <c:v>7.7700000000000005E-2</c:v>
                </c:pt>
                <c:pt idx="5">
                  <c:v>9.74E-2</c:v>
                </c:pt>
                <c:pt idx="6">
                  <c:v>0.1172</c:v>
                </c:pt>
                <c:pt idx="7">
                  <c:v>0.13739999999999999</c:v>
                </c:pt>
                <c:pt idx="8">
                  <c:v>0.15809999999999999</c:v>
                </c:pt>
                <c:pt idx="9">
                  <c:v>0.17780000000000001</c:v>
                </c:pt>
                <c:pt idx="10">
                  <c:v>0.1991</c:v>
                </c:pt>
                <c:pt idx="11">
                  <c:v>0.22020000000000001</c:v>
                </c:pt>
                <c:pt idx="12">
                  <c:v>0.24079999999999999</c:v>
                </c:pt>
                <c:pt idx="13">
                  <c:v>0.26150000000000001</c:v>
                </c:pt>
                <c:pt idx="14">
                  <c:v>0.28260000000000002</c:v>
                </c:pt>
                <c:pt idx="15">
                  <c:v>0.3039</c:v>
                </c:pt>
                <c:pt idx="16">
                  <c:v>0.32519999999999999</c:v>
                </c:pt>
                <c:pt idx="17">
                  <c:v>0.34649999999999997</c:v>
                </c:pt>
                <c:pt idx="18">
                  <c:v>0.36840000000000001</c:v>
                </c:pt>
                <c:pt idx="19">
                  <c:v>0.38969999999999999</c:v>
                </c:pt>
                <c:pt idx="20">
                  <c:v>0.4108</c:v>
                </c:pt>
                <c:pt idx="21">
                  <c:v>0.43130000000000002</c:v>
                </c:pt>
                <c:pt idx="22">
                  <c:v>0.45200000000000001</c:v>
                </c:pt>
                <c:pt idx="23">
                  <c:v>0.47249999999999998</c:v>
                </c:pt>
                <c:pt idx="24">
                  <c:v>0.49390000000000001</c:v>
                </c:pt>
                <c:pt idx="25">
                  <c:v>0.51580000000000004</c:v>
                </c:pt>
                <c:pt idx="26">
                  <c:v>0.53710000000000002</c:v>
                </c:pt>
                <c:pt idx="27">
                  <c:v>0.5575</c:v>
                </c:pt>
                <c:pt idx="28">
                  <c:v>0.57869999999999999</c:v>
                </c:pt>
                <c:pt idx="29">
                  <c:v>0.59960000000000002</c:v>
                </c:pt>
                <c:pt idx="30">
                  <c:v>0.621</c:v>
                </c:pt>
                <c:pt idx="31">
                  <c:v>0.64200000000000002</c:v>
                </c:pt>
                <c:pt idx="32">
                  <c:v>0.66310000000000002</c:v>
                </c:pt>
                <c:pt idx="33">
                  <c:v>0.68489999999999995</c:v>
                </c:pt>
                <c:pt idx="34">
                  <c:v>0.70599999999999996</c:v>
                </c:pt>
                <c:pt idx="35">
                  <c:v>0.72709999999999997</c:v>
                </c:pt>
                <c:pt idx="36">
                  <c:v>0.74829999999999997</c:v>
                </c:pt>
                <c:pt idx="37">
                  <c:v>0.76919999999999999</c:v>
                </c:pt>
                <c:pt idx="38">
                  <c:v>0.79039999999999999</c:v>
                </c:pt>
                <c:pt idx="39">
                  <c:v>0.81120000000000003</c:v>
                </c:pt>
                <c:pt idx="40">
                  <c:v>0.83199999999999996</c:v>
                </c:pt>
                <c:pt idx="41">
                  <c:v>0.85329999999999995</c:v>
                </c:pt>
                <c:pt idx="42">
                  <c:v>0.873</c:v>
                </c:pt>
              </c:numCache>
            </c:numRef>
          </c:xVal>
          <c:yVal>
            <c:numRef>
              <c:f>ST_S58!$F$7:$F$49</c:f>
              <c:numCache>
                <c:formatCode>0.000000</c:formatCode>
                <c:ptCount val="43"/>
                <c:pt idx="0" formatCode="General">
                  <c:v>0</c:v>
                </c:pt>
                <c:pt idx="1">
                  <c:v>1.97212933921567E-2</c:v>
                </c:pt>
                <c:pt idx="2">
                  <c:v>3.8735794306820476E-2</c:v>
                </c:pt>
                <c:pt idx="3">
                  <c:v>5.8725703833896976E-2</c:v>
                </c:pt>
                <c:pt idx="4">
                  <c:v>7.7870592663659199E-2</c:v>
                </c:pt>
                <c:pt idx="5">
                  <c:v>9.5863551011725917E-2</c:v>
                </c:pt>
                <c:pt idx="6">
                  <c:v>0.11330904087839506</c:v>
                </c:pt>
                <c:pt idx="7">
                  <c:v>0.13048142758481907</c:v>
                </c:pt>
                <c:pt idx="8">
                  <c:v>0.14745760497113547</c:v>
                </c:pt>
                <c:pt idx="9">
                  <c:v>0.16305964112872992</c:v>
                </c:pt>
                <c:pt idx="10">
                  <c:v>0.17935231787600145</c:v>
                </c:pt>
                <c:pt idx="11">
                  <c:v>0.19493182272267096</c:v>
                </c:pt>
                <c:pt idx="12">
                  <c:v>0.2096322204503997</c:v>
                </c:pt>
                <c:pt idx="13">
                  <c:v>0.22392257052409503</c:v>
                </c:pt>
                <c:pt idx="14">
                  <c:v>0.23801796021750607</c:v>
                </c:pt>
                <c:pt idx="15">
                  <c:v>0.25178977841584022</c:v>
                </c:pt>
                <c:pt idx="16">
                  <c:v>0.26512672435913881</c:v>
                </c:pt>
                <c:pt idx="17">
                  <c:v>0.27805234727770245</c:v>
                </c:pt>
                <c:pt idx="18">
                  <c:v>0.29093707347026782</c:v>
                </c:pt>
                <c:pt idx="19">
                  <c:v>0.30309732969325032</c:v>
                </c:pt>
                <c:pt idx="20">
                  <c:v>0.31480334673384847</c:v>
                </c:pt>
                <c:pt idx="21">
                  <c:v>0.32587150329050446</c:v>
                </c:pt>
                <c:pt idx="22">
                  <c:v>0.33676120046509295</c:v>
                </c:pt>
                <c:pt idx="23">
                  <c:v>0.34727986801485639</c:v>
                </c:pt>
                <c:pt idx="24">
                  <c:v>0.35799705864307863</c:v>
                </c:pt>
                <c:pt idx="25">
                  <c:v>0.36870635424874809</c:v>
                </c:pt>
                <c:pt idx="26">
                  <c:v>0.37889117332775057</c:v>
                </c:pt>
                <c:pt idx="27">
                  <c:v>0.38844969688370712</c:v>
                </c:pt>
                <c:pt idx="28">
                  <c:v>0.39819794314075752</c:v>
                </c:pt>
                <c:pt idx="29">
                  <c:v>0.40764136851021093</c:v>
                </c:pt>
                <c:pt idx="30">
                  <c:v>0.41715765379154618</c:v>
                </c:pt>
                <c:pt idx="31">
                  <c:v>0.42636379644535455</c:v>
                </c:pt>
                <c:pt idx="32">
                  <c:v>0.43550018541533997</c:v>
                </c:pt>
                <c:pt idx="33">
                  <c:v>0.44483964878081217</c:v>
                </c:pt>
                <c:pt idx="34">
                  <c:v>0.45380150304259065</c:v>
                </c:pt>
                <c:pt idx="35">
                  <c:v>0.46270585665143948</c:v>
                </c:pt>
                <c:pt idx="36">
                  <c:v>0.47161359642496964</c:v>
                </c:pt>
                <c:pt idx="37">
                  <c:v>0.48037608556223416</c:v>
                </c:pt>
                <c:pt idx="38">
                  <c:v>0.48926430413305277</c:v>
                </c:pt>
                <c:pt idx="39">
                  <c:v>0.49800391901211638</c:v>
                </c:pt>
                <c:pt idx="40">
                  <c:v>0.50678165203287928</c:v>
                </c:pt>
                <c:pt idx="41">
                  <c:v>0.51583012324056288</c:v>
                </c:pt>
                <c:pt idx="42">
                  <c:v>0.52427088300227076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8592"/>
        <c:axId val="161360512"/>
      </c:scatterChart>
      <c:valAx>
        <c:axId val="16135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Eng. Strain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1360512"/>
        <c:crosses val="autoZero"/>
        <c:crossBetween val="midCat"/>
      </c:valAx>
      <c:valAx>
        <c:axId val="161360512"/>
        <c:scaling>
          <c:orientation val="minMax"/>
          <c:max val="0.8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Eng. Stress (MPa)</a:t>
                </a:r>
              </a:p>
            </c:rich>
          </c:tx>
          <c:layout>
            <c:manualLayout>
              <c:xMode val="edge"/>
              <c:yMode val="edge"/>
              <c:x val="1.4733108733400864E-2"/>
              <c:y val="0.291325328069151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1358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972550840975609"/>
          <c:y val="0.10748270671478596"/>
          <c:w val="0.27549612800862977"/>
          <c:h val="0.12778642435777399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Equi-Biaxial Response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5032995725792767"/>
          <c:y val="1.5860999831161456E-2"/>
          <c:w val="0.78480219093943404"/>
          <c:h val="0.84253830844243893"/>
        </c:manualLayout>
      </c:layout>
      <c:scatterChart>
        <c:scatterStyle val="lineMarker"/>
        <c:varyColors val="0"/>
        <c:ser>
          <c:idx val="0"/>
          <c:order val="0"/>
          <c:tx>
            <c:v>DATA - EB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3847D4"/>
              </a:solidFill>
            </c:spPr>
          </c:marker>
          <c:xVal>
            <c:numRef>
              <c:f>EB_S58!$A$7:$A$56</c:f>
              <c:numCache>
                <c:formatCode>0.0000</c:formatCode>
                <c:ptCount val="50"/>
                <c:pt idx="0" formatCode="General">
                  <c:v>0</c:v>
                </c:pt>
                <c:pt idx="1">
                  <c:v>1.46E-2</c:v>
                </c:pt>
                <c:pt idx="2">
                  <c:v>3.04E-2</c:v>
                </c:pt>
                <c:pt idx="3">
                  <c:v>4.5900000000000003E-2</c:v>
                </c:pt>
                <c:pt idx="4">
                  <c:v>6.1600000000000002E-2</c:v>
                </c:pt>
                <c:pt idx="5">
                  <c:v>7.6999999999999999E-2</c:v>
                </c:pt>
                <c:pt idx="6">
                  <c:v>9.2600000000000002E-2</c:v>
                </c:pt>
                <c:pt idx="7">
                  <c:v>0.1081</c:v>
                </c:pt>
                <c:pt idx="8">
                  <c:v>0.1236</c:v>
                </c:pt>
                <c:pt idx="9">
                  <c:v>0.1391</c:v>
                </c:pt>
                <c:pt idx="10">
                  <c:v>0.1547</c:v>
                </c:pt>
                <c:pt idx="11">
                  <c:v>0.17050000000000001</c:v>
                </c:pt>
                <c:pt idx="12">
                  <c:v>0.18629999999999999</c:v>
                </c:pt>
                <c:pt idx="13">
                  <c:v>0.2024</c:v>
                </c:pt>
                <c:pt idx="14">
                  <c:v>0.21840000000000001</c:v>
                </c:pt>
                <c:pt idx="15">
                  <c:v>0.2349</c:v>
                </c:pt>
                <c:pt idx="16">
                  <c:v>0.25169999999999998</c:v>
                </c:pt>
                <c:pt idx="17">
                  <c:v>0.26850000000000002</c:v>
                </c:pt>
                <c:pt idx="18">
                  <c:v>0.28560000000000002</c:v>
                </c:pt>
                <c:pt idx="19">
                  <c:v>0.3029</c:v>
                </c:pt>
                <c:pt idx="20">
                  <c:v>0.32069999999999999</c:v>
                </c:pt>
                <c:pt idx="21">
                  <c:v>0.3387</c:v>
                </c:pt>
                <c:pt idx="22">
                  <c:v>0.3574</c:v>
                </c:pt>
                <c:pt idx="23">
                  <c:v>0.37590000000000001</c:v>
                </c:pt>
                <c:pt idx="24">
                  <c:v>0.39439999999999997</c:v>
                </c:pt>
                <c:pt idx="25">
                  <c:v>0.41320000000000001</c:v>
                </c:pt>
                <c:pt idx="26">
                  <c:v>0.4325</c:v>
                </c:pt>
                <c:pt idx="27">
                  <c:v>0.45250000000000001</c:v>
                </c:pt>
                <c:pt idx="28">
                  <c:v>0.47239999999999999</c:v>
                </c:pt>
                <c:pt idx="29">
                  <c:v>0.49230000000000002</c:v>
                </c:pt>
                <c:pt idx="30">
                  <c:v>0.51229999999999998</c:v>
                </c:pt>
                <c:pt idx="31">
                  <c:v>0.5323</c:v>
                </c:pt>
                <c:pt idx="32">
                  <c:v>0.55259999999999998</c:v>
                </c:pt>
                <c:pt idx="33">
                  <c:v>0.57320000000000004</c:v>
                </c:pt>
                <c:pt idx="34">
                  <c:v>0.59379999999999999</c:v>
                </c:pt>
                <c:pt idx="35">
                  <c:v>0.61370000000000002</c:v>
                </c:pt>
                <c:pt idx="36">
                  <c:v>0.63439999999999996</c:v>
                </c:pt>
                <c:pt idx="37">
                  <c:v>0.65510000000000002</c:v>
                </c:pt>
                <c:pt idx="38">
                  <c:v>0.67549999999999999</c:v>
                </c:pt>
                <c:pt idx="39">
                  <c:v>0.69620000000000004</c:v>
                </c:pt>
                <c:pt idx="40">
                  <c:v>0.71730000000000005</c:v>
                </c:pt>
                <c:pt idx="41">
                  <c:v>0.7379</c:v>
                </c:pt>
                <c:pt idx="42">
                  <c:v>0.75860000000000005</c:v>
                </c:pt>
                <c:pt idx="43">
                  <c:v>0.77959999999999996</c:v>
                </c:pt>
                <c:pt idx="44">
                  <c:v>0.80049999999999999</c:v>
                </c:pt>
                <c:pt idx="45">
                  <c:v>0.82140000000000002</c:v>
                </c:pt>
                <c:pt idx="46">
                  <c:v>0.84189999999999998</c:v>
                </c:pt>
                <c:pt idx="47">
                  <c:v>0.8629</c:v>
                </c:pt>
                <c:pt idx="48">
                  <c:v>0.88370000000000004</c:v>
                </c:pt>
                <c:pt idx="49">
                  <c:v>0.90400000000000003</c:v>
                </c:pt>
              </c:numCache>
            </c:numRef>
          </c:xVal>
          <c:yVal>
            <c:numRef>
              <c:f>EB_S58!$B$7:$B$56</c:f>
              <c:numCache>
                <c:formatCode>0.0000</c:formatCode>
                <c:ptCount val="50"/>
                <c:pt idx="0" formatCode="General">
                  <c:v>0</c:v>
                </c:pt>
                <c:pt idx="1">
                  <c:v>4.2099999999999999E-2</c:v>
                </c:pt>
                <c:pt idx="2">
                  <c:v>7.7700000000000005E-2</c:v>
                </c:pt>
                <c:pt idx="3">
                  <c:v>0.1086</c:v>
                </c:pt>
                <c:pt idx="4">
                  <c:v>0.1361</c:v>
                </c:pt>
                <c:pt idx="5">
                  <c:v>0.1605</c:v>
                </c:pt>
                <c:pt idx="6">
                  <c:v>0.18279999999999999</c:v>
                </c:pt>
                <c:pt idx="7">
                  <c:v>0.2031</c:v>
                </c:pt>
                <c:pt idx="8">
                  <c:v>0.2228</c:v>
                </c:pt>
                <c:pt idx="9">
                  <c:v>0.23960000000000001</c:v>
                </c:pt>
                <c:pt idx="10">
                  <c:v>0.25659999999999999</c:v>
                </c:pt>
                <c:pt idx="11">
                  <c:v>0.27129999999999999</c:v>
                </c:pt>
                <c:pt idx="12">
                  <c:v>0.28689999999999999</c:v>
                </c:pt>
                <c:pt idx="13">
                  <c:v>0.2979</c:v>
                </c:pt>
                <c:pt idx="14">
                  <c:v>0.31169999999999998</c:v>
                </c:pt>
                <c:pt idx="15">
                  <c:v>0.3241</c:v>
                </c:pt>
                <c:pt idx="16">
                  <c:v>0.3367</c:v>
                </c:pt>
                <c:pt idx="17">
                  <c:v>0.34899999999999998</c:v>
                </c:pt>
                <c:pt idx="18">
                  <c:v>0.36070000000000002</c:v>
                </c:pt>
                <c:pt idx="19">
                  <c:v>0.37130000000000002</c:v>
                </c:pt>
                <c:pt idx="20">
                  <c:v>0.38090000000000002</c:v>
                </c:pt>
                <c:pt idx="21">
                  <c:v>0.39179999999999998</c:v>
                </c:pt>
                <c:pt idx="22">
                  <c:v>0.40100000000000002</c:v>
                </c:pt>
                <c:pt idx="23">
                  <c:v>0.41139999999999999</c:v>
                </c:pt>
                <c:pt idx="24">
                  <c:v>0.42099999999999999</c:v>
                </c:pt>
                <c:pt idx="25">
                  <c:v>0.43109999999999998</c:v>
                </c:pt>
                <c:pt idx="26">
                  <c:v>0.44259999999999999</c:v>
                </c:pt>
                <c:pt idx="27">
                  <c:v>0.45079999999999998</c:v>
                </c:pt>
                <c:pt idx="28">
                  <c:v>0.46110000000000001</c:v>
                </c:pt>
                <c:pt idx="29">
                  <c:v>0.47</c:v>
                </c:pt>
                <c:pt idx="30">
                  <c:v>0.48020000000000002</c:v>
                </c:pt>
                <c:pt idx="31">
                  <c:v>0.49049999999999999</c:v>
                </c:pt>
                <c:pt idx="32">
                  <c:v>0.49959999999999999</c:v>
                </c:pt>
                <c:pt idx="33">
                  <c:v>0.51139999999999997</c:v>
                </c:pt>
                <c:pt idx="34">
                  <c:v>0.52139999999999997</c:v>
                </c:pt>
                <c:pt idx="35">
                  <c:v>0.5333</c:v>
                </c:pt>
                <c:pt idx="36">
                  <c:v>0.54479999999999995</c:v>
                </c:pt>
                <c:pt idx="37">
                  <c:v>0.55659999999999998</c:v>
                </c:pt>
                <c:pt idx="38">
                  <c:v>0.56830000000000003</c:v>
                </c:pt>
                <c:pt idx="39">
                  <c:v>0.58030000000000004</c:v>
                </c:pt>
                <c:pt idx="40">
                  <c:v>0.59219999999999995</c:v>
                </c:pt>
                <c:pt idx="41">
                  <c:v>0.60699999999999998</c:v>
                </c:pt>
                <c:pt idx="42">
                  <c:v>0.61809999999999998</c:v>
                </c:pt>
                <c:pt idx="43">
                  <c:v>0.63449999999999995</c:v>
                </c:pt>
                <c:pt idx="44">
                  <c:v>0.64870000000000005</c:v>
                </c:pt>
                <c:pt idx="45">
                  <c:v>0.66559999999999997</c:v>
                </c:pt>
                <c:pt idx="46">
                  <c:v>0.68389999999999995</c:v>
                </c:pt>
                <c:pt idx="47">
                  <c:v>0.70040000000000002</c:v>
                </c:pt>
                <c:pt idx="48">
                  <c:v>0.71909999999999996</c:v>
                </c:pt>
                <c:pt idx="49">
                  <c:v>0.73939999999999995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ST_S58!$F$6</c:f>
              <c:strCache>
                <c:ptCount val="1"/>
                <c:pt idx="0">
                  <c:v>Calc Stress</c:v>
                </c:pt>
              </c:strCache>
            </c:strRef>
          </c:tx>
          <c:spPr>
            <a:ln w="28575">
              <a:solidFill>
                <a:srgbClr val="3847D4"/>
              </a:solidFill>
            </a:ln>
          </c:spPr>
          <c:marker>
            <c:symbol val="none"/>
          </c:marker>
          <c:xVal>
            <c:numRef>
              <c:f>EB_S58!$A$7:$A$56</c:f>
              <c:numCache>
                <c:formatCode>0.0000</c:formatCode>
                <c:ptCount val="50"/>
                <c:pt idx="0" formatCode="General">
                  <c:v>0</c:v>
                </c:pt>
                <c:pt idx="1">
                  <c:v>1.46E-2</c:v>
                </c:pt>
                <c:pt idx="2">
                  <c:v>3.04E-2</c:v>
                </c:pt>
                <c:pt idx="3">
                  <c:v>4.5900000000000003E-2</c:v>
                </c:pt>
                <c:pt idx="4">
                  <c:v>6.1600000000000002E-2</c:v>
                </c:pt>
                <c:pt idx="5">
                  <c:v>7.6999999999999999E-2</c:v>
                </c:pt>
                <c:pt idx="6">
                  <c:v>9.2600000000000002E-2</c:v>
                </c:pt>
                <c:pt idx="7">
                  <c:v>0.1081</c:v>
                </c:pt>
                <c:pt idx="8">
                  <c:v>0.1236</c:v>
                </c:pt>
                <c:pt idx="9">
                  <c:v>0.1391</c:v>
                </c:pt>
                <c:pt idx="10">
                  <c:v>0.1547</c:v>
                </c:pt>
                <c:pt idx="11">
                  <c:v>0.17050000000000001</c:v>
                </c:pt>
                <c:pt idx="12">
                  <c:v>0.18629999999999999</c:v>
                </c:pt>
                <c:pt idx="13">
                  <c:v>0.2024</c:v>
                </c:pt>
                <c:pt idx="14">
                  <c:v>0.21840000000000001</c:v>
                </c:pt>
                <c:pt idx="15">
                  <c:v>0.2349</c:v>
                </c:pt>
                <c:pt idx="16">
                  <c:v>0.25169999999999998</c:v>
                </c:pt>
                <c:pt idx="17">
                  <c:v>0.26850000000000002</c:v>
                </c:pt>
                <c:pt idx="18">
                  <c:v>0.28560000000000002</c:v>
                </c:pt>
                <c:pt idx="19">
                  <c:v>0.3029</c:v>
                </c:pt>
                <c:pt idx="20">
                  <c:v>0.32069999999999999</c:v>
                </c:pt>
                <c:pt idx="21">
                  <c:v>0.3387</c:v>
                </c:pt>
                <c:pt idx="22">
                  <c:v>0.3574</c:v>
                </c:pt>
                <c:pt idx="23">
                  <c:v>0.37590000000000001</c:v>
                </c:pt>
                <c:pt idx="24">
                  <c:v>0.39439999999999997</c:v>
                </c:pt>
                <c:pt idx="25">
                  <c:v>0.41320000000000001</c:v>
                </c:pt>
                <c:pt idx="26">
                  <c:v>0.4325</c:v>
                </c:pt>
                <c:pt idx="27">
                  <c:v>0.45250000000000001</c:v>
                </c:pt>
                <c:pt idx="28">
                  <c:v>0.47239999999999999</c:v>
                </c:pt>
                <c:pt idx="29">
                  <c:v>0.49230000000000002</c:v>
                </c:pt>
                <c:pt idx="30">
                  <c:v>0.51229999999999998</c:v>
                </c:pt>
                <c:pt idx="31">
                  <c:v>0.5323</c:v>
                </c:pt>
                <c:pt idx="32">
                  <c:v>0.55259999999999998</c:v>
                </c:pt>
                <c:pt idx="33">
                  <c:v>0.57320000000000004</c:v>
                </c:pt>
                <c:pt idx="34">
                  <c:v>0.59379999999999999</c:v>
                </c:pt>
                <c:pt idx="35">
                  <c:v>0.61370000000000002</c:v>
                </c:pt>
                <c:pt idx="36">
                  <c:v>0.63439999999999996</c:v>
                </c:pt>
                <c:pt idx="37">
                  <c:v>0.65510000000000002</c:v>
                </c:pt>
                <c:pt idx="38">
                  <c:v>0.67549999999999999</c:v>
                </c:pt>
                <c:pt idx="39">
                  <c:v>0.69620000000000004</c:v>
                </c:pt>
                <c:pt idx="40">
                  <c:v>0.71730000000000005</c:v>
                </c:pt>
                <c:pt idx="41">
                  <c:v>0.7379</c:v>
                </c:pt>
                <c:pt idx="42">
                  <c:v>0.75860000000000005</c:v>
                </c:pt>
                <c:pt idx="43">
                  <c:v>0.77959999999999996</c:v>
                </c:pt>
                <c:pt idx="44">
                  <c:v>0.80049999999999999</c:v>
                </c:pt>
                <c:pt idx="45">
                  <c:v>0.82140000000000002</c:v>
                </c:pt>
                <c:pt idx="46">
                  <c:v>0.84189999999999998</c:v>
                </c:pt>
                <c:pt idx="47">
                  <c:v>0.8629</c:v>
                </c:pt>
                <c:pt idx="48">
                  <c:v>0.88370000000000004</c:v>
                </c:pt>
                <c:pt idx="49">
                  <c:v>0.90400000000000003</c:v>
                </c:pt>
              </c:numCache>
            </c:numRef>
          </c:xVal>
          <c:yVal>
            <c:numRef>
              <c:f>EB_S58!$F$7:$F$56</c:f>
              <c:numCache>
                <c:formatCode>0.000000</c:formatCode>
                <c:ptCount val="50"/>
                <c:pt idx="0" formatCode="General">
                  <c:v>0</c:v>
                </c:pt>
                <c:pt idx="1">
                  <c:v>3.0415052182273056E-2</c:v>
                </c:pt>
                <c:pt idx="2">
                  <c:v>6.0939641977116731E-2</c:v>
                </c:pt>
                <c:pt idx="3">
                  <c:v>8.8664515173348779E-2</c:v>
                </c:pt>
                <c:pt idx="4">
                  <c:v>0.11469037988818749</c:v>
                </c:pt>
                <c:pt idx="5">
                  <c:v>0.13837293707375833</c:v>
                </c:pt>
                <c:pt idx="6">
                  <c:v>0.16065301453571934</c:v>
                </c:pt>
                <c:pt idx="7">
                  <c:v>0.18122668180877646</c:v>
                </c:pt>
                <c:pt idx="8">
                  <c:v>0.20037190240026193</c:v>
                </c:pt>
                <c:pt idx="9">
                  <c:v>0.21820873931976453</c:v>
                </c:pt>
                <c:pt idx="10">
                  <c:v>0.23495204197787148</c:v>
                </c:pt>
                <c:pt idx="11">
                  <c:v>0.25078131683041976</c:v>
                </c:pt>
                <c:pt idx="12">
                  <c:v>0.2655754217741183</c:v>
                </c:pt>
                <c:pt idx="13">
                  <c:v>0.27968273549048467</c:v>
                </c:pt>
                <c:pt idx="14">
                  <c:v>0.29282534824091283</c:v>
                </c:pt>
                <c:pt idx="15">
                  <c:v>0.30555220057188109</c:v>
                </c:pt>
                <c:pt idx="16">
                  <c:v>0.31773620208742914</c:v>
                </c:pt>
                <c:pt idx="17">
                  <c:v>0.32922306298684995</c:v>
                </c:pt>
                <c:pt idx="18">
                  <c:v>0.34028069575887987</c:v>
                </c:pt>
                <c:pt idx="19">
                  <c:v>0.35089552854781775</c:v>
                </c:pt>
                <c:pt idx="20">
                  <c:v>0.36129587011034298</c:v>
                </c:pt>
                <c:pt idx="21">
                  <c:v>0.37135364377618496</c:v>
                </c:pt>
                <c:pt idx="22">
                  <c:v>0.38139376305046924</c:v>
                </c:pt>
                <c:pt idx="23">
                  <c:v>0.39099377527230139</c:v>
                </c:pt>
                <c:pt idx="24">
                  <c:v>0.40033627210648243</c:v>
                </c:pt>
                <c:pt idx="25">
                  <c:v>0.40963812542418282</c:v>
                </c:pt>
                <c:pt idx="26">
                  <c:v>0.41905868423442466</c:v>
                </c:pt>
                <c:pt idx="27">
                  <c:v>0.42875993571798976</c:v>
                </c:pt>
                <c:pt idx="28">
                  <c:v>0.4384269148889377</c:v>
                </c:pt>
                <c:pt idx="29">
                  <c:v>0.44818194279817219</c:v>
                </c:pt>
                <c:pt idx="30">
                  <c:v>0.45814693329085038</c:v>
                </c:pt>
                <c:pt idx="31">
                  <c:v>0.46834400146799693</c:v>
                </c:pt>
                <c:pt idx="32">
                  <c:v>0.47900266609512493</c:v>
                </c:pt>
                <c:pt idx="33">
                  <c:v>0.49020965847389364</c:v>
                </c:pt>
                <c:pt idx="34">
                  <c:v>0.50188358743855588</c:v>
                </c:pt>
                <c:pt idx="35">
                  <c:v>0.51367272695763599</c:v>
                </c:pt>
                <c:pt idx="36">
                  <c:v>0.52654072921160644</c:v>
                </c:pt>
                <c:pt idx="37">
                  <c:v>0.54009805893533314</c:v>
                </c:pt>
                <c:pt idx="38">
                  <c:v>0.55420484377797219</c:v>
                </c:pt>
                <c:pt idx="39">
                  <c:v>0.569348789741012</c:v>
                </c:pt>
                <c:pt idx="40">
                  <c:v>0.58572189693976395</c:v>
                </c:pt>
                <c:pt idx="41">
                  <c:v>0.60269436076304495</c:v>
                </c:pt>
                <c:pt idx="42">
                  <c:v>0.62080739278589414</c:v>
                </c:pt>
                <c:pt idx="43">
                  <c:v>0.64034498546411245</c:v>
                </c:pt>
                <c:pt idx="44">
                  <c:v>0.66103112733220837</c:v>
                </c:pt>
                <c:pt idx="45">
                  <c:v>0.6830365930156862</c:v>
                </c:pt>
                <c:pt idx="46">
                  <c:v>0.70598154367184618</c:v>
                </c:pt>
                <c:pt idx="47">
                  <c:v>0.7309658315399119</c:v>
                </c:pt>
                <c:pt idx="48">
                  <c:v>0.75727194865277703</c:v>
                </c:pt>
                <c:pt idx="49">
                  <c:v>0.78452382330551496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87744"/>
        <c:axId val="161996800"/>
      </c:scatterChart>
      <c:valAx>
        <c:axId val="16188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Eng. Strain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1996800"/>
        <c:crosses val="autoZero"/>
        <c:crossBetween val="midCat"/>
      </c:valAx>
      <c:valAx>
        <c:axId val="161996800"/>
        <c:scaling>
          <c:orientation val="minMax"/>
          <c:max val="0.8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Eng. Stress (MPa)</a:t>
                </a:r>
              </a:p>
            </c:rich>
          </c:tx>
          <c:layout>
            <c:manualLayout>
              <c:xMode val="edge"/>
              <c:yMode val="edge"/>
              <c:x val="1.3656357695161435E-2"/>
              <c:y val="0.291325328069151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18877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127107116201743"/>
          <c:y val="0.11248583268364919"/>
          <c:w val="0.27549612800862977"/>
          <c:h val="0.12778642435777399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Planar Response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5725033244324579"/>
          <c:y val="2.1375757215236449E-2"/>
          <c:w val="0.78480219093943404"/>
          <c:h val="0.84253830844243893"/>
        </c:manualLayout>
      </c:layout>
      <c:scatterChart>
        <c:scatterStyle val="lineMarker"/>
        <c:varyColors val="0"/>
        <c:ser>
          <c:idx val="0"/>
          <c:order val="0"/>
          <c:tx>
            <c:v>DATA - PT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</c:spPr>
          </c:marker>
          <c:xVal>
            <c:numRef>
              <c:f>PT_S58!$A$7:$A$44</c:f>
              <c:numCache>
                <c:formatCode>General</c:formatCode>
                <c:ptCount val="38"/>
                <c:pt idx="0">
                  <c:v>0</c:v>
                </c:pt>
                <c:pt idx="1">
                  <c:v>2.0400000000000001E-2</c:v>
                </c:pt>
                <c:pt idx="2">
                  <c:v>4.2500000000000003E-2</c:v>
                </c:pt>
                <c:pt idx="3">
                  <c:v>6.3700000000000007E-2</c:v>
                </c:pt>
                <c:pt idx="4">
                  <c:v>8.4400000000000003E-2</c:v>
                </c:pt>
                <c:pt idx="5">
                  <c:v>0.105</c:v>
                </c:pt>
                <c:pt idx="6">
                  <c:v>0.12709999999999999</c:v>
                </c:pt>
                <c:pt idx="7">
                  <c:v>0.14799999999999999</c:v>
                </c:pt>
                <c:pt idx="8">
                  <c:v>0.16889999999999999</c:v>
                </c:pt>
                <c:pt idx="9">
                  <c:v>0.19070000000000001</c:v>
                </c:pt>
                <c:pt idx="10">
                  <c:v>0.21299999999999999</c:v>
                </c:pt>
                <c:pt idx="11">
                  <c:v>0.2359</c:v>
                </c:pt>
                <c:pt idx="12">
                  <c:v>0.25719999999999998</c:v>
                </c:pt>
                <c:pt idx="13">
                  <c:v>0.28010000000000002</c:v>
                </c:pt>
                <c:pt idx="14">
                  <c:v>0.30199999999999999</c:v>
                </c:pt>
                <c:pt idx="15">
                  <c:v>0.32400000000000001</c:v>
                </c:pt>
                <c:pt idx="16">
                  <c:v>0.34610000000000002</c:v>
                </c:pt>
                <c:pt idx="17">
                  <c:v>0.36799999999999999</c:v>
                </c:pt>
                <c:pt idx="18">
                  <c:v>0.39079999999999998</c:v>
                </c:pt>
                <c:pt idx="19">
                  <c:v>0.41320000000000001</c:v>
                </c:pt>
                <c:pt idx="20">
                  <c:v>0.43509999999999999</c:v>
                </c:pt>
                <c:pt idx="21">
                  <c:v>0.45789999999999997</c:v>
                </c:pt>
                <c:pt idx="22">
                  <c:v>0.48130000000000001</c:v>
                </c:pt>
                <c:pt idx="23">
                  <c:v>0.50360000000000005</c:v>
                </c:pt>
                <c:pt idx="24">
                  <c:v>0.52649999999999997</c:v>
                </c:pt>
                <c:pt idx="25">
                  <c:v>0.54959999999999998</c:v>
                </c:pt>
                <c:pt idx="26">
                  <c:v>0.57320000000000004</c:v>
                </c:pt>
                <c:pt idx="27">
                  <c:v>0.59499999999999997</c:v>
                </c:pt>
                <c:pt idx="28">
                  <c:v>0.61890000000000001</c:v>
                </c:pt>
                <c:pt idx="29">
                  <c:v>0.6421</c:v>
                </c:pt>
                <c:pt idx="30">
                  <c:v>0.66359999999999997</c:v>
                </c:pt>
                <c:pt idx="31">
                  <c:v>0.68700000000000006</c:v>
                </c:pt>
                <c:pt idx="32">
                  <c:v>0.70940000000000003</c:v>
                </c:pt>
                <c:pt idx="33">
                  <c:v>0.73250000000000004</c:v>
                </c:pt>
                <c:pt idx="34">
                  <c:v>0.75539999999999996</c:v>
                </c:pt>
                <c:pt idx="35">
                  <c:v>0.77800000000000002</c:v>
                </c:pt>
                <c:pt idx="36">
                  <c:v>0.80059999999999998</c:v>
                </c:pt>
                <c:pt idx="37">
                  <c:v>0.82350000000000001</c:v>
                </c:pt>
              </c:numCache>
            </c:numRef>
          </c:xVal>
          <c:yVal>
            <c:numRef>
              <c:f>PT_S58!$B$7:$B$44</c:f>
              <c:numCache>
                <c:formatCode>General</c:formatCode>
                <c:ptCount val="38"/>
                <c:pt idx="0">
                  <c:v>0</c:v>
                </c:pt>
                <c:pt idx="1">
                  <c:v>3.6900000000000002E-2</c:v>
                </c:pt>
                <c:pt idx="2">
                  <c:v>6.6400000000000001E-2</c:v>
                </c:pt>
                <c:pt idx="3">
                  <c:v>9.2799999999999994E-2</c:v>
                </c:pt>
                <c:pt idx="4">
                  <c:v>0.1174</c:v>
                </c:pt>
                <c:pt idx="5">
                  <c:v>0.1401</c:v>
                </c:pt>
                <c:pt idx="6">
                  <c:v>0.1615</c:v>
                </c:pt>
                <c:pt idx="7">
                  <c:v>0.18160000000000001</c:v>
                </c:pt>
                <c:pt idx="8">
                  <c:v>0.20019999999999999</c:v>
                </c:pt>
                <c:pt idx="9">
                  <c:v>0.218</c:v>
                </c:pt>
                <c:pt idx="10">
                  <c:v>0.23499999999999999</c:v>
                </c:pt>
                <c:pt idx="11">
                  <c:v>0.251</c:v>
                </c:pt>
                <c:pt idx="12">
                  <c:v>0.26629999999999998</c:v>
                </c:pt>
                <c:pt idx="13">
                  <c:v>0.28060000000000002</c:v>
                </c:pt>
                <c:pt idx="14">
                  <c:v>0.29420000000000002</c:v>
                </c:pt>
                <c:pt idx="15">
                  <c:v>0.3075</c:v>
                </c:pt>
                <c:pt idx="16">
                  <c:v>0.32</c:v>
                </c:pt>
                <c:pt idx="17">
                  <c:v>0.3322</c:v>
                </c:pt>
                <c:pt idx="18">
                  <c:v>0.34389999999999998</c:v>
                </c:pt>
                <c:pt idx="19">
                  <c:v>0.35499999999999998</c:v>
                </c:pt>
                <c:pt idx="20">
                  <c:v>0.36609999999999998</c:v>
                </c:pt>
                <c:pt idx="21">
                  <c:v>0.37669999999999998</c:v>
                </c:pt>
                <c:pt idx="22">
                  <c:v>0.3871</c:v>
                </c:pt>
                <c:pt idx="23">
                  <c:v>0.39729999999999999</c:v>
                </c:pt>
                <c:pt idx="24">
                  <c:v>0.40720000000000001</c:v>
                </c:pt>
                <c:pt idx="25">
                  <c:v>0.41699999999999998</c:v>
                </c:pt>
                <c:pt idx="26">
                  <c:v>0.42670000000000002</c:v>
                </c:pt>
                <c:pt idx="27">
                  <c:v>0.43609999999999999</c:v>
                </c:pt>
                <c:pt idx="28">
                  <c:v>0.4456</c:v>
                </c:pt>
                <c:pt idx="29">
                  <c:v>0.45519999999999999</c:v>
                </c:pt>
                <c:pt idx="30">
                  <c:v>0.46450000000000002</c:v>
                </c:pt>
                <c:pt idx="31">
                  <c:v>0.47410000000000002</c:v>
                </c:pt>
                <c:pt idx="32">
                  <c:v>0.48359999999999997</c:v>
                </c:pt>
                <c:pt idx="33">
                  <c:v>0.49330000000000002</c:v>
                </c:pt>
                <c:pt idx="34">
                  <c:v>0.50319999999999998</c:v>
                </c:pt>
                <c:pt idx="35">
                  <c:v>0.51329999999999998</c:v>
                </c:pt>
                <c:pt idx="36">
                  <c:v>0.52370000000000005</c:v>
                </c:pt>
                <c:pt idx="37">
                  <c:v>0.53449999999999998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PT_S58!$F$6</c:f>
              <c:strCache>
                <c:ptCount val="1"/>
                <c:pt idx="0">
                  <c:v>Calc Stress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PT_S58!$A$7:$A$44</c:f>
              <c:numCache>
                <c:formatCode>General</c:formatCode>
                <c:ptCount val="38"/>
                <c:pt idx="0">
                  <c:v>0</c:v>
                </c:pt>
                <c:pt idx="1">
                  <c:v>2.0400000000000001E-2</c:v>
                </c:pt>
                <c:pt idx="2">
                  <c:v>4.2500000000000003E-2</c:v>
                </c:pt>
                <c:pt idx="3">
                  <c:v>6.3700000000000007E-2</c:v>
                </c:pt>
                <c:pt idx="4">
                  <c:v>8.4400000000000003E-2</c:v>
                </c:pt>
                <c:pt idx="5">
                  <c:v>0.105</c:v>
                </c:pt>
                <c:pt idx="6">
                  <c:v>0.12709999999999999</c:v>
                </c:pt>
                <c:pt idx="7">
                  <c:v>0.14799999999999999</c:v>
                </c:pt>
                <c:pt idx="8">
                  <c:v>0.16889999999999999</c:v>
                </c:pt>
                <c:pt idx="9">
                  <c:v>0.19070000000000001</c:v>
                </c:pt>
                <c:pt idx="10">
                  <c:v>0.21299999999999999</c:v>
                </c:pt>
                <c:pt idx="11">
                  <c:v>0.2359</c:v>
                </c:pt>
                <c:pt idx="12">
                  <c:v>0.25719999999999998</c:v>
                </c:pt>
                <c:pt idx="13">
                  <c:v>0.28010000000000002</c:v>
                </c:pt>
                <c:pt idx="14">
                  <c:v>0.30199999999999999</c:v>
                </c:pt>
                <c:pt idx="15">
                  <c:v>0.32400000000000001</c:v>
                </c:pt>
                <c:pt idx="16">
                  <c:v>0.34610000000000002</c:v>
                </c:pt>
                <c:pt idx="17">
                  <c:v>0.36799999999999999</c:v>
                </c:pt>
                <c:pt idx="18">
                  <c:v>0.39079999999999998</c:v>
                </c:pt>
                <c:pt idx="19">
                  <c:v>0.41320000000000001</c:v>
                </c:pt>
                <c:pt idx="20">
                  <c:v>0.43509999999999999</c:v>
                </c:pt>
                <c:pt idx="21">
                  <c:v>0.45789999999999997</c:v>
                </c:pt>
                <c:pt idx="22">
                  <c:v>0.48130000000000001</c:v>
                </c:pt>
                <c:pt idx="23">
                  <c:v>0.50360000000000005</c:v>
                </c:pt>
                <c:pt idx="24">
                  <c:v>0.52649999999999997</c:v>
                </c:pt>
                <c:pt idx="25">
                  <c:v>0.54959999999999998</c:v>
                </c:pt>
                <c:pt idx="26">
                  <c:v>0.57320000000000004</c:v>
                </c:pt>
                <c:pt idx="27">
                  <c:v>0.59499999999999997</c:v>
                </c:pt>
                <c:pt idx="28">
                  <c:v>0.61890000000000001</c:v>
                </c:pt>
                <c:pt idx="29">
                  <c:v>0.6421</c:v>
                </c:pt>
                <c:pt idx="30">
                  <c:v>0.66359999999999997</c:v>
                </c:pt>
                <c:pt idx="31">
                  <c:v>0.68700000000000006</c:v>
                </c:pt>
                <c:pt idx="32">
                  <c:v>0.70940000000000003</c:v>
                </c:pt>
                <c:pt idx="33">
                  <c:v>0.73250000000000004</c:v>
                </c:pt>
                <c:pt idx="34">
                  <c:v>0.75539999999999996</c:v>
                </c:pt>
                <c:pt idx="35">
                  <c:v>0.77800000000000002</c:v>
                </c:pt>
                <c:pt idx="36">
                  <c:v>0.80059999999999998</c:v>
                </c:pt>
                <c:pt idx="37">
                  <c:v>0.82350000000000001</c:v>
                </c:pt>
              </c:numCache>
            </c:numRef>
          </c:xVal>
          <c:yVal>
            <c:numRef>
              <c:f>PT_S58!$F$7:$F$44</c:f>
              <c:numCache>
                <c:formatCode>General</c:formatCode>
                <c:ptCount val="38"/>
                <c:pt idx="0">
                  <c:v>0</c:v>
                </c:pt>
                <c:pt idx="1">
                  <c:v>2.8501860749487219E-2</c:v>
                </c:pt>
                <c:pt idx="2">
                  <c:v>5.7516365921689482E-2</c:v>
                </c:pt>
                <c:pt idx="3">
                  <c:v>8.367836545848123E-2</c:v>
                </c:pt>
                <c:pt idx="4">
                  <c:v>0.107772452603904</c:v>
                </c:pt>
                <c:pt idx="5">
                  <c:v>0.13043770385710637</c:v>
                </c:pt>
                <c:pt idx="6">
                  <c:v>0.15341062309846157</c:v>
                </c:pt>
                <c:pt idx="7">
                  <c:v>0.17395564670897593</c:v>
                </c:pt>
                <c:pt idx="8">
                  <c:v>0.19344062191504102</c:v>
                </c:pt>
                <c:pt idx="9">
                  <c:v>0.21271993139764339</c:v>
                </c:pt>
                <c:pt idx="10">
                  <c:v>0.23142153765995074</c:v>
                </c:pt>
                <c:pt idx="11">
                  <c:v>0.24963627922763909</c:v>
                </c:pt>
                <c:pt idx="12">
                  <c:v>0.26574710286866371</c:v>
                </c:pt>
                <c:pt idx="13">
                  <c:v>0.2822436159241094</c:v>
                </c:pt>
                <c:pt idx="14">
                  <c:v>0.29728166099741632</c:v>
                </c:pt>
                <c:pt idx="15">
                  <c:v>0.31171827098323779</c:v>
                </c:pt>
                <c:pt idx="16">
                  <c:v>0.32559672574132681</c:v>
                </c:pt>
                <c:pt idx="17">
                  <c:v>0.33878135339385729</c:v>
                </c:pt>
                <c:pt idx="18">
                  <c:v>0.35195553216104652</c:v>
                </c:pt>
                <c:pt idx="19">
                  <c:v>0.36439568670206235</c:v>
                </c:pt>
                <c:pt idx="20">
                  <c:v>0.37611772511826908</c:v>
                </c:pt>
                <c:pt idx="21">
                  <c:v>0.38790010958685656</c:v>
                </c:pt>
                <c:pt idx="22">
                  <c:v>0.39958788707073373</c:v>
                </c:pt>
                <c:pt idx="23">
                  <c:v>0.4103831103005004</c:v>
                </c:pt>
                <c:pt idx="24">
                  <c:v>0.42115768814772059</c:v>
                </c:pt>
                <c:pt idx="25">
                  <c:v>0.43174380829276648</c:v>
                </c:pt>
                <c:pt idx="26">
                  <c:v>0.44230360892522291</c:v>
                </c:pt>
                <c:pt idx="27">
                  <c:v>0.45186086174662626</c:v>
                </c:pt>
                <c:pt idx="28">
                  <c:v>0.46215629588518375</c:v>
                </c:pt>
                <c:pt idx="29">
                  <c:v>0.47200175662424276</c:v>
                </c:pt>
                <c:pt idx="30">
                  <c:v>0.48102456177295688</c:v>
                </c:pt>
                <c:pt idx="31">
                  <c:v>0.4907654071497477</c:v>
                </c:pt>
                <c:pt idx="32">
                  <c:v>0.50004239250299265</c:v>
                </c:pt>
                <c:pt idx="33">
                  <c:v>0.50959157658931065</c:v>
                </c:pt>
                <c:pt idx="34">
                  <c:v>0.51907102167415342</c:v>
                </c:pt>
                <c:pt idx="35">
                  <c:v>0.52846883582027526</c:v>
                </c:pt>
                <c:pt idx="36">
                  <c:v>0.53793838988481613</c:v>
                </c:pt>
                <c:pt idx="37">
                  <c:v>0.54763689934809967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23136"/>
        <c:axId val="165562624"/>
      </c:scatterChart>
      <c:valAx>
        <c:axId val="16212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Eng. Strain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5562624"/>
        <c:crosses val="autoZero"/>
        <c:crossBetween val="midCat"/>
      </c:valAx>
      <c:valAx>
        <c:axId val="165562624"/>
        <c:scaling>
          <c:orientation val="minMax"/>
          <c:max val="0.8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Eng. Stress (MPa)</a:t>
                </a:r>
              </a:p>
            </c:rich>
          </c:tx>
          <c:layout>
            <c:manualLayout>
              <c:xMode val="edge"/>
              <c:yMode val="edge"/>
              <c:x val="2.7397033761936151E-2"/>
              <c:y val="0.291325328069151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21231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127107116201743"/>
          <c:y val="0.11248583268364919"/>
          <c:w val="0.27549612800862977"/>
          <c:h val="0.12778642435777399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Uniaxial Response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032995725792767"/>
          <c:y val="1.5860999831161456E-2"/>
          <c:w val="0.78480219093943404"/>
          <c:h val="0.84253830844243893"/>
        </c:manualLayout>
      </c:layout>
      <c:scatterChart>
        <c:scatterStyle val="lineMarker"/>
        <c:varyColors val="0"/>
        <c:ser>
          <c:idx val="0"/>
          <c:order val="0"/>
          <c:tx>
            <c:v>DATA- 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xVal>
            <c:numRef>
              <c:f>ST_S58!$A$7:$A$49</c:f>
              <c:numCache>
                <c:formatCode>0.0000</c:formatCode>
                <c:ptCount val="43"/>
                <c:pt idx="0" formatCode="General">
                  <c:v>0</c:v>
                </c:pt>
                <c:pt idx="1">
                  <c:v>1.8599999999999998E-2</c:v>
                </c:pt>
                <c:pt idx="2">
                  <c:v>3.7199999999999997E-2</c:v>
                </c:pt>
                <c:pt idx="3">
                  <c:v>5.7500000000000002E-2</c:v>
                </c:pt>
                <c:pt idx="4">
                  <c:v>7.7700000000000005E-2</c:v>
                </c:pt>
                <c:pt idx="5">
                  <c:v>9.74E-2</c:v>
                </c:pt>
                <c:pt idx="6">
                  <c:v>0.1172</c:v>
                </c:pt>
                <c:pt idx="7">
                  <c:v>0.13739999999999999</c:v>
                </c:pt>
                <c:pt idx="8">
                  <c:v>0.15809999999999999</c:v>
                </c:pt>
                <c:pt idx="9">
                  <c:v>0.17780000000000001</c:v>
                </c:pt>
                <c:pt idx="10">
                  <c:v>0.1991</c:v>
                </c:pt>
                <c:pt idx="11">
                  <c:v>0.22020000000000001</c:v>
                </c:pt>
                <c:pt idx="12">
                  <c:v>0.24079999999999999</c:v>
                </c:pt>
                <c:pt idx="13">
                  <c:v>0.26150000000000001</c:v>
                </c:pt>
                <c:pt idx="14">
                  <c:v>0.28260000000000002</c:v>
                </c:pt>
                <c:pt idx="15">
                  <c:v>0.3039</c:v>
                </c:pt>
                <c:pt idx="16">
                  <c:v>0.32519999999999999</c:v>
                </c:pt>
                <c:pt idx="17">
                  <c:v>0.34649999999999997</c:v>
                </c:pt>
                <c:pt idx="18">
                  <c:v>0.36840000000000001</c:v>
                </c:pt>
                <c:pt idx="19">
                  <c:v>0.38969999999999999</c:v>
                </c:pt>
                <c:pt idx="20">
                  <c:v>0.4108</c:v>
                </c:pt>
                <c:pt idx="21">
                  <c:v>0.43130000000000002</c:v>
                </c:pt>
                <c:pt idx="22">
                  <c:v>0.45200000000000001</c:v>
                </c:pt>
                <c:pt idx="23">
                  <c:v>0.47249999999999998</c:v>
                </c:pt>
                <c:pt idx="24">
                  <c:v>0.49390000000000001</c:v>
                </c:pt>
                <c:pt idx="25">
                  <c:v>0.51580000000000004</c:v>
                </c:pt>
                <c:pt idx="26">
                  <c:v>0.53710000000000002</c:v>
                </c:pt>
                <c:pt idx="27">
                  <c:v>0.5575</c:v>
                </c:pt>
                <c:pt idx="28">
                  <c:v>0.57869999999999999</c:v>
                </c:pt>
                <c:pt idx="29">
                  <c:v>0.59960000000000002</c:v>
                </c:pt>
                <c:pt idx="30">
                  <c:v>0.621</c:v>
                </c:pt>
                <c:pt idx="31">
                  <c:v>0.64200000000000002</c:v>
                </c:pt>
                <c:pt idx="32">
                  <c:v>0.66310000000000002</c:v>
                </c:pt>
                <c:pt idx="33">
                  <c:v>0.68489999999999995</c:v>
                </c:pt>
                <c:pt idx="34">
                  <c:v>0.70599999999999996</c:v>
                </c:pt>
                <c:pt idx="35">
                  <c:v>0.72709999999999997</c:v>
                </c:pt>
                <c:pt idx="36">
                  <c:v>0.74829999999999997</c:v>
                </c:pt>
                <c:pt idx="37">
                  <c:v>0.76919999999999999</c:v>
                </c:pt>
                <c:pt idx="38">
                  <c:v>0.79039999999999999</c:v>
                </c:pt>
                <c:pt idx="39">
                  <c:v>0.81120000000000003</c:v>
                </c:pt>
                <c:pt idx="40">
                  <c:v>0.83199999999999996</c:v>
                </c:pt>
                <c:pt idx="41">
                  <c:v>0.85329999999999995</c:v>
                </c:pt>
                <c:pt idx="42">
                  <c:v>0.873</c:v>
                </c:pt>
              </c:numCache>
            </c:numRef>
          </c:xVal>
          <c:yVal>
            <c:numRef>
              <c:f>ST_S58!$B$7:$B$49</c:f>
              <c:numCache>
                <c:formatCode>0.0000</c:formatCode>
                <c:ptCount val="43"/>
                <c:pt idx="0" formatCode="General">
                  <c:v>0</c:v>
                </c:pt>
                <c:pt idx="1">
                  <c:v>2.81E-2</c:v>
                </c:pt>
                <c:pt idx="2">
                  <c:v>5.1499999999999997E-2</c:v>
                </c:pt>
                <c:pt idx="3">
                  <c:v>7.1599999999999997E-2</c:v>
                </c:pt>
                <c:pt idx="4">
                  <c:v>9.06E-2</c:v>
                </c:pt>
                <c:pt idx="5">
                  <c:v>0.1085</c:v>
                </c:pt>
                <c:pt idx="6">
                  <c:v>0.12540000000000001</c:v>
                </c:pt>
                <c:pt idx="7">
                  <c:v>0.1414</c:v>
                </c:pt>
                <c:pt idx="8">
                  <c:v>0.15659999999999999</c:v>
                </c:pt>
                <c:pt idx="9">
                  <c:v>0.17180000000000001</c:v>
                </c:pt>
                <c:pt idx="10">
                  <c:v>0.18479999999999999</c:v>
                </c:pt>
                <c:pt idx="11">
                  <c:v>0.19850000000000001</c:v>
                </c:pt>
                <c:pt idx="12">
                  <c:v>0.21099999999999999</c:v>
                </c:pt>
                <c:pt idx="13">
                  <c:v>0.22289999999999999</c:v>
                </c:pt>
                <c:pt idx="14">
                  <c:v>0.23480000000000001</c:v>
                </c:pt>
                <c:pt idx="15">
                  <c:v>0.2457</c:v>
                </c:pt>
                <c:pt idx="16">
                  <c:v>0.25719999999999998</c:v>
                </c:pt>
                <c:pt idx="17">
                  <c:v>0.2671</c:v>
                </c:pt>
                <c:pt idx="18">
                  <c:v>0.2772</c:v>
                </c:pt>
                <c:pt idx="19">
                  <c:v>0.28699999999999998</c:v>
                </c:pt>
                <c:pt idx="20">
                  <c:v>0.29670000000000002</c:v>
                </c:pt>
                <c:pt idx="21">
                  <c:v>0.30599999999999999</c:v>
                </c:pt>
                <c:pt idx="22">
                  <c:v>0.31519999999999998</c:v>
                </c:pt>
                <c:pt idx="23">
                  <c:v>0.3246</c:v>
                </c:pt>
                <c:pt idx="24">
                  <c:v>0.3332</c:v>
                </c:pt>
                <c:pt idx="25">
                  <c:v>0.34150000000000003</c:v>
                </c:pt>
                <c:pt idx="26">
                  <c:v>0.35010000000000002</c:v>
                </c:pt>
                <c:pt idx="27">
                  <c:v>0.35830000000000001</c:v>
                </c:pt>
                <c:pt idx="28">
                  <c:v>0.36659999999999998</c:v>
                </c:pt>
                <c:pt idx="29">
                  <c:v>0.37459999999999999</c:v>
                </c:pt>
                <c:pt idx="30">
                  <c:v>0.38329999999999997</c:v>
                </c:pt>
                <c:pt idx="31">
                  <c:v>0.39119999999999999</c:v>
                </c:pt>
                <c:pt idx="32">
                  <c:v>0.40010000000000001</c:v>
                </c:pt>
                <c:pt idx="33">
                  <c:v>0.4083</c:v>
                </c:pt>
                <c:pt idx="34">
                  <c:v>0.41720000000000002</c:v>
                </c:pt>
                <c:pt idx="35">
                  <c:v>0.4254</c:v>
                </c:pt>
                <c:pt idx="36">
                  <c:v>0.43380000000000002</c:v>
                </c:pt>
                <c:pt idx="37">
                  <c:v>0.44259999999999999</c:v>
                </c:pt>
                <c:pt idx="38">
                  <c:v>0.45100000000000001</c:v>
                </c:pt>
                <c:pt idx="39">
                  <c:v>0.46050000000000002</c:v>
                </c:pt>
                <c:pt idx="40">
                  <c:v>0.46949999999999997</c:v>
                </c:pt>
                <c:pt idx="41">
                  <c:v>0.47899999999999998</c:v>
                </c:pt>
                <c:pt idx="42">
                  <c:v>0.48870000000000002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ST_S58!$F$6</c:f>
              <c:strCache>
                <c:ptCount val="1"/>
                <c:pt idx="0">
                  <c:v>Calc Stress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ST_S58!$A$7:$A$49</c:f>
              <c:numCache>
                <c:formatCode>0.0000</c:formatCode>
                <c:ptCount val="43"/>
                <c:pt idx="0" formatCode="General">
                  <c:v>0</c:v>
                </c:pt>
                <c:pt idx="1">
                  <c:v>1.8599999999999998E-2</c:v>
                </c:pt>
                <c:pt idx="2">
                  <c:v>3.7199999999999997E-2</c:v>
                </c:pt>
                <c:pt idx="3">
                  <c:v>5.7500000000000002E-2</c:v>
                </c:pt>
                <c:pt idx="4">
                  <c:v>7.7700000000000005E-2</c:v>
                </c:pt>
                <c:pt idx="5">
                  <c:v>9.74E-2</c:v>
                </c:pt>
                <c:pt idx="6">
                  <c:v>0.1172</c:v>
                </c:pt>
                <c:pt idx="7">
                  <c:v>0.13739999999999999</c:v>
                </c:pt>
                <c:pt idx="8">
                  <c:v>0.15809999999999999</c:v>
                </c:pt>
                <c:pt idx="9">
                  <c:v>0.17780000000000001</c:v>
                </c:pt>
                <c:pt idx="10">
                  <c:v>0.1991</c:v>
                </c:pt>
                <c:pt idx="11">
                  <c:v>0.22020000000000001</c:v>
                </c:pt>
                <c:pt idx="12">
                  <c:v>0.24079999999999999</c:v>
                </c:pt>
                <c:pt idx="13">
                  <c:v>0.26150000000000001</c:v>
                </c:pt>
                <c:pt idx="14">
                  <c:v>0.28260000000000002</c:v>
                </c:pt>
                <c:pt idx="15">
                  <c:v>0.3039</c:v>
                </c:pt>
                <c:pt idx="16">
                  <c:v>0.32519999999999999</c:v>
                </c:pt>
                <c:pt idx="17">
                  <c:v>0.34649999999999997</c:v>
                </c:pt>
                <c:pt idx="18">
                  <c:v>0.36840000000000001</c:v>
                </c:pt>
                <c:pt idx="19">
                  <c:v>0.38969999999999999</c:v>
                </c:pt>
                <c:pt idx="20">
                  <c:v>0.4108</c:v>
                </c:pt>
                <c:pt idx="21">
                  <c:v>0.43130000000000002</c:v>
                </c:pt>
                <c:pt idx="22">
                  <c:v>0.45200000000000001</c:v>
                </c:pt>
                <c:pt idx="23">
                  <c:v>0.47249999999999998</c:v>
                </c:pt>
                <c:pt idx="24">
                  <c:v>0.49390000000000001</c:v>
                </c:pt>
                <c:pt idx="25">
                  <c:v>0.51580000000000004</c:v>
                </c:pt>
                <c:pt idx="26">
                  <c:v>0.53710000000000002</c:v>
                </c:pt>
                <c:pt idx="27">
                  <c:v>0.5575</c:v>
                </c:pt>
                <c:pt idx="28">
                  <c:v>0.57869999999999999</c:v>
                </c:pt>
                <c:pt idx="29">
                  <c:v>0.59960000000000002</c:v>
                </c:pt>
                <c:pt idx="30">
                  <c:v>0.621</c:v>
                </c:pt>
                <c:pt idx="31">
                  <c:v>0.64200000000000002</c:v>
                </c:pt>
                <c:pt idx="32">
                  <c:v>0.66310000000000002</c:v>
                </c:pt>
                <c:pt idx="33">
                  <c:v>0.68489999999999995</c:v>
                </c:pt>
                <c:pt idx="34">
                  <c:v>0.70599999999999996</c:v>
                </c:pt>
                <c:pt idx="35">
                  <c:v>0.72709999999999997</c:v>
                </c:pt>
                <c:pt idx="36">
                  <c:v>0.74829999999999997</c:v>
                </c:pt>
                <c:pt idx="37">
                  <c:v>0.76919999999999999</c:v>
                </c:pt>
                <c:pt idx="38">
                  <c:v>0.79039999999999999</c:v>
                </c:pt>
                <c:pt idx="39">
                  <c:v>0.81120000000000003</c:v>
                </c:pt>
                <c:pt idx="40">
                  <c:v>0.83199999999999996</c:v>
                </c:pt>
                <c:pt idx="41">
                  <c:v>0.85329999999999995</c:v>
                </c:pt>
                <c:pt idx="42">
                  <c:v>0.873</c:v>
                </c:pt>
              </c:numCache>
            </c:numRef>
          </c:xVal>
          <c:yVal>
            <c:numRef>
              <c:f>ST_S58!$F$7:$F$49</c:f>
              <c:numCache>
                <c:formatCode>0.000000</c:formatCode>
                <c:ptCount val="43"/>
                <c:pt idx="0" formatCode="General">
                  <c:v>0</c:v>
                </c:pt>
                <c:pt idx="1">
                  <c:v>1.97212933921567E-2</c:v>
                </c:pt>
                <c:pt idx="2">
                  <c:v>3.8735794306820476E-2</c:v>
                </c:pt>
                <c:pt idx="3">
                  <c:v>5.8725703833896976E-2</c:v>
                </c:pt>
                <c:pt idx="4">
                  <c:v>7.7870592663659199E-2</c:v>
                </c:pt>
                <c:pt idx="5">
                  <c:v>9.5863551011725917E-2</c:v>
                </c:pt>
                <c:pt idx="6">
                  <c:v>0.11330904087839506</c:v>
                </c:pt>
                <c:pt idx="7">
                  <c:v>0.13048142758481907</c:v>
                </c:pt>
                <c:pt idx="8">
                  <c:v>0.14745760497113547</c:v>
                </c:pt>
                <c:pt idx="9">
                  <c:v>0.16305964112872992</c:v>
                </c:pt>
                <c:pt idx="10">
                  <c:v>0.17935231787600145</c:v>
                </c:pt>
                <c:pt idx="11">
                  <c:v>0.19493182272267096</c:v>
                </c:pt>
                <c:pt idx="12">
                  <c:v>0.2096322204503997</c:v>
                </c:pt>
                <c:pt idx="13">
                  <c:v>0.22392257052409503</c:v>
                </c:pt>
                <c:pt idx="14">
                  <c:v>0.23801796021750607</c:v>
                </c:pt>
                <c:pt idx="15">
                  <c:v>0.25178977841584022</c:v>
                </c:pt>
                <c:pt idx="16">
                  <c:v>0.26512672435913881</c:v>
                </c:pt>
                <c:pt idx="17">
                  <c:v>0.27805234727770245</c:v>
                </c:pt>
                <c:pt idx="18">
                  <c:v>0.29093707347026782</c:v>
                </c:pt>
                <c:pt idx="19">
                  <c:v>0.30309732969325032</c:v>
                </c:pt>
                <c:pt idx="20">
                  <c:v>0.31480334673384847</c:v>
                </c:pt>
                <c:pt idx="21">
                  <c:v>0.32587150329050446</c:v>
                </c:pt>
                <c:pt idx="22">
                  <c:v>0.33676120046509295</c:v>
                </c:pt>
                <c:pt idx="23">
                  <c:v>0.34727986801485639</c:v>
                </c:pt>
                <c:pt idx="24">
                  <c:v>0.35799705864307863</c:v>
                </c:pt>
                <c:pt idx="25">
                  <c:v>0.36870635424874809</c:v>
                </c:pt>
                <c:pt idx="26">
                  <c:v>0.37889117332775057</c:v>
                </c:pt>
                <c:pt idx="27">
                  <c:v>0.38844969688370712</c:v>
                </c:pt>
                <c:pt idx="28">
                  <c:v>0.39819794314075752</c:v>
                </c:pt>
                <c:pt idx="29">
                  <c:v>0.40764136851021093</c:v>
                </c:pt>
                <c:pt idx="30">
                  <c:v>0.41715765379154618</c:v>
                </c:pt>
                <c:pt idx="31">
                  <c:v>0.42636379644535455</c:v>
                </c:pt>
                <c:pt idx="32">
                  <c:v>0.43550018541533997</c:v>
                </c:pt>
                <c:pt idx="33">
                  <c:v>0.44483964878081217</c:v>
                </c:pt>
                <c:pt idx="34">
                  <c:v>0.45380150304259065</c:v>
                </c:pt>
                <c:pt idx="35">
                  <c:v>0.46270585665143948</c:v>
                </c:pt>
                <c:pt idx="36">
                  <c:v>0.47161359642496964</c:v>
                </c:pt>
                <c:pt idx="37">
                  <c:v>0.48037608556223416</c:v>
                </c:pt>
                <c:pt idx="38">
                  <c:v>0.48926430413305277</c:v>
                </c:pt>
                <c:pt idx="39">
                  <c:v>0.49800391901211638</c:v>
                </c:pt>
                <c:pt idx="40">
                  <c:v>0.50678165203287928</c:v>
                </c:pt>
                <c:pt idx="41">
                  <c:v>0.51583012324056288</c:v>
                </c:pt>
                <c:pt idx="42">
                  <c:v>0.52427088300227076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36864"/>
        <c:axId val="166445440"/>
      </c:scatterChart>
      <c:valAx>
        <c:axId val="16643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Eng. Strain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6445440"/>
        <c:crosses val="autoZero"/>
        <c:crossBetween val="midCat"/>
      </c:valAx>
      <c:valAx>
        <c:axId val="166445440"/>
        <c:scaling>
          <c:orientation val="minMax"/>
          <c:max val="0.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Eng. Stress (MPa)</a:t>
                </a:r>
              </a:p>
            </c:rich>
          </c:tx>
          <c:layout>
            <c:manualLayout>
              <c:xMode val="edge"/>
              <c:yMode val="edge"/>
              <c:x val="1.4585531173454664E-2"/>
              <c:y val="0.2910809916363760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64368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290036296229618"/>
          <c:y val="0.10998426969921758"/>
          <c:w val="0.27549612800862977"/>
          <c:h val="0.12778642435777399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Equi-Biaxial Response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032995725792767"/>
          <c:y val="1.5860999831161456E-2"/>
          <c:w val="0.78480219093943404"/>
          <c:h val="0.84253830844243893"/>
        </c:manualLayout>
      </c:layout>
      <c:scatterChart>
        <c:scatterStyle val="lineMarker"/>
        <c:varyColors val="0"/>
        <c:ser>
          <c:idx val="0"/>
          <c:order val="0"/>
          <c:tx>
            <c:v>DATA - EB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3847D4"/>
              </a:solidFill>
            </c:spPr>
          </c:marker>
          <c:xVal>
            <c:numRef>
              <c:f>EB_S58!$A$7:$A$56</c:f>
              <c:numCache>
                <c:formatCode>0.0000</c:formatCode>
                <c:ptCount val="50"/>
                <c:pt idx="0" formatCode="General">
                  <c:v>0</c:v>
                </c:pt>
                <c:pt idx="1">
                  <c:v>1.46E-2</c:v>
                </c:pt>
                <c:pt idx="2">
                  <c:v>3.04E-2</c:v>
                </c:pt>
                <c:pt idx="3">
                  <c:v>4.5900000000000003E-2</c:v>
                </c:pt>
                <c:pt idx="4">
                  <c:v>6.1600000000000002E-2</c:v>
                </c:pt>
                <c:pt idx="5">
                  <c:v>7.6999999999999999E-2</c:v>
                </c:pt>
                <c:pt idx="6">
                  <c:v>9.2600000000000002E-2</c:v>
                </c:pt>
                <c:pt idx="7">
                  <c:v>0.1081</c:v>
                </c:pt>
                <c:pt idx="8">
                  <c:v>0.1236</c:v>
                </c:pt>
                <c:pt idx="9">
                  <c:v>0.1391</c:v>
                </c:pt>
                <c:pt idx="10">
                  <c:v>0.1547</c:v>
                </c:pt>
                <c:pt idx="11">
                  <c:v>0.17050000000000001</c:v>
                </c:pt>
                <c:pt idx="12">
                  <c:v>0.18629999999999999</c:v>
                </c:pt>
                <c:pt idx="13">
                  <c:v>0.2024</c:v>
                </c:pt>
                <c:pt idx="14">
                  <c:v>0.21840000000000001</c:v>
                </c:pt>
                <c:pt idx="15">
                  <c:v>0.2349</c:v>
                </c:pt>
                <c:pt idx="16">
                  <c:v>0.25169999999999998</c:v>
                </c:pt>
                <c:pt idx="17">
                  <c:v>0.26850000000000002</c:v>
                </c:pt>
                <c:pt idx="18">
                  <c:v>0.28560000000000002</c:v>
                </c:pt>
                <c:pt idx="19">
                  <c:v>0.3029</c:v>
                </c:pt>
                <c:pt idx="20">
                  <c:v>0.32069999999999999</c:v>
                </c:pt>
                <c:pt idx="21">
                  <c:v>0.3387</c:v>
                </c:pt>
                <c:pt idx="22">
                  <c:v>0.3574</c:v>
                </c:pt>
                <c:pt idx="23">
                  <c:v>0.37590000000000001</c:v>
                </c:pt>
                <c:pt idx="24">
                  <c:v>0.39439999999999997</c:v>
                </c:pt>
                <c:pt idx="25">
                  <c:v>0.41320000000000001</c:v>
                </c:pt>
                <c:pt idx="26">
                  <c:v>0.4325</c:v>
                </c:pt>
                <c:pt idx="27">
                  <c:v>0.45250000000000001</c:v>
                </c:pt>
                <c:pt idx="28">
                  <c:v>0.47239999999999999</c:v>
                </c:pt>
                <c:pt idx="29">
                  <c:v>0.49230000000000002</c:v>
                </c:pt>
                <c:pt idx="30">
                  <c:v>0.51229999999999998</c:v>
                </c:pt>
                <c:pt idx="31">
                  <c:v>0.5323</c:v>
                </c:pt>
                <c:pt idx="32">
                  <c:v>0.55259999999999998</c:v>
                </c:pt>
                <c:pt idx="33">
                  <c:v>0.57320000000000004</c:v>
                </c:pt>
                <c:pt idx="34">
                  <c:v>0.59379999999999999</c:v>
                </c:pt>
                <c:pt idx="35">
                  <c:v>0.61370000000000002</c:v>
                </c:pt>
                <c:pt idx="36">
                  <c:v>0.63439999999999996</c:v>
                </c:pt>
                <c:pt idx="37">
                  <c:v>0.65510000000000002</c:v>
                </c:pt>
                <c:pt idx="38">
                  <c:v>0.67549999999999999</c:v>
                </c:pt>
                <c:pt idx="39">
                  <c:v>0.69620000000000004</c:v>
                </c:pt>
                <c:pt idx="40">
                  <c:v>0.71730000000000005</c:v>
                </c:pt>
                <c:pt idx="41">
                  <c:v>0.7379</c:v>
                </c:pt>
                <c:pt idx="42">
                  <c:v>0.75860000000000005</c:v>
                </c:pt>
                <c:pt idx="43">
                  <c:v>0.77959999999999996</c:v>
                </c:pt>
                <c:pt idx="44">
                  <c:v>0.80049999999999999</c:v>
                </c:pt>
                <c:pt idx="45">
                  <c:v>0.82140000000000002</c:v>
                </c:pt>
                <c:pt idx="46">
                  <c:v>0.84189999999999998</c:v>
                </c:pt>
                <c:pt idx="47">
                  <c:v>0.8629</c:v>
                </c:pt>
                <c:pt idx="48">
                  <c:v>0.88370000000000004</c:v>
                </c:pt>
                <c:pt idx="49">
                  <c:v>0.90400000000000003</c:v>
                </c:pt>
              </c:numCache>
            </c:numRef>
          </c:xVal>
          <c:yVal>
            <c:numRef>
              <c:f>EB_S58!$B$7:$B$56</c:f>
              <c:numCache>
                <c:formatCode>0.0000</c:formatCode>
                <c:ptCount val="50"/>
                <c:pt idx="0" formatCode="General">
                  <c:v>0</c:v>
                </c:pt>
                <c:pt idx="1">
                  <c:v>4.2099999999999999E-2</c:v>
                </c:pt>
                <c:pt idx="2">
                  <c:v>7.7700000000000005E-2</c:v>
                </c:pt>
                <c:pt idx="3">
                  <c:v>0.1086</c:v>
                </c:pt>
                <c:pt idx="4">
                  <c:v>0.1361</c:v>
                </c:pt>
                <c:pt idx="5">
                  <c:v>0.1605</c:v>
                </c:pt>
                <c:pt idx="6">
                  <c:v>0.18279999999999999</c:v>
                </c:pt>
                <c:pt idx="7">
                  <c:v>0.2031</c:v>
                </c:pt>
                <c:pt idx="8">
                  <c:v>0.2228</c:v>
                </c:pt>
                <c:pt idx="9">
                  <c:v>0.23960000000000001</c:v>
                </c:pt>
                <c:pt idx="10">
                  <c:v>0.25659999999999999</c:v>
                </c:pt>
                <c:pt idx="11">
                  <c:v>0.27129999999999999</c:v>
                </c:pt>
                <c:pt idx="12">
                  <c:v>0.28689999999999999</c:v>
                </c:pt>
                <c:pt idx="13">
                  <c:v>0.2979</c:v>
                </c:pt>
                <c:pt idx="14">
                  <c:v>0.31169999999999998</c:v>
                </c:pt>
                <c:pt idx="15">
                  <c:v>0.3241</c:v>
                </c:pt>
                <c:pt idx="16">
                  <c:v>0.3367</c:v>
                </c:pt>
                <c:pt idx="17">
                  <c:v>0.34899999999999998</c:v>
                </c:pt>
                <c:pt idx="18">
                  <c:v>0.36070000000000002</c:v>
                </c:pt>
                <c:pt idx="19">
                  <c:v>0.37130000000000002</c:v>
                </c:pt>
                <c:pt idx="20">
                  <c:v>0.38090000000000002</c:v>
                </c:pt>
                <c:pt idx="21">
                  <c:v>0.39179999999999998</c:v>
                </c:pt>
                <c:pt idx="22">
                  <c:v>0.40100000000000002</c:v>
                </c:pt>
                <c:pt idx="23">
                  <c:v>0.41139999999999999</c:v>
                </c:pt>
                <c:pt idx="24">
                  <c:v>0.42099999999999999</c:v>
                </c:pt>
                <c:pt idx="25">
                  <c:v>0.43109999999999998</c:v>
                </c:pt>
                <c:pt idx="26">
                  <c:v>0.44259999999999999</c:v>
                </c:pt>
                <c:pt idx="27">
                  <c:v>0.45079999999999998</c:v>
                </c:pt>
                <c:pt idx="28">
                  <c:v>0.46110000000000001</c:v>
                </c:pt>
                <c:pt idx="29">
                  <c:v>0.47</c:v>
                </c:pt>
                <c:pt idx="30">
                  <c:v>0.48020000000000002</c:v>
                </c:pt>
                <c:pt idx="31">
                  <c:v>0.49049999999999999</c:v>
                </c:pt>
                <c:pt idx="32">
                  <c:v>0.49959999999999999</c:v>
                </c:pt>
                <c:pt idx="33">
                  <c:v>0.51139999999999997</c:v>
                </c:pt>
                <c:pt idx="34">
                  <c:v>0.52139999999999997</c:v>
                </c:pt>
                <c:pt idx="35">
                  <c:v>0.5333</c:v>
                </c:pt>
                <c:pt idx="36">
                  <c:v>0.54479999999999995</c:v>
                </c:pt>
                <c:pt idx="37">
                  <c:v>0.55659999999999998</c:v>
                </c:pt>
                <c:pt idx="38">
                  <c:v>0.56830000000000003</c:v>
                </c:pt>
                <c:pt idx="39">
                  <c:v>0.58030000000000004</c:v>
                </c:pt>
                <c:pt idx="40">
                  <c:v>0.59219999999999995</c:v>
                </c:pt>
                <c:pt idx="41">
                  <c:v>0.60699999999999998</c:v>
                </c:pt>
                <c:pt idx="42">
                  <c:v>0.61809999999999998</c:v>
                </c:pt>
                <c:pt idx="43">
                  <c:v>0.63449999999999995</c:v>
                </c:pt>
                <c:pt idx="44">
                  <c:v>0.64870000000000005</c:v>
                </c:pt>
                <c:pt idx="45">
                  <c:v>0.66559999999999997</c:v>
                </c:pt>
                <c:pt idx="46">
                  <c:v>0.68389999999999995</c:v>
                </c:pt>
                <c:pt idx="47">
                  <c:v>0.70040000000000002</c:v>
                </c:pt>
                <c:pt idx="48">
                  <c:v>0.71909999999999996</c:v>
                </c:pt>
                <c:pt idx="49">
                  <c:v>0.73939999999999995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ST_S58!$F$6</c:f>
              <c:strCache>
                <c:ptCount val="1"/>
                <c:pt idx="0">
                  <c:v>Calc Stress</c:v>
                </c:pt>
              </c:strCache>
            </c:strRef>
          </c:tx>
          <c:spPr>
            <a:ln w="28575">
              <a:solidFill>
                <a:srgbClr val="3847D4"/>
              </a:solidFill>
            </a:ln>
          </c:spPr>
          <c:marker>
            <c:symbol val="none"/>
          </c:marker>
          <c:xVal>
            <c:numRef>
              <c:f>EB_S58!$A$7:$A$56</c:f>
              <c:numCache>
                <c:formatCode>0.0000</c:formatCode>
                <c:ptCount val="50"/>
                <c:pt idx="0" formatCode="General">
                  <c:v>0</c:v>
                </c:pt>
                <c:pt idx="1">
                  <c:v>1.46E-2</c:v>
                </c:pt>
                <c:pt idx="2">
                  <c:v>3.04E-2</c:v>
                </c:pt>
                <c:pt idx="3">
                  <c:v>4.5900000000000003E-2</c:v>
                </c:pt>
                <c:pt idx="4">
                  <c:v>6.1600000000000002E-2</c:v>
                </c:pt>
                <c:pt idx="5">
                  <c:v>7.6999999999999999E-2</c:v>
                </c:pt>
                <c:pt idx="6">
                  <c:v>9.2600000000000002E-2</c:v>
                </c:pt>
                <c:pt idx="7">
                  <c:v>0.1081</c:v>
                </c:pt>
                <c:pt idx="8">
                  <c:v>0.1236</c:v>
                </c:pt>
                <c:pt idx="9">
                  <c:v>0.1391</c:v>
                </c:pt>
                <c:pt idx="10">
                  <c:v>0.1547</c:v>
                </c:pt>
                <c:pt idx="11">
                  <c:v>0.17050000000000001</c:v>
                </c:pt>
                <c:pt idx="12">
                  <c:v>0.18629999999999999</c:v>
                </c:pt>
                <c:pt idx="13">
                  <c:v>0.2024</c:v>
                </c:pt>
                <c:pt idx="14">
                  <c:v>0.21840000000000001</c:v>
                </c:pt>
                <c:pt idx="15">
                  <c:v>0.2349</c:v>
                </c:pt>
                <c:pt idx="16">
                  <c:v>0.25169999999999998</c:v>
                </c:pt>
                <c:pt idx="17">
                  <c:v>0.26850000000000002</c:v>
                </c:pt>
                <c:pt idx="18">
                  <c:v>0.28560000000000002</c:v>
                </c:pt>
                <c:pt idx="19">
                  <c:v>0.3029</c:v>
                </c:pt>
                <c:pt idx="20">
                  <c:v>0.32069999999999999</c:v>
                </c:pt>
                <c:pt idx="21">
                  <c:v>0.3387</c:v>
                </c:pt>
                <c:pt idx="22">
                  <c:v>0.3574</c:v>
                </c:pt>
                <c:pt idx="23">
                  <c:v>0.37590000000000001</c:v>
                </c:pt>
                <c:pt idx="24">
                  <c:v>0.39439999999999997</c:v>
                </c:pt>
                <c:pt idx="25">
                  <c:v>0.41320000000000001</c:v>
                </c:pt>
                <c:pt idx="26">
                  <c:v>0.4325</c:v>
                </c:pt>
                <c:pt idx="27">
                  <c:v>0.45250000000000001</c:v>
                </c:pt>
                <c:pt idx="28">
                  <c:v>0.47239999999999999</c:v>
                </c:pt>
                <c:pt idx="29">
                  <c:v>0.49230000000000002</c:v>
                </c:pt>
                <c:pt idx="30">
                  <c:v>0.51229999999999998</c:v>
                </c:pt>
                <c:pt idx="31">
                  <c:v>0.5323</c:v>
                </c:pt>
                <c:pt idx="32">
                  <c:v>0.55259999999999998</c:v>
                </c:pt>
                <c:pt idx="33">
                  <c:v>0.57320000000000004</c:v>
                </c:pt>
                <c:pt idx="34">
                  <c:v>0.59379999999999999</c:v>
                </c:pt>
                <c:pt idx="35">
                  <c:v>0.61370000000000002</c:v>
                </c:pt>
                <c:pt idx="36">
                  <c:v>0.63439999999999996</c:v>
                </c:pt>
                <c:pt idx="37">
                  <c:v>0.65510000000000002</c:v>
                </c:pt>
                <c:pt idx="38">
                  <c:v>0.67549999999999999</c:v>
                </c:pt>
                <c:pt idx="39">
                  <c:v>0.69620000000000004</c:v>
                </c:pt>
                <c:pt idx="40">
                  <c:v>0.71730000000000005</c:v>
                </c:pt>
                <c:pt idx="41">
                  <c:v>0.7379</c:v>
                </c:pt>
                <c:pt idx="42">
                  <c:v>0.75860000000000005</c:v>
                </c:pt>
                <c:pt idx="43">
                  <c:v>0.77959999999999996</c:v>
                </c:pt>
                <c:pt idx="44">
                  <c:v>0.80049999999999999</c:v>
                </c:pt>
                <c:pt idx="45">
                  <c:v>0.82140000000000002</c:v>
                </c:pt>
                <c:pt idx="46">
                  <c:v>0.84189999999999998</c:v>
                </c:pt>
                <c:pt idx="47">
                  <c:v>0.8629</c:v>
                </c:pt>
                <c:pt idx="48">
                  <c:v>0.88370000000000004</c:v>
                </c:pt>
                <c:pt idx="49">
                  <c:v>0.90400000000000003</c:v>
                </c:pt>
              </c:numCache>
            </c:numRef>
          </c:xVal>
          <c:yVal>
            <c:numRef>
              <c:f>EB_S58!$F$7:$F$56</c:f>
              <c:numCache>
                <c:formatCode>0.000000</c:formatCode>
                <c:ptCount val="50"/>
                <c:pt idx="0" formatCode="General">
                  <c:v>0</c:v>
                </c:pt>
                <c:pt idx="1">
                  <c:v>3.0415052182273056E-2</c:v>
                </c:pt>
                <c:pt idx="2">
                  <c:v>6.0939641977116731E-2</c:v>
                </c:pt>
                <c:pt idx="3">
                  <c:v>8.8664515173348779E-2</c:v>
                </c:pt>
                <c:pt idx="4">
                  <c:v>0.11469037988818749</c:v>
                </c:pt>
                <c:pt idx="5">
                  <c:v>0.13837293707375833</c:v>
                </c:pt>
                <c:pt idx="6">
                  <c:v>0.16065301453571934</c:v>
                </c:pt>
                <c:pt idx="7">
                  <c:v>0.18122668180877646</c:v>
                </c:pt>
                <c:pt idx="8">
                  <c:v>0.20037190240026193</c:v>
                </c:pt>
                <c:pt idx="9">
                  <c:v>0.21820873931976453</c:v>
                </c:pt>
                <c:pt idx="10">
                  <c:v>0.23495204197787148</c:v>
                </c:pt>
                <c:pt idx="11">
                  <c:v>0.25078131683041976</c:v>
                </c:pt>
                <c:pt idx="12">
                  <c:v>0.2655754217741183</c:v>
                </c:pt>
                <c:pt idx="13">
                  <c:v>0.27968273549048467</c:v>
                </c:pt>
                <c:pt idx="14">
                  <c:v>0.29282534824091283</c:v>
                </c:pt>
                <c:pt idx="15">
                  <c:v>0.30555220057188109</c:v>
                </c:pt>
                <c:pt idx="16">
                  <c:v>0.31773620208742914</c:v>
                </c:pt>
                <c:pt idx="17">
                  <c:v>0.32922306298684995</c:v>
                </c:pt>
                <c:pt idx="18">
                  <c:v>0.34028069575887987</c:v>
                </c:pt>
                <c:pt idx="19">
                  <c:v>0.35089552854781775</c:v>
                </c:pt>
                <c:pt idx="20">
                  <c:v>0.36129587011034298</c:v>
                </c:pt>
                <c:pt idx="21">
                  <c:v>0.37135364377618496</c:v>
                </c:pt>
                <c:pt idx="22">
                  <c:v>0.38139376305046924</c:v>
                </c:pt>
                <c:pt idx="23">
                  <c:v>0.39099377527230139</c:v>
                </c:pt>
                <c:pt idx="24">
                  <c:v>0.40033627210648243</c:v>
                </c:pt>
                <c:pt idx="25">
                  <c:v>0.40963812542418282</c:v>
                </c:pt>
                <c:pt idx="26">
                  <c:v>0.41905868423442466</c:v>
                </c:pt>
                <c:pt idx="27">
                  <c:v>0.42875993571798976</c:v>
                </c:pt>
                <c:pt idx="28">
                  <c:v>0.4384269148889377</c:v>
                </c:pt>
                <c:pt idx="29">
                  <c:v>0.44818194279817219</c:v>
                </c:pt>
                <c:pt idx="30">
                  <c:v>0.45814693329085038</c:v>
                </c:pt>
                <c:pt idx="31">
                  <c:v>0.46834400146799693</c:v>
                </c:pt>
                <c:pt idx="32">
                  <c:v>0.47900266609512493</c:v>
                </c:pt>
                <c:pt idx="33">
                  <c:v>0.49020965847389364</c:v>
                </c:pt>
                <c:pt idx="34">
                  <c:v>0.50188358743855588</c:v>
                </c:pt>
                <c:pt idx="35">
                  <c:v>0.51367272695763599</c:v>
                </c:pt>
                <c:pt idx="36">
                  <c:v>0.52654072921160644</c:v>
                </c:pt>
                <c:pt idx="37">
                  <c:v>0.54009805893533314</c:v>
                </c:pt>
                <c:pt idx="38">
                  <c:v>0.55420484377797219</c:v>
                </c:pt>
                <c:pt idx="39">
                  <c:v>0.569348789741012</c:v>
                </c:pt>
                <c:pt idx="40">
                  <c:v>0.58572189693976395</c:v>
                </c:pt>
                <c:pt idx="41">
                  <c:v>0.60269436076304495</c:v>
                </c:pt>
                <c:pt idx="42">
                  <c:v>0.62080739278589414</c:v>
                </c:pt>
                <c:pt idx="43">
                  <c:v>0.64034498546411245</c:v>
                </c:pt>
                <c:pt idx="44">
                  <c:v>0.66103112733220837</c:v>
                </c:pt>
                <c:pt idx="45">
                  <c:v>0.6830365930156862</c:v>
                </c:pt>
                <c:pt idx="46">
                  <c:v>0.70598154367184618</c:v>
                </c:pt>
                <c:pt idx="47">
                  <c:v>0.7309658315399119</c:v>
                </c:pt>
                <c:pt idx="48">
                  <c:v>0.75727194865277703</c:v>
                </c:pt>
                <c:pt idx="49">
                  <c:v>0.78452382330551496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3488"/>
        <c:axId val="190653952"/>
      </c:scatterChart>
      <c:valAx>
        <c:axId val="16662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Eng. Strain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0653952"/>
        <c:crosses val="autoZero"/>
        <c:crossBetween val="midCat"/>
      </c:valAx>
      <c:valAx>
        <c:axId val="190653952"/>
        <c:scaling>
          <c:orientation val="minMax"/>
          <c:max val="0.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Eng. Stress (MPa)</a:t>
                </a:r>
              </a:p>
            </c:rich>
          </c:tx>
          <c:layout>
            <c:manualLayout>
              <c:xMode val="edge"/>
              <c:yMode val="edge"/>
              <c:x val="1.1456785986858026E-2"/>
              <c:y val="0.291325328069151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66234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127107116201743"/>
          <c:y val="0.11248583268364919"/>
          <c:w val="0.27549612800862977"/>
          <c:h val="0.12778642435777399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Planar Response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725033244324579"/>
          <c:y val="2.1375757215236449E-2"/>
          <c:w val="0.78480219093943404"/>
          <c:h val="0.84253830844243893"/>
        </c:manualLayout>
      </c:layout>
      <c:scatterChart>
        <c:scatterStyle val="lineMarker"/>
        <c:varyColors val="0"/>
        <c:ser>
          <c:idx val="0"/>
          <c:order val="0"/>
          <c:tx>
            <c:v>DATA - PT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</c:spPr>
          </c:marker>
          <c:xVal>
            <c:numRef>
              <c:f>PT_S58!$A$7:$A$44</c:f>
              <c:numCache>
                <c:formatCode>General</c:formatCode>
                <c:ptCount val="38"/>
                <c:pt idx="0">
                  <c:v>0</c:v>
                </c:pt>
                <c:pt idx="1">
                  <c:v>2.0400000000000001E-2</c:v>
                </c:pt>
                <c:pt idx="2">
                  <c:v>4.2500000000000003E-2</c:v>
                </c:pt>
                <c:pt idx="3">
                  <c:v>6.3700000000000007E-2</c:v>
                </c:pt>
                <c:pt idx="4">
                  <c:v>8.4400000000000003E-2</c:v>
                </c:pt>
                <c:pt idx="5">
                  <c:v>0.105</c:v>
                </c:pt>
                <c:pt idx="6">
                  <c:v>0.12709999999999999</c:v>
                </c:pt>
                <c:pt idx="7">
                  <c:v>0.14799999999999999</c:v>
                </c:pt>
                <c:pt idx="8">
                  <c:v>0.16889999999999999</c:v>
                </c:pt>
                <c:pt idx="9">
                  <c:v>0.19070000000000001</c:v>
                </c:pt>
                <c:pt idx="10">
                  <c:v>0.21299999999999999</c:v>
                </c:pt>
                <c:pt idx="11">
                  <c:v>0.2359</c:v>
                </c:pt>
                <c:pt idx="12">
                  <c:v>0.25719999999999998</c:v>
                </c:pt>
                <c:pt idx="13">
                  <c:v>0.28010000000000002</c:v>
                </c:pt>
                <c:pt idx="14">
                  <c:v>0.30199999999999999</c:v>
                </c:pt>
                <c:pt idx="15">
                  <c:v>0.32400000000000001</c:v>
                </c:pt>
                <c:pt idx="16">
                  <c:v>0.34610000000000002</c:v>
                </c:pt>
                <c:pt idx="17">
                  <c:v>0.36799999999999999</c:v>
                </c:pt>
                <c:pt idx="18">
                  <c:v>0.39079999999999998</c:v>
                </c:pt>
                <c:pt idx="19">
                  <c:v>0.41320000000000001</c:v>
                </c:pt>
                <c:pt idx="20">
                  <c:v>0.43509999999999999</c:v>
                </c:pt>
                <c:pt idx="21">
                  <c:v>0.45789999999999997</c:v>
                </c:pt>
                <c:pt idx="22">
                  <c:v>0.48130000000000001</c:v>
                </c:pt>
                <c:pt idx="23">
                  <c:v>0.50360000000000005</c:v>
                </c:pt>
                <c:pt idx="24">
                  <c:v>0.52649999999999997</c:v>
                </c:pt>
                <c:pt idx="25">
                  <c:v>0.54959999999999998</c:v>
                </c:pt>
                <c:pt idx="26">
                  <c:v>0.57320000000000004</c:v>
                </c:pt>
                <c:pt idx="27">
                  <c:v>0.59499999999999997</c:v>
                </c:pt>
                <c:pt idx="28">
                  <c:v>0.61890000000000001</c:v>
                </c:pt>
                <c:pt idx="29">
                  <c:v>0.6421</c:v>
                </c:pt>
                <c:pt idx="30">
                  <c:v>0.66359999999999997</c:v>
                </c:pt>
                <c:pt idx="31">
                  <c:v>0.68700000000000006</c:v>
                </c:pt>
                <c:pt idx="32">
                  <c:v>0.70940000000000003</c:v>
                </c:pt>
                <c:pt idx="33">
                  <c:v>0.73250000000000004</c:v>
                </c:pt>
                <c:pt idx="34">
                  <c:v>0.75539999999999996</c:v>
                </c:pt>
                <c:pt idx="35">
                  <c:v>0.77800000000000002</c:v>
                </c:pt>
                <c:pt idx="36">
                  <c:v>0.80059999999999998</c:v>
                </c:pt>
                <c:pt idx="37">
                  <c:v>0.82350000000000001</c:v>
                </c:pt>
              </c:numCache>
            </c:numRef>
          </c:xVal>
          <c:yVal>
            <c:numRef>
              <c:f>PT_S58!$B$7:$B$44</c:f>
              <c:numCache>
                <c:formatCode>General</c:formatCode>
                <c:ptCount val="38"/>
                <c:pt idx="0">
                  <c:v>0</c:v>
                </c:pt>
                <c:pt idx="1">
                  <c:v>3.6900000000000002E-2</c:v>
                </c:pt>
                <c:pt idx="2">
                  <c:v>6.6400000000000001E-2</c:v>
                </c:pt>
                <c:pt idx="3">
                  <c:v>9.2799999999999994E-2</c:v>
                </c:pt>
                <c:pt idx="4">
                  <c:v>0.1174</c:v>
                </c:pt>
                <c:pt idx="5">
                  <c:v>0.1401</c:v>
                </c:pt>
                <c:pt idx="6">
                  <c:v>0.1615</c:v>
                </c:pt>
                <c:pt idx="7">
                  <c:v>0.18160000000000001</c:v>
                </c:pt>
                <c:pt idx="8">
                  <c:v>0.20019999999999999</c:v>
                </c:pt>
                <c:pt idx="9">
                  <c:v>0.218</c:v>
                </c:pt>
                <c:pt idx="10">
                  <c:v>0.23499999999999999</c:v>
                </c:pt>
                <c:pt idx="11">
                  <c:v>0.251</c:v>
                </c:pt>
                <c:pt idx="12">
                  <c:v>0.26629999999999998</c:v>
                </c:pt>
                <c:pt idx="13">
                  <c:v>0.28060000000000002</c:v>
                </c:pt>
                <c:pt idx="14">
                  <c:v>0.29420000000000002</c:v>
                </c:pt>
                <c:pt idx="15">
                  <c:v>0.3075</c:v>
                </c:pt>
                <c:pt idx="16">
                  <c:v>0.32</c:v>
                </c:pt>
                <c:pt idx="17">
                  <c:v>0.3322</c:v>
                </c:pt>
                <c:pt idx="18">
                  <c:v>0.34389999999999998</c:v>
                </c:pt>
                <c:pt idx="19">
                  <c:v>0.35499999999999998</c:v>
                </c:pt>
                <c:pt idx="20">
                  <c:v>0.36609999999999998</c:v>
                </c:pt>
                <c:pt idx="21">
                  <c:v>0.37669999999999998</c:v>
                </c:pt>
                <c:pt idx="22">
                  <c:v>0.3871</c:v>
                </c:pt>
                <c:pt idx="23">
                  <c:v>0.39729999999999999</c:v>
                </c:pt>
                <c:pt idx="24">
                  <c:v>0.40720000000000001</c:v>
                </c:pt>
                <c:pt idx="25">
                  <c:v>0.41699999999999998</c:v>
                </c:pt>
                <c:pt idx="26">
                  <c:v>0.42670000000000002</c:v>
                </c:pt>
                <c:pt idx="27">
                  <c:v>0.43609999999999999</c:v>
                </c:pt>
                <c:pt idx="28">
                  <c:v>0.4456</c:v>
                </c:pt>
                <c:pt idx="29">
                  <c:v>0.45519999999999999</c:v>
                </c:pt>
                <c:pt idx="30">
                  <c:v>0.46450000000000002</c:v>
                </c:pt>
                <c:pt idx="31">
                  <c:v>0.47410000000000002</c:v>
                </c:pt>
                <c:pt idx="32">
                  <c:v>0.48359999999999997</c:v>
                </c:pt>
                <c:pt idx="33">
                  <c:v>0.49330000000000002</c:v>
                </c:pt>
                <c:pt idx="34">
                  <c:v>0.50319999999999998</c:v>
                </c:pt>
                <c:pt idx="35">
                  <c:v>0.51329999999999998</c:v>
                </c:pt>
                <c:pt idx="36">
                  <c:v>0.52370000000000005</c:v>
                </c:pt>
                <c:pt idx="37">
                  <c:v>0.53449999999999998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PT_S58!$F$6</c:f>
              <c:strCache>
                <c:ptCount val="1"/>
                <c:pt idx="0">
                  <c:v>Calc Stress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PT_S58!$A$7:$A$44</c:f>
              <c:numCache>
                <c:formatCode>General</c:formatCode>
                <c:ptCount val="38"/>
                <c:pt idx="0">
                  <c:v>0</c:v>
                </c:pt>
                <c:pt idx="1">
                  <c:v>2.0400000000000001E-2</c:v>
                </c:pt>
                <c:pt idx="2">
                  <c:v>4.2500000000000003E-2</c:v>
                </c:pt>
                <c:pt idx="3">
                  <c:v>6.3700000000000007E-2</c:v>
                </c:pt>
                <c:pt idx="4">
                  <c:v>8.4400000000000003E-2</c:v>
                </c:pt>
                <c:pt idx="5">
                  <c:v>0.105</c:v>
                </c:pt>
                <c:pt idx="6">
                  <c:v>0.12709999999999999</c:v>
                </c:pt>
                <c:pt idx="7">
                  <c:v>0.14799999999999999</c:v>
                </c:pt>
                <c:pt idx="8">
                  <c:v>0.16889999999999999</c:v>
                </c:pt>
                <c:pt idx="9">
                  <c:v>0.19070000000000001</c:v>
                </c:pt>
                <c:pt idx="10">
                  <c:v>0.21299999999999999</c:v>
                </c:pt>
                <c:pt idx="11">
                  <c:v>0.2359</c:v>
                </c:pt>
                <c:pt idx="12">
                  <c:v>0.25719999999999998</c:v>
                </c:pt>
                <c:pt idx="13">
                  <c:v>0.28010000000000002</c:v>
                </c:pt>
                <c:pt idx="14">
                  <c:v>0.30199999999999999</c:v>
                </c:pt>
                <c:pt idx="15">
                  <c:v>0.32400000000000001</c:v>
                </c:pt>
                <c:pt idx="16">
                  <c:v>0.34610000000000002</c:v>
                </c:pt>
                <c:pt idx="17">
                  <c:v>0.36799999999999999</c:v>
                </c:pt>
                <c:pt idx="18">
                  <c:v>0.39079999999999998</c:v>
                </c:pt>
                <c:pt idx="19">
                  <c:v>0.41320000000000001</c:v>
                </c:pt>
                <c:pt idx="20">
                  <c:v>0.43509999999999999</c:v>
                </c:pt>
                <c:pt idx="21">
                  <c:v>0.45789999999999997</c:v>
                </c:pt>
                <c:pt idx="22">
                  <c:v>0.48130000000000001</c:v>
                </c:pt>
                <c:pt idx="23">
                  <c:v>0.50360000000000005</c:v>
                </c:pt>
                <c:pt idx="24">
                  <c:v>0.52649999999999997</c:v>
                </c:pt>
                <c:pt idx="25">
                  <c:v>0.54959999999999998</c:v>
                </c:pt>
                <c:pt idx="26">
                  <c:v>0.57320000000000004</c:v>
                </c:pt>
                <c:pt idx="27">
                  <c:v>0.59499999999999997</c:v>
                </c:pt>
                <c:pt idx="28">
                  <c:v>0.61890000000000001</c:v>
                </c:pt>
                <c:pt idx="29">
                  <c:v>0.6421</c:v>
                </c:pt>
                <c:pt idx="30">
                  <c:v>0.66359999999999997</c:v>
                </c:pt>
                <c:pt idx="31">
                  <c:v>0.68700000000000006</c:v>
                </c:pt>
                <c:pt idx="32">
                  <c:v>0.70940000000000003</c:v>
                </c:pt>
                <c:pt idx="33">
                  <c:v>0.73250000000000004</c:v>
                </c:pt>
                <c:pt idx="34">
                  <c:v>0.75539999999999996</c:v>
                </c:pt>
                <c:pt idx="35">
                  <c:v>0.77800000000000002</c:v>
                </c:pt>
                <c:pt idx="36">
                  <c:v>0.80059999999999998</c:v>
                </c:pt>
                <c:pt idx="37">
                  <c:v>0.82350000000000001</c:v>
                </c:pt>
              </c:numCache>
            </c:numRef>
          </c:xVal>
          <c:yVal>
            <c:numRef>
              <c:f>PT_S58!$F$7:$F$44</c:f>
              <c:numCache>
                <c:formatCode>General</c:formatCode>
                <c:ptCount val="38"/>
                <c:pt idx="0">
                  <c:v>0</c:v>
                </c:pt>
                <c:pt idx="1">
                  <c:v>2.8501860749487219E-2</c:v>
                </c:pt>
                <c:pt idx="2">
                  <c:v>5.7516365921689482E-2</c:v>
                </c:pt>
                <c:pt idx="3">
                  <c:v>8.367836545848123E-2</c:v>
                </c:pt>
                <c:pt idx="4">
                  <c:v>0.107772452603904</c:v>
                </c:pt>
                <c:pt idx="5">
                  <c:v>0.13043770385710637</c:v>
                </c:pt>
                <c:pt idx="6">
                  <c:v>0.15341062309846157</c:v>
                </c:pt>
                <c:pt idx="7">
                  <c:v>0.17395564670897593</c:v>
                </c:pt>
                <c:pt idx="8">
                  <c:v>0.19344062191504102</c:v>
                </c:pt>
                <c:pt idx="9">
                  <c:v>0.21271993139764339</c:v>
                </c:pt>
                <c:pt idx="10">
                  <c:v>0.23142153765995074</c:v>
                </c:pt>
                <c:pt idx="11">
                  <c:v>0.24963627922763909</c:v>
                </c:pt>
                <c:pt idx="12">
                  <c:v>0.26574710286866371</c:v>
                </c:pt>
                <c:pt idx="13">
                  <c:v>0.2822436159241094</c:v>
                </c:pt>
                <c:pt idx="14">
                  <c:v>0.29728166099741632</c:v>
                </c:pt>
                <c:pt idx="15">
                  <c:v>0.31171827098323779</c:v>
                </c:pt>
                <c:pt idx="16">
                  <c:v>0.32559672574132681</c:v>
                </c:pt>
                <c:pt idx="17">
                  <c:v>0.33878135339385729</c:v>
                </c:pt>
                <c:pt idx="18">
                  <c:v>0.35195553216104652</c:v>
                </c:pt>
                <c:pt idx="19">
                  <c:v>0.36439568670206235</c:v>
                </c:pt>
                <c:pt idx="20">
                  <c:v>0.37611772511826908</c:v>
                </c:pt>
                <c:pt idx="21">
                  <c:v>0.38790010958685656</c:v>
                </c:pt>
                <c:pt idx="22">
                  <c:v>0.39958788707073373</c:v>
                </c:pt>
                <c:pt idx="23">
                  <c:v>0.4103831103005004</c:v>
                </c:pt>
                <c:pt idx="24">
                  <c:v>0.42115768814772059</c:v>
                </c:pt>
                <c:pt idx="25">
                  <c:v>0.43174380829276648</c:v>
                </c:pt>
                <c:pt idx="26">
                  <c:v>0.44230360892522291</c:v>
                </c:pt>
                <c:pt idx="27">
                  <c:v>0.45186086174662626</c:v>
                </c:pt>
                <c:pt idx="28">
                  <c:v>0.46215629588518375</c:v>
                </c:pt>
                <c:pt idx="29">
                  <c:v>0.47200175662424276</c:v>
                </c:pt>
                <c:pt idx="30">
                  <c:v>0.48102456177295688</c:v>
                </c:pt>
                <c:pt idx="31">
                  <c:v>0.4907654071497477</c:v>
                </c:pt>
                <c:pt idx="32">
                  <c:v>0.50004239250299265</c:v>
                </c:pt>
                <c:pt idx="33">
                  <c:v>0.50959157658931065</c:v>
                </c:pt>
                <c:pt idx="34">
                  <c:v>0.51907102167415342</c:v>
                </c:pt>
                <c:pt idx="35">
                  <c:v>0.52846883582027526</c:v>
                </c:pt>
                <c:pt idx="36">
                  <c:v>0.53793838988481613</c:v>
                </c:pt>
                <c:pt idx="37">
                  <c:v>0.54763689934809967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3680"/>
        <c:axId val="160509952"/>
      </c:scatterChart>
      <c:valAx>
        <c:axId val="16050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Eng. Strain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0509952"/>
        <c:crosses val="autoZero"/>
        <c:crossBetween val="midCat"/>
      </c:valAx>
      <c:valAx>
        <c:axId val="160509952"/>
        <c:scaling>
          <c:orientation val="minMax"/>
          <c:max val="0.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Eng. Stress (MPa)</a:t>
                </a:r>
              </a:p>
            </c:rich>
          </c:tx>
          <c:layout>
            <c:manualLayout>
              <c:xMode val="edge"/>
              <c:yMode val="edge"/>
              <c:x val="1.3393941043983729E-2"/>
              <c:y val="0.2938268910535835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05036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127107116201743"/>
          <c:y val="0.11248583268364919"/>
          <c:w val="0.27549612800862977"/>
          <c:h val="0.12778642435777399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5" fmlaLink="$K$36" horiz="1" max="100" page="10" val="18"/>
</file>

<file path=xl/ctrlProps/ctrlProp2.xml><?xml version="1.0" encoding="utf-8"?>
<formControlPr xmlns="http://schemas.microsoft.com/office/spreadsheetml/2009/9/main" objectType="Scroll" dx="15" fmlaLink="$K$37" horiz="1" max="100" page="10" val="38"/>
</file>

<file path=xl/ctrlProps/ctrlProp3.xml><?xml version="1.0" encoding="utf-8"?>
<formControlPr xmlns="http://schemas.microsoft.com/office/spreadsheetml/2009/9/main" objectType="Scroll" dx="15" fmlaLink="$K$38" horiz="1" max="100" page="10" val="4"/>
</file>

<file path=xl/ctrlProps/ctrlProp4.xml><?xml version="1.0" encoding="utf-8"?>
<formControlPr xmlns="http://schemas.microsoft.com/office/spreadsheetml/2009/9/main" objectType="Scroll" dx="15" fmlaLink="Plots!$K$36" horiz="1" max="100" page="10" val="18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gif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19051</xdr:colOff>
      <xdr:row>28</xdr:row>
      <xdr:rowOff>123826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352425</xdr:colOff>
          <xdr:row>35</xdr:row>
          <xdr:rowOff>28575</xdr:rowOff>
        </xdr:from>
        <xdr:to>
          <xdr:col>8</xdr:col>
          <xdr:colOff>514350</xdr:colOff>
          <xdr:row>35</xdr:row>
          <xdr:rowOff>228600</xdr:rowOff>
        </xdr:to>
        <xdr:sp macro="" textlink="">
          <xdr:nvSpPr>
            <xdr:cNvPr id="3073" name="Scroll Bar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2</xdr:row>
      <xdr:rowOff>0</xdr:rowOff>
    </xdr:from>
    <xdr:to>
      <xdr:col>19</xdr:col>
      <xdr:colOff>19051</xdr:colOff>
      <xdr:row>28</xdr:row>
      <xdr:rowOff>123826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29</xdr:col>
      <xdr:colOff>19051</xdr:colOff>
      <xdr:row>28</xdr:row>
      <xdr:rowOff>123826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36</xdr:row>
          <xdr:rowOff>57150</xdr:rowOff>
        </xdr:from>
        <xdr:to>
          <xdr:col>8</xdr:col>
          <xdr:colOff>523875</xdr:colOff>
          <xdr:row>36</xdr:row>
          <xdr:rowOff>257175</xdr:rowOff>
        </xdr:to>
        <xdr:sp macro="" textlink="">
          <xdr:nvSpPr>
            <xdr:cNvPr id="3074" name="Scroll Bar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37</xdr:row>
          <xdr:rowOff>85725</xdr:rowOff>
        </xdr:from>
        <xdr:to>
          <xdr:col>8</xdr:col>
          <xdr:colOff>523875</xdr:colOff>
          <xdr:row>37</xdr:row>
          <xdr:rowOff>285750</xdr:rowOff>
        </xdr:to>
        <xdr:sp macro="" textlink="">
          <xdr:nvSpPr>
            <xdr:cNvPr id="3075" name="Scroll Bar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276223</xdr:colOff>
      <xdr:row>6</xdr:row>
      <xdr:rowOff>190499</xdr:rowOff>
    </xdr:from>
    <xdr:to>
      <xdr:col>15</xdr:col>
      <xdr:colOff>704849</xdr:colOff>
      <xdr:row>33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504825</xdr:colOff>
          <xdr:row>5</xdr:row>
          <xdr:rowOff>0</xdr:rowOff>
        </xdr:from>
        <xdr:to>
          <xdr:col>13</xdr:col>
          <xdr:colOff>600075</xdr:colOff>
          <xdr:row>6</xdr:row>
          <xdr:rowOff>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10</xdr:col>
      <xdr:colOff>9525</xdr:colOff>
      <xdr:row>39</xdr:row>
      <xdr:rowOff>19050</xdr:rowOff>
    </xdr:from>
    <xdr:to>
      <xdr:col>13</xdr:col>
      <xdr:colOff>713994</xdr:colOff>
      <xdr:row>41</xdr:row>
      <xdr:rowOff>190431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0" y="7686675"/>
          <a:ext cx="3047619" cy="552381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7</xdr:row>
      <xdr:rowOff>0</xdr:rowOff>
    </xdr:from>
    <xdr:to>
      <xdr:col>15</xdr:col>
      <xdr:colOff>685801</xdr:colOff>
      <xdr:row>33</xdr:row>
      <xdr:rowOff>123826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19050</xdr:colOff>
      <xdr:row>38</xdr:row>
      <xdr:rowOff>0</xdr:rowOff>
    </xdr:from>
    <xdr:to>
      <xdr:col>13</xdr:col>
      <xdr:colOff>599710</xdr:colOff>
      <xdr:row>41</xdr:row>
      <xdr:rowOff>123738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9275" y="7467600"/>
          <a:ext cx="2923810" cy="695238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7</xdr:row>
      <xdr:rowOff>0</xdr:rowOff>
    </xdr:from>
    <xdr:to>
      <xdr:col>15</xdr:col>
      <xdr:colOff>676275</xdr:colOff>
      <xdr:row>33</xdr:row>
      <xdr:rowOff>123826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38</xdr:row>
      <xdr:rowOff>0</xdr:rowOff>
    </xdr:from>
    <xdr:to>
      <xdr:col>13</xdr:col>
      <xdr:colOff>675898</xdr:colOff>
      <xdr:row>41</xdr:row>
      <xdr:rowOff>142786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0225" y="7467600"/>
          <a:ext cx="3019048" cy="714286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19050</xdr:rowOff>
    </xdr:from>
    <xdr:to>
      <xdr:col>19</xdr:col>
      <xdr:colOff>409575</xdr:colOff>
      <xdr:row>29</xdr:row>
      <xdr:rowOff>180714</xdr:rowOff>
    </xdr:to>
    <xdr:pic>
      <xdr:nvPicPr>
        <xdr:cNvPr id="2" name="Picture 1" descr="course_3modes_big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400050"/>
          <a:ext cx="6496050" cy="5305164"/>
        </a:xfrm>
        <a:prstGeom prst="rect">
          <a:avLst/>
        </a:prstGeom>
        <a:noFill/>
        <a:ln w="254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38100</xdr:colOff>
      <xdr:row>21</xdr:row>
      <xdr:rowOff>114301</xdr:rowOff>
    </xdr:from>
    <xdr:to>
      <xdr:col>18</xdr:col>
      <xdr:colOff>86868</xdr:colOff>
      <xdr:row>25</xdr:row>
      <xdr:rowOff>152401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4114801"/>
          <a:ext cx="1877568" cy="8001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EB_S58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T_S58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B_S58" connectionId="1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Yeoh_from_Abaqus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5.xml"/><Relationship Id="rId1" Type="http://schemas.openxmlformats.org/officeDocument/2006/relationships/hyperlink" Target="http://www.axelproducts.com/" TargetMode="External"/><Relationship Id="rId4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38"/>
  <sheetViews>
    <sheetView zoomScale="85" zoomScaleNormal="85" workbookViewId="0">
      <selection activeCell="K42" sqref="K42"/>
    </sheetView>
  </sheetViews>
  <sheetFormatPr defaultRowHeight="23.25" x14ac:dyDescent="0.35"/>
  <cols>
    <col min="1" max="1" width="8.7109375" customWidth="1"/>
    <col min="3" max="3" width="9.140625" customWidth="1"/>
    <col min="5" max="5" width="12.7109375" customWidth="1"/>
    <col min="6" max="6" width="9.140625" customWidth="1"/>
    <col min="10" max="10" width="2.28515625" customWidth="1"/>
    <col min="15" max="15" width="9.140625" style="4" customWidth="1"/>
    <col min="16" max="16" width="11.7109375" customWidth="1"/>
    <col min="17" max="17" width="9.140625" style="4" customWidth="1"/>
    <col min="20" max="20" width="2.85546875" customWidth="1"/>
    <col min="22" max="22" width="9.85546875" bestFit="1" customWidth="1"/>
    <col min="25" max="25" width="9.7109375" customWidth="1"/>
    <col min="26" max="27" width="9.140625" customWidth="1"/>
    <col min="29" max="29" width="11.7109375" customWidth="1"/>
    <col min="30" max="16384" width="9.140625" style="15"/>
  </cols>
  <sheetData>
    <row r="1" spans="1:29" ht="24.95" customHeight="1" x14ac:dyDescent="0.35">
      <c r="A1" s="36" t="s">
        <v>78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3" spans="1:29" ht="15" customHeight="1" x14ac:dyDescent="0.35"/>
    <row r="4" spans="1:29" ht="15" customHeight="1" x14ac:dyDescent="0.35"/>
    <row r="5" spans="1:29" ht="15" customHeight="1" x14ac:dyDescent="0.35"/>
    <row r="6" spans="1:29" ht="15" customHeight="1" x14ac:dyDescent="0.35"/>
    <row r="7" spans="1:29" ht="15" customHeight="1" x14ac:dyDescent="0.35"/>
    <row r="8" spans="1:29" ht="15" customHeight="1" x14ac:dyDescent="0.35"/>
    <row r="9" spans="1:29" ht="15" customHeight="1" x14ac:dyDescent="0.35"/>
    <row r="10" spans="1:29" ht="15" customHeight="1" x14ac:dyDescent="0.35"/>
    <row r="11" spans="1:29" ht="15" customHeight="1" x14ac:dyDescent="0.35"/>
    <row r="12" spans="1:29" ht="15" customHeight="1" x14ac:dyDescent="0.35"/>
    <row r="13" spans="1:29" ht="15" customHeight="1" x14ac:dyDescent="0.35"/>
    <row r="14" spans="1:29" ht="15" customHeight="1" x14ac:dyDescent="0.35"/>
    <row r="15" spans="1:29" ht="15" customHeight="1" x14ac:dyDescent="0.35"/>
    <row r="16" spans="1:29" ht="15" customHeight="1" x14ac:dyDescent="0.35"/>
    <row r="17" spans="3:29" ht="15" customHeight="1" x14ac:dyDescent="0.35"/>
    <row r="18" spans="3:29" ht="15" customHeight="1" x14ac:dyDescent="0.35"/>
    <row r="19" spans="3:29" ht="15" customHeight="1" x14ac:dyDescent="0.35"/>
    <row r="20" spans="3:29" ht="15" customHeight="1" x14ac:dyDescent="0.35"/>
    <row r="21" spans="3:29" ht="15" customHeight="1" x14ac:dyDescent="0.35"/>
    <row r="22" spans="3:29" ht="15" customHeight="1" x14ac:dyDescent="0.35"/>
    <row r="23" spans="3:29" ht="15" customHeight="1" x14ac:dyDescent="0.35"/>
    <row r="24" spans="3:29" ht="15" customHeight="1" x14ac:dyDescent="0.35"/>
    <row r="25" spans="3:29" ht="15" customHeight="1" x14ac:dyDescent="0.35"/>
    <row r="26" spans="3:29" ht="15" customHeight="1" x14ac:dyDescent="0.35"/>
    <row r="27" spans="3:29" ht="15" customHeight="1" x14ac:dyDescent="0.35"/>
    <row r="28" spans="3:29" ht="15" customHeight="1" x14ac:dyDescent="0.35"/>
    <row r="29" spans="3:29" ht="15" customHeight="1" x14ac:dyDescent="0.35"/>
    <row r="31" spans="3:29" ht="20.100000000000001" customHeight="1" x14ac:dyDescent="0.35">
      <c r="D31" s="34" t="s">
        <v>71</v>
      </c>
      <c r="E31" s="27">
        <f>ST_S58!H51</f>
        <v>0.39929441158372969</v>
      </c>
      <c r="F31" s="26"/>
      <c r="G31" s="26"/>
      <c r="H31" s="26"/>
      <c r="I31" s="26"/>
      <c r="J31" s="26"/>
      <c r="K31" s="26"/>
      <c r="N31" s="29"/>
      <c r="O31" s="34" t="s">
        <v>72</v>
      </c>
      <c r="P31" s="27">
        <f>EB_S58!H58</f>
        <v>0.33605534828107919</v>
      </c>
      <c r="Q31" s="26"/>
      <c r="R31" s="26"/>
      <c r="S31" s="26"/>
      <c r="W31" s="26"/>
      <c r="X31" s="34" t="s">
        <v>73</v>
      </c>
      <c r="Y31" s="27">
        <f>PT_S58!H46</f>
        <v>0.11892216620513352</v>
      </c>
      <c r="AB31" s="34" t="s">
        <v>74</v>
      </c>
      <c r="AC31" s="29">
        <f>SUM(E31,P31,Y31)</f>
        <v>0.8542719260699424</v>
      </c>
    </row>
    <row r="32" spans="3:29" ht="15" customHeight="1" x14ac:dyDescent="0.35">
      <c r="C32" s="26"/>
      <c r="E32" s="26"/>
      <c r="F32" s="27"/>
      <c r="G32" s="26"/>
      <c r="H32" s="26"/>
      <c r="I32" s="26"/>
      <c r="J32" s="26"/>
      <c r="K32" s="26"/>
      <c r="L32" s="26"/>
      <c r="M32" s="26"/>
      <c r="O32" s="29"/>
      <c r="P32" s="26"/>
      <c r="Q32" s="27"/>
      <c r="R32" s="26"/>
      <c r="S32" s="26"/>
      <c r="T32" s="26"/>
      <c r="U32" s="26"/>
      <c r="W32" s="26"/>
      <c r="Y32" s="26"/>
      <c r="Z32" s="26"/>
      <c r="AA32" s="27"/>
    </row>
    <row r="33" spans="2:29" ht="20.100000000000001" customHeight="1" x14ac:dyDescent="0.35">
      <c r="B33" s="26"/>
      <c r="D33" s="34" t="s">
        <v>79</v>
      </c>
      <c r="E33" s="27">
        <f>ST_S58!S51</f>
        <v>0.90341149393111386</v>
      </c>
      <c r="F33" s="26"/>
      <c r="G33" s="26"/>
      <c r="H33" s="26"/>
      <c r="I33" s="26"/>
      <c r="J33" s="26"/>
      <c r="K33" s="26"/>
      <c r="L33" s="26"/>
      <c r="N33" s="29"/>
      <c r="O33" s="34" t="s">
        <v>80</v>
      </c>
      <c r="P33" s="27">
        <f>EB_S58!S58</f>
        <v>0.82477086930898136</v>
      </c>
      <c r="Q33" s="26"/>
      <c r="R33" s="26"/>
      <c r="S33" s="26"/>
      <c r="T33" s="26"/>
      <c r="U33" s="26"/>
      <c r="W33" s="26"/>
      <c r="X33" s="34" t="s">
        <v>85</v>
      </c>
      <c r="Y33" s="27">
        <f>PT_S58!S46</f>
        <v>0.3820862908764876</v>
      </c>
      <c r="AB33" s="34" t="s">
        <v>81</v>
      </c>
      <c r="AC33" s="29">
        <f>SUM(E33,P33,Y33)</f>
        <v>2.1102686541165827</v>
      </c>
    </row>
    <row r="34" spans="2:29" ht="15" customHeight="1" x14ac:dyDescent="0.35">
      <c r="C34" s="26"/>
      <c r="E34" s="26"/>
      <c r="F34" s="27"/>
      <c r="G34" s="26"/>
      <c r="H34" s="26"/>
      <c r="I34" s="26"/>
      <c r="J34" s="26"/>
      <c r="K34" s="26"/>
      <c r="L34" s="26"/>
      <c r="M34" s="26"/>
      <c r="O34" s="29"/>
      <c r="P34" s="26"/>
      <c r="Q34" s="27"/>
      <c r="R34" s="26"/>
      <c r="S34" s="26"/>
      <c r="T34" s="26"/>
      <c r="U34" s="26"/>
      <c r="W34" s="26"/>
      <c r="Y34" s="26"/>
      <c r="Z34" s="26"/>
      <c r="AA34" s="27"/>
    </row>
    <row r="35" spans="2:29" ht="24.95" customHeight="1" x14ac:dyDescent="0.35">
      <c r="M35" s="26"/>
      <c r="O35" s="29"/>
      <c r="P35" s="4"/>
      <c r="Q35"/>
    </row>
    <row r="36" spans="2:29" ht="24.95" customHeight="1" x14ac:dyDescent="0.35">
      <c r="D36" s="32" t="s">
        <v>8</v>
      </c>
      <c r="E36" s="29">
        <f>K36/100</f>
        <v>0.18</v>
      </c>
      <c r="K36" s="33">
        <v>18</v>
      </c>
      <c r="M36" s="4"/>
      <c r="N36" s="15" t="s">
        <v>75</v>
      </c>
      <c r="Q36"/>
      <c r="AB36" s="15"/>
      <c r="AC36" s="15"/>
    </row>
    <row r="37" spans="2:29" ht="24.95" customHeight="1" x14ac:dyDescent="0.35">
      <c r="D37" s="32" t="s">
        <v>27</v>
      </c>
      <c r="E37" s="35">
        <f>-0.04+0.08/100*K37</f>
        <v>-9.4620974023178171E-3</v>
      </c>
      <c r="K37" s="33">
        <v>38.172378247102728</v>
      </c>
      <c r="M37" s="4"/>
      <c r="N37" s="31" t="s">
        <v>86</v>
      </c>
      <c r="Q37"/>
      <c r="AB37" s="15"/>
      <c r="AC37" s="15"/>
    </row>
    <row r="38" spans="2:29" ht="24.95" customHeight="1" x14ac:dyDescent="0.35">
      <c r="D38" s="32" t="s">
        <v>26</v>
      </c>
      <c r="E38" s="35">
        <f>0.05*K38/100</f>
        <v>2E-3</v>
      </c>
      <c r="K38" s="33">
        <v>4</v>
      </c>
      <c r="M38" s="4"/>
      <c r="N38" s="31" t="s">
        <v>76</v>
      </c>
      <c r="Q38"/>
      <c r="AB38" s="15"/>
      <c r="AC38" s="15"/>
    </row>
  </sheetData>
  <mergeCells count="1">
    <mergeCell ref="A1:AC1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Scroll Bar 1">
              <controlPr defaultSize="0" autoPict="0">
                <anchor moveWithCells="1">
                  <from>
                    <xdr:col>5</xdr:col>
                    <xdr:colOff>352425</xdr:colOff>
                    <xdr:row>35</xdr:row>
                    <xdr:rowOff>28575</xdr:rowOff>
                  </from>
                  <to>
                    <xdr:col>8</xdr:col>
                    <xdr:colOff>514350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Scroll Bar 2">
              <controlPr defaultSize="0" autoPict="0">
                <anchor moveWithCells="1">
                  <from>
                    <xdr:col>5</xdr:col>
                    <xdr:colOff>342900</xdr:colOff>
                    <xdr:row>36</xdr:row>
                    <xdr:rowOff>57150</xdr:rowOff>
                  </from>
                  <to>
                    <xdr:col>8</xdr:col>
                    <xdr:colOff>523875</xdr:colOff>
                    <xdr:row>36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Scroll Bar 3">
              <controlPr defaultSize="0" autoPict="0">
                <anchor moveWithCells="1">
                  <from>
                    <xdr:col>5</xdr:col>
                    <xdr:colOff>342900</xdr:colOff>
                    <xdr:row>37</xdr:row>
                    <xdr:rowOff>85725</xdr:rowOff>
                  </from>
                  <to>
                    <xdr:col>8</xdr:col>
                    <xdr:colOff>523875</xdr:colOff>
                    <xdr:row>37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S54"/>
  <sheetViews>
    <sheetView workbookViewId="0">
      <selection activeCell="F9" sqref="F9"/>
    </sheetView>
  </sheetViews>
  <sheetFormatPr defaultRowHeight="15" x14ac:dyDescent="0.25"/>
  <cols>
    <col min="1" max="2" width="10.7109375" customWidth="1"/>
    <col min="3" max="3" width="2.7109375" customWidth="1"/>
    <col min="4" max="4" width="8.7109375" customWidth="1"/>
    <col min="5" max="6" width="10.7109375" customWidth="1"/>
    <col min="7" max="7" width="2.7109375" customWidth="1"/>
    <col min="8" max="8" width="10.7109375" customWidth="1"/>
    <col min="9" max="9" width="4.7109375" customWidth="1"/>
    <col min="10" max="14" width="11.7109375" customWidth="1"/>
    <col min="15" max="16" width="12.7109375" customWidth="1"/>
    <col min="17" max="17" width="10.7109375" customWidth="1"/>
    <col min="18" max="18" width="2.7109375" customWidth="1"/>
    <col min="19" max="19" width="10.7109375" customWidth="1"/>
  </cols>
  <sheetData>
    <row r="1" spans="1:19" ht="24.95" customHeight="1" x14ac:dyDescent="0.35">
      <c r="D1" s="15" t="s">
        <v>28</v>
      </c>
      <c r="E1" s="15"/>
    </row>
    <row r="2" spans="1:19" ht="18" customHeight="1" x14ac:dyDescent="0.35">
      <c r="D2" s="15"/>
      <c r="E2" s="15"/>
    </row>
    <row r="3" spans="1:19" ht="15.75" customHeight="1" thickBot="1" x14ac:dyDescent="0.3">
      <c r="A3" s="37" t="s">
        <v>15</v>
      </c>
      <c r="B3" s="38"/>
    </row>
    <row r="4" spans="1:19" ht="15.75" thickBot="1" x14ac:dyDescent="0.3">
      <c r="A4" s="37" t="s">
        <v>9</v>
      </c>
      <c r="B4" s="38"/>
      <c r="H4" s="16" t="s">
        <v>10</v>
      </c>
      <c r="L4" s="12" t="s">
        <v>8</v>
      </c>
      <c r="M4" s="19">
        <f>_C10</f>
        <v>0.18</v>
      </c>
      <c r="Q4" s="16" t="s">
        <v>12</v>
      </c>
      <c r="R4" s="16"/>
      <c r="S4" s="16" t="s">
        <v>12</v>
      </c>
    </row>
    <row r="5" spans="1:19" ht="15.75" x14ac:dyDescent="0.25">
      <c r="A5" s="17" t="s">
        <v>5</v>
      </c>
      <c r="B5" s="18" t="s">
        <v>5</v>
      </c>
      <c r="E5" s="16" t="s">
        <v>24</v>
      </c>
      <c r="F5" s="24" t="s">
        <v>24</v>
      </c>
      <c r="H5" s="16" t="s">
        <v>11</v>
      </c>
      <c r="Q5" s="16" t="s">
        <v>11</v>
      </c>
      <c r="R5" s="16"/>
      <c r="S5" s="16" t="s">
        <v>14</v>
      </c>
    </row>
    <row r="6" spans="1:19" x14ac:dyDescent="0.25">
      <c r="A6" s="17" t="s">
        <v>0</v>
      </c>
      <c r="B6" s="18" t="s">
        <v>1</v>
      </c>
      <c r="D6" s="16" t="s">
        <v>2</v>
      </c>
      <c r="E6" s="16" t="s">
        <v>25</v>
      </c>
      <c r="F6" s="16" t="s">
        <v>3</v>
      </c>
      <c r="H6" s="16" t="s">
        <v>4</v>
      </c>
      <c r="Q6" s="16" t="s">
        <v>4</v>
      </c>
      <c r="R6" s="16"/>
      <c r="S6" s="16" t="s">
        <v>4</v>
      </c>
    </row>
    <row r="7" spans="1:19" x14ac:dyDescent="0.25">
      <c r="A7" s="6">
        <v>0</v>
      </c>
      <c r="B7" s="7">
        <v>0</v>
      </c>
      <c r="D7">
        <f>A7+1</f>
        <v>1</v>
      </c>
      <c r="E7" s="16">
        <f>D7^2+2/D7</f>
        <v>3</v>
      </c>
      <c r="F7" s="16">
        <f t="shared" ref="F7:F49" si="0">2*(D7-1/D7^2)*(_C10+2*_C20*(E7-3)+3*_C30*(E7-3)^2)</f>
        <v>0</v>
      </c>
    </row>
    <row r="8" spans="1:19" x14ac:dyDescent="0.25">
      <c r="A8" s="8">
        <v>1.8599999999999998E-2</v>
      </c>
      <c r="B8" s="9">
        <v>2.81E-2</v>
      </c>
      <c r="D8" s="4">
        <f t="shared" ref="D8:D49" si="1">A8+1</f>
        <v>1.0185999999999999</v>
      </c>
      <c r="E8" s="23">
        <f t="shared" ref="E8:E49" si="2">D8^2+2/D8</f>
        <v>3.0010252452935404</v>
      </c>
      <c r="F8" s="25">
        <f t="shared" si="0"/>
        <v>1.97212933921567E-2</v>
      </c>
      <c r="G8" s="5"/>
      <c r="H8" s="5">
        <f>(1-F8/B8)^2</f>
        <v>8.8908099467226803E-2</v>
      </c>
      <c r="Q8">
        <f>(F8-B8)^2</f>
        <v>7.0202724420316976E-5</v>
      </c>
      <c r="S8" s="13">
        <f>ABS(F8-B8)</f>
        <v>8.3787066078432997E-3</v>
      </c>
    </row>
    <row r="9" spans="1:19" x14ac:dyDescent="0.25">
      <c r="A9" s="8">
        <v>3.7199999999999997E-2</v>
      </c>
      <c r="B9" s="9">
        <v>5.1499999999999997E-2</v>
      </c>
      <c r="D9" s="4">
        <f t="shared" si="1"/>
        <v>1.0371999999999999</v>
      </c>
      <c r="E9" s="23">
        <f t="shared" si="2"/>
        <v>3.004052254963363</v>
      </c>
      <c r="F9" s="25">
        <f t="shared" si="0"/>
        <v>3.8735794306820476E-2</v>
      </c>
      <c r="G9" s="5"/>
      <c r="H9" s="5">
        <f t="shared" ref="H9:H30" si="3">(1-F9/B9)^2</f>
        <v>6.1428955406841949E-2</v>
      </c>
      <c r="Q9">
        <f t="shared" ref="Q9:Q49" si="4">(F9-B9)^2</f>
        <v>1.629249469777965E-4</v>
      </c>
      <c r="S9" s="13">
        <f t="shared" ref="S9:S49" si="5">ABS(F9-B9)</f>
        <v>1.2764205693179521E-2</v>
      </c>
    </row>
    <row r="10" spans="1:19" x14ac:dyDescent="0.25">
      <c r="A10" s="8">
        <v>5.7500000000000002E-2</v>
      </c>
      <c r="B10" s="9">
        <v>7.1599999999999997E-2</v>
      </c>
      <c r="D10" s="4">
        <f t="shared" si="1"/>
        <v>1.0575000000000001</v>
      </c>
      <c r="E10" s="23">
        <f t="shared" si="2"/>
        <v>3.0095592050827422</v>
      </c>
      <c r="F10" s="25">
        <f t="shared" si="0"/>
        <v>5.8725703833896976E-2</v>
      </c>
      <c r="G10" s="5"/>
      <c r="H10" s="5">
        <f t="shared" si="3"/>
        <v>3.2331134673647614E-2</v>
      </c>
      <c r="Q10">
        <f t="shared" si="4"/>
        <v>1.6574750177253492E-4</v>
      </c>
      <c r="S10" s="13">
        <f t="shared" si="5"/>
        <v>1.2874296166103021E-2</v>
      </c>
    </row>
    <row r="11" spans="1:19" x14ac:dyDescent="0.25">
      <c r="A11" s="8">
        <v>7.7700000000000005E-2</v>
      </c>
      <c r="B11" s="9">
        <v>9.06E-2</v>
      </c>
      <c r="D11" s="4">
        <f t="shared" si="1"/>
        <v>1.0777000000000001</v>
      </c>
      <c r="E11" s="23">
        <f t="shared" si="2"/>
        <v>3.0172413170947392</v>
      </c>
      <c r="F11" s="25">
        <f t="shared" si="0"/>
        <v>7.7870592663659199E-2</v>
      </c>
      <c r="G11" s="5"/>
      <c r="H11" s="5">
        <f t="shared" si="3"/>
        <v>1.9740582909921943E-2</v>
      </c>
      <c r="Q11">
        <f t="shared" si="4"/>
        <v>1.6203781113448699E-4</v>
      </c>
      <c r="S11" s="13">
        <f t="shared" si="5"/>
        <v>1.2729407336340801E-2</v>
      </c>
    </row>
    <row r="12" spans="1:19" x14ac:dyDescent="0.25">
      <c r="A12" s="8">
        <v>9.74E-2</v>
      </c>
      <c r="B12" s="9">
        <v>0.1085</v>
      </c>
      <c r="D12" s="4">
        <f t="shared" si="1"/>
        <v>1.0973999999999999</v>
      </c>
      <c r="E12" s="23">
        <f t="shared" si="2"/>
        <v>3.0267762806852563</v>
      </c>
      <c r="F12" s="25">
        <f t="shared" si="0"/>
        <v>9.5863551011725917E-2</v>
      </c>
      <c r="G12" s="5"/>
      <c r="H12" s="5">
        <f t="shared" si="3"/>
        <v>1.3564088685956637E-2</v>
      </c>
      <c r="Q12">
        <f t="shared" si="4"/>
        <v>1.5967984303325307E-4</v>
      </c>
      <c r="S12" s="13">
        <f t="shared" si="5"/>
        <v>1.2636448988274082E-2</v>
      </c>
    </row>
    <row r="13" spans="1:19" x14ac:dyDescent="0.25">
      <c r="A13" s="8">
        <v>0.1172</v>
      </c>
      <c r="B13" s="9">
        <v>0.12540000000000001</v>
      </c>
      <c r="D13" s="4">
        <f t="shared" si="1"/>
        <v>1.1172</v>
      </c>
      <c r="E13" s="23">
        <f t="shared" si="2"/>
        <v>3.0383256001145722</v>
      </c>
      <c r="F13" s="25">
        <f t="shared" si="0"/>
        <v>0.11330904087839506</v>
      </c>
      <c r="G13" s="5"/>
      <c r="H13" s="5">
        <f t="shared" si="3"/>
        <v>9.2966489676621338E-3</v>
      </c>
      <c r="Q13">
        <f t="shared" si="4"/>
        <v>1.4619129248032186E-4</v>
      </c>
      <c r="S13" s="13">
        <f t="shared" si="5"/>
        <v>1.2090959121604947E-2</v>
      </c>
    </row>
    <row r="14" spans="1:19" ht="14.45" x14ac:dyDescent="0.3">
      <c r="A14" s="8">
        <v>0.13739999999999999</v>
      </c>
      <c r="B14" s="9">
        <v>0.1414</v>
      </c>
      <c r="D14" s="4">
        <f t="shared" si="1"/>
        <v>1.1374</v>
      </c>
      <c r="E14" s="23">
        <f t="shared" si="2"/>
        <v>3.0520751025356074</v>
      </c>
      <c r="F14" s="25">
        <f t="shared" si="0"/>
        <v>0.13048142758481907</v>
      </c>
      <c r="G14" s="5"/>
      <c r="H14" s="5">
        <f t="shared" si="3"/>
        <v>5.9625618729631426E-3</v>
      </c>
      <c r="Q14">
        <f t="shared" si="4"/>
        <v>1.1921522358554998E-4</v>
      </c>
      <c r="S14" s="13">
        <f t="shared" si="5"/>
        <v>1.0918572415180933E-2</v>
      </c>
    </row>
    <row r="15" spans="1:19" x14ac:dyDescent="0.25">
      <c r="A15" s="8">
        <v>0.15809999999999999</v>
      </c>
      <c r="B15" s="9">
        <v>0.15659999999999999</v>
      </c>
      <c r="D15" s="4">
        <f t="shared" si="1"/>
        <v>1.1580999999999999</v>
      </c>
      <c r="E15" s="23">
        <f t="shared" si="2"/>
        <v>3.0681621931966152</v>
      </c>
      <c r="F15" s="25">
        <f t="shared" si="0"/>
        <v>0.14745760497113547</v>
      </c>
      <c r="G15" s="5"/>
      <c r="H15" s="5">
        <f t="shared" si="3"/>
        <v>3.4082892884967292E-3</v>
      </c>
      <c r="Q15">
        <f t="shared" si="4"/>
        <v>8.3583386863806685E-5</v>
      </c>
      <c r="S15" s="13">
        <f t="shared" si="5"/>
        <v>9.1423950288645195E-3</v>
      </c>
    </row>
    <row r="16" spans="1:19" x14ac:dyDescent="0.25">
      <c r="A16" s="8">
        <v>0.17780000000000001</v>
      </c>
      <c r="B16" s="9">
        <v>0.17180000000000001</v>
      </c>
      <c r="D16" s="4">
        <f t="shared" si="1"/>
        <v>1.1778</v>
      </c>
      <c r="E16" s="23">
        <f t="shared" si="2"/>
        <v>3.0852940082798437</v>
      </c>
      <c r="F16" s="25">
        <f t="shared" si="0"/>
        <v>0.16305964112872992</v>
      </c>
      <c r="G16" s="5"/>
      <c r="H16" s="5">
        <f t="shared" si="3"/>
        <v>2.5882856855844526E-3</v>
      </c>
      <c r="Q16">
        <f t="shared" si="4"/>
        <v>7.6393873198589714E-5</v>
      </c>
      <c r="S16" s="13">
        <f t="shared" si="5"/>
        <v>8.7403588712700875E-3</v>
      </c>
    </row>
    <row r="17" spans="1:19" x14ac:dyDescent="0.25">
      <c r="A17" s="8">
        <v>0.1991</v>
      </c>
      <c r="B17" s="9">
        <v>0.18479999999999999</v>
      </c>
      <c r="D17" s="4">
        <f t="shared" si="1"/>
        <v>1.1991000000000001</v>
      </c>
      <c r="E17" s="23">
        <f t="shared" si="2"/>
        <v>3.1057584148703192</v>
      </c>
      <c r="F17" s="25">
        <f t="shared" si="0"/>
        <v>0.17935231787600145</v>
      </c>
      <c r="G17" s="5"/>
      <c r="H17" s="5">
        <f t="shared" si="3"/>
        <v>8.6899961243151768E-4</v>
      </c>
      <c r="Q17">
        <f t="shared" si="4"/>
        <v>2.9677240524133275E-5</v>
      </c>
      <c r="S17" s="13">
        <f t="shared" si="5"/>
        <v>5.4476821239985429E-3</v>
      </c>
    </row>
    <row r="18" spans="1:19" x14ac:dyDescent="0.25">
      <c r="A18" s="8">
        <v>0.22020000000000001</v>
      </c>
      <c r="B18" s="9">
        <v>0.19850000000000001</v>
      </c>
      <c r="D18" s="4">
        <f t="shared" si="1"/>
        <v>1.2202</v>
      </c>
      <c r="E18" s="23">
        <f t="shared" si="2"/>
        <v>3.1279636013833798</v>
      </c>
      <c r="F18" s="25">
        <f t="shared" si="0"/>
        <v>0.19493182272267096</v>
      </c>
      <c r="G18" s="5"/>
      <c r="H18" s="5">
        <f t="shared" si="3"/>
        <v>3.231259403320194E-4</v>
      </c>
      <c r="Q18">
        <f t="shared" si="4"/>
        <v>1.2731889082447382E-5</v>
      </c>
      <c r="S18" s="13">
        <f t="shared" si="5"/>
        <v>3.5681772773290543E-3</v>
      </c>
    </row>
    <row r="19" spans="1:19" x14ac:dyDescent="0.25">
      <c r="A19" s="8">
        <v>0.24079999999999999</v>
      </c>
      <c r="B19" s="9">
        <v>0.21099999999999999</v>
      </c>
      <c r="D19" s="4">
        <f t="shared" si="1"/>
        <v>1.2407999999999999</v>
      </c>
      <c r="E19" s="23">
        <f t="shared" si="2"/>
        <v>3.1514479539909734</v>
      </c>
      <c r="F19" s="25">
        <f t="shared" si="0"/>
        <v>0.2096322204503997</v>
      </c>
      <c r="G19" s="5"/>
      <c r="H19" s="5">
        <f t="shared" si="3"/>
        <v>4.2021088841328963E-5</v>
      </c>
      <c r="Q19">
        <f t="shared" si="4"/>
        <v>1.8708208963047867E-6</v>
      </c>
      <c r="S19" s="13">
        <f t="shared" si="5"/>
        <v>1.3677795496002954E-3</v>
      </c>
    </row>
    <row r="20" spans="1:19" x14ac:dyDescent="0.25">
      <c r="A20" s="8">
        <v>0.26150000000000001</v>
      </c>
      <c r="B20" s="9">
        <v>0.22289999999999999</v>
      </c>
      <c r="D20" s="4">
        <f t="shared" si="1"/>
        <v>1.2615000000000001</v>
      </c>
      <c r="E20" s="23">
        <f t="shared" si="2"/>
        <v>3.1767964394569956</v>
      </c>
      <c r="F20" s="25">
        <f t="shared" si="0"/>
        <v>0.22392257052409503</v>
      </c>
      <c r="G20" s="5"/>
      <c r="H20" s="5">
        <f t="shared" si="3"/>
        <v>2.1045846710225905E-5</v>
      </c>
      <c r="Q20">
        <f t="shared" si="4"/>
        <v>1.0456504767480162E-6</v>
      </c>
      <c r="S20" s="13">
        <f t="shared" si="5"/>
        <v>1.0225705240950456E-3</v>
      </c>
    </row>
    <row r="21" spans="1:19" x14ac:dyDescent="0.25">
      <c r="A21" s="8">
        <v>0.28260000000000002</v>
      </c>
      <c r="B21" s="9">
        <v>0.23480000000000001</v>
      </c>
      <c r="D21" s="4">
        <f t="shared" si="1"/>
        <v>1.2826</v>
      </c>
      <c r="E21" s="23">
        <f t="shared" si="2"/>
        <v>3.2043953656447837</v>
      </c>
      <c r="F21" s="25">
        <f t="shared" si="0"/>
        <v>0.23801796021750607</v>
      </c>
      <c r="G21" s="5"/>
      <c r="H21" s="5">
        <f t="shared" si="3"/>
        <v>1.8783008558249017E-4</v>
      </c>
      <c r="Q21">
        <f t="shared" si="4"/>
        <v>1.0355267961451654E-5</v>
      </c>
      <c r="S21" s="13">
        <f t="shared" si="5"/>
        <v>3.2179602175060606E-3</v>
      </c>
    </row>
    <row r="22" spans="1:19" x14ac:dyDescent="0.25">
      <c r="A22" s="8">
        <v>0.3039</v>
      </c>
      <c r="B22" s="9">
        <v>0.2457</v>
      </c>
      <c r="D22" s="4">
        <f t="shared" si="1"/>
        <v>1.3039000000000001</v>
      </c>
      <c r="E22" s="23">
        <f t="shared" si="2"/>
        <v>3.2340151685857812</v>
      </c>
      <c r="F22" s="25">
        <f t="shared" si="0"/>
        <v>0.25178977841584022</v>
      </c>
      <c r="G22" s="5"/>
      <c r="H22" s="5">
        <f t="shared" si="3"/>
        <v>6.1431719021020985E-4</v>
      </c>
      <c r="Q22">
        <f t="shared" si="4"/>
        <v>3.708540115403334E-5</v>
      </c>
      <c r="S22" s="13">
        <f t="shared" si="5"/>
        <v>6.0897784158402135E-3</v>
      </c>
    </row>
    <row r="23" spans="1:19" x14ac:dyDescent="0.25">
      <c r="A23" s="8">
        <v>0.32519999999999999</v>
      </c>
      <c r="B23" s="9">
        <v>0.25719999999999998</v>
      </c>
      <c r="D23" s="4">
        <f t="shared" si="1"/>
        <v>1.3251999999999999</v>
      </c>
      <c r="E23" s="23">
        <f t="shared" si="2"/>
        <v>3.2653611975611225</v>
      </c>
      <c r="F23" s="25">
        <f t="shared" si="0"/>
        <v>0.26512672435913881</v>
      </c>
      <c r="G23" s="5"/>
      <c r="H23" s="5">
        <f t="shared" si="3"/>
        <v>9.4982934814458089E-4</v>
      </c>
      <c r="Q23">
        <f t="shared" si="4"/>
        <v>6.2832959065764831E-5</v>
      </c>
      <c r="S23" s="13">
        <f t="shared" si="5"/>
        <v>7.9267243591388259E-3</v>
      </c>
    </row>
    <row r="24" spans="1:19" x14ac:dyDescent="0.25">
      <c r="A24" s="8">
        <v>0.34649999999999997</v>
      </c>
      <c r="B24" s="9">
        <v>0.2671</v>
      </c>
      <c r="D24" s="4">
        <f t="shared" si="1"/>
        <v>1.3465</v>
      </c>
      <c r="E24" s="23">
        <f t="shared" si="2"/>
        <v>3.2983945931117713</v>
      </c>
      <c r="F24" s="25">
        <f t="shared" si="0"/>
        <v>0.27805234727770245</v>
      </c>
      <c r="G24" s="5"/>
      <c r="H24" s="5">
        <f t="shared" si="3"/>
        <v>1.681382937461685E-3</v>
      </c>
      <c r="Q24">
        <f t="shared" si="4"/>
        <v>1.1995391089139617E-4</v>
      </c>
      <c r="S24" s="13">
        <f t="shared" si="5"/>
        <v>1.0952347277702446E-2</v>
      </c>
    </row>
    <row r="25" spans="1:19" x14ac:dyDescent="0.25">
      <c r="A25" s="8">
        <v>0.36840000000000001</v>
      </c>
      <c r="B25" s="9">
        <v>0.2772</v>
      </c>
      <c r="D25" s="4">
        <f t="shared" si="1"/>
        <v>1.3684000000000001</v>
      </c>
      <c r="E25" s="23">
        <f t="shared" si="2"/>
        <v>3.3340795070914941</v>
      </c>
      <c r="F25" s="25">
        <f t="shared" si="0"/>
        <v>0.29093707347026782</v>
      </c>
      <c r="G25" s="5"/>
      <c r="H25" s="5">
        <f t="shared" si="3"/>
        <v>2.4558508649619279E-3</v>
      </c>
      <c r="Q25">
        <f t="shared" si="4"/>
        <v>1.8870718752753577E-4</v>
      </c>
      <c r="S25" s="13">
        <f t="shared" si="5"/>
        <v>1.3737073470267813E-2</v>
      </c>
    </row>
    <row r="26" spans="1:19" x14ac:dyDescent="0.25">
      <c r="A26" s="8">
        <v>0.38969999999999999</v>
      </c>
      <c r="B26" s="9">
        <v>0.28699999999999998</v>
      </c>
      <c r="D26" s="4">
        <f t="shared" si="1"/>
        <v>1.3896999999999999</v>
      </c>
      <c r="E26" s="23">
        <f t="shared" si="2"/>
        <v>3.3704256208339931</v>
      </c>
      <c r="F26" s="25">
        <f t="shared" si="0"/>
        <v>0.30309732969325032</v>
      </c>
      <c r="G26" s="5"/>
      <c r="H26" s="5">
        <f t="shared" si="3"/>
        <v>3.1458925475992081E-3</v>
      </c>
      <c r="Q26">
        <f t="shared" si="4"/>
        <v>2.5912402325319907E-4</v>
      </c>
      <c r="S26" s="13">
        <f t="shared" si="5"/>
        <v>1.609732969325034E-2</v>
      </c>
    </row>
    <row r="27" spans="1:19" x14ac:dyDescent="0.25">
      <c r="A27" s="8">
        <v>0.4108</v>
      </c>
      <c r="B27" s="9">
        <v>0.29670000000000002</v>
      </c>
      <c r="D27" s="4">
        <f t="shared" si="1"/>
        <v>1.4108000000000001</v>
      </c>
      <c r="E27" s="23">
        <f t="shared" si="2"/>
        <v>3.4079920241791894</v>
      </c>
      <c r="F27" s="25">
        <f t="shared" si="0"/>
        <v>0.31480334673384847</v>
      </c>
      <c r="G27" s="5"/>
      <c r="H27" s="5">
        <f t="shared" si="3"/>
        <v>3.7229109346269378E-3</v>
      </c>
      <c r="Q27">
        <f t="shared" si="4"/>
        <v>3.2773116296594119E-4</v>
      </c>
      <c r="S27" s="13">
        <f t="shared" si="5"/>
        <v>1.8103346733848447E-2</v>
      </c>
    </row>
    <row r="28" spans="1:19" x14ac:dyDescent="0.25">
      <c r="A28" s="8">
        <v>0.43130000000000002</v>
      </c>
      <c r="B28" s="9">
        <v>0.30599999999999999</v>
      </c>
      <c r="D28" s="4">
        <f t="shared" si="1"/>
        <v>1.4313</v>
      </c>
      <c r="E28" s="23">
        <f t="shared" si="2"/>
        <v>3.4459507876035773</v>
      </c>
      <c r="F28" s="25">
        <f t="shared" si="0"/>
        <v>0.32587150329050446</v>
      </c>
      <c r="G28" s="5"/>
      <c r="H28" s="5">
        <f t="shared" si="3"/>
        <v>4.2171455746137258E-3</v>
      </c>
      <c r="Q28">
        <f t="shared" si="4"/>
        <v>3.9487664302452984E-4</v>
      </c>
      <c r="S28" s="13">
        <f t="shared" si="5"/>
        <v>1.9871503290504466E-2</v>
      </c>
    </row>
    <row r="29" spans="1:19" x14ac:dyDescent="0.25">
      <c r="A29" s="8">
        <v>0.45200000000000001</v>
      </c>
      <c r="B29" s="9">
        <v>0.31519999999999998</v>
      </c>
      <c r="D29" s="4">
        <f t="shared" si="1"/>
        <v>1.452</v>
      </c>
      <c r="E29" s="23">
        <f t="shared" si="2"/>
        <v>3.4857144683195593</v>
      </c>
      <c r="F29" s="25">
        <f t="shared" si="0"/>
        <v>0.33676120046509295</v>
      </c>
      <c r="G29" s="5"/>
      <c r="H29" s="5">
        <f t="shared" si="3"/>
        <v>4.6792199205556865E-3</v>
      </c>
      <c r="Q29">
        <f t="shared" si="4"/>
        <v>4.6488536549592514E-4</v>
      </c>
      <c r="S29" s="13">
        <f t="shared" si="5"/>
        <v>2.1561200465092967E-2</v>
      </c>
    </row>
    <row r="30" spans="1:19" x14ac:dyDescent="0.25">
      <c r="A30" s="8">
        <v>0.47249999999999998</v>
      </c>
      <c r="B30" s="9">
        <v>0.3246</v>
      </c>
      <c r="D30" s="4">
        <f t="shared" si="1"/>
        <v>1.4724999999999999</v>
      </c>
      <c r="E30" s="23">
        <f t="shared" si="2"/>
        <v>3.5264905454159594</v>
      </c>
      <c r="F30" s="25">
        <f t="shared" si="0"/>
        <v>0.34727986801485639</v>
      </c>
      <c r="G30" s="5"/>
      <c r="H30" s="5">
        <f t="shared" si="3"/>
        <v>4.8818453193760162E-3</v>
      </c>
      <c r="Q30">
        <f t="shared" si="4"/>
        <v>5.1437641317130574E-4</v>
      </c>
      <c r="S30" s="13">
        <f t="shared" si="5"/>
        <v>2.2679868014856386E-2</v>
      </c>
    </row>
    <row r="31" spans="1:19" x14ac:dyDescent="0.25">
      <c r="A31" s="8">
        <v>0.49390000000000001</v>
      </c>
      <c r="B31" s="9">
        <v>0.3332</v>
      </c>
      <c r="D31" s="4">
        <f t="shared" si="1"/>
        <v>1.4939</v>
      </c>
      <c r="E31" s="23">
        <f t="shared" si="2"/>
        <v>3.5705149059635852</v>
      </c>
      <c r="F31" s="25">
        <f t="shared" si="0"/>
        <v>0.35799705864307863</v>
      </c>
      <c r="G31" s="5"/>
      <c r="H31" s="5">
        <f t="shared" ref="H31:H49" si="6">(1-F31/B31)^2</f>
        <v>5.5384769515394606E-3</v>
      </c>
      <c r="Q31">
        <f t="shared" si="4"/>
        <v>6.1489411734828056E-4</v>
      </c>
      <c r="S31" s="13">
        <f t="shared" si="5"/>
        <v>2.4797058643078629E-2</v>
      </c>
    </row>
    <row r="32" spans="1:19" x14ac:dyDescent="0.25">
      <c r="A32" s="8">
        <v>0.51580000000000004</v>
      </c>
      <c r="B32" s="9">
        <v>0.34150000000000003</v>
      </c>
      <c r="D32" s="4">
        <f t="shared" si="1"/>
        <v>1.5158</v>
      </c>
      <c r="E32" s="23">
        <f t="shared" si="2"/>
        <v>3.6170849216994325</v>
      </c>
      <c r="F32" s="25">
        <f t="shared" si="0"/>
        <v>0.36870635424874809</v>
      </c>
      <c r="G32" s="5"/>
      <c r="H32" s="5">
        <f t="shared" si="6"/>
        <v>6.3468652980745305E-3</v>
      </c>
      <c r="Q32">
        <f t="shared" si="4"/>
        <v>7.4018571150837194E-4</v>
      </c>
      <c r="S32" s="13">
        <f t="shared" si="5"/>
        <v>2.7206354248748066E-2</v>
      </c>
    </row>
    <row r="33" spans="1:19" x14ac:dyDescent="0.25">
      <c r="A33" s="8">
        <v>0.53710000000000002</v>
      </c>
      <c r="B33" s="9">
        <v>0.35010000000000002</v>
      </c>
      <c r="D33" s="4">
        <f t="shared" si="1"/>
        <v>1.5371000000000001</v>
      </c>
      <c r="E33" s="23">
        <f t="shared" si="2"/>
        <v>3.6638279290943991</v>
      </c>
      <c r="F33" s="25">
        <f t="shared" si="0"/>
        <v>0.37889117332775057</v>
      </c>
      <c r="G33" s="5"/>
      <c r="H33" s="5">
        <f t="shared" si="6"/>
        <v>6.7629239941203846E-3</v>
      </c>
      <c r="Q33">
        <f t="shared" si="4"/>
        <v>8.2893166158857481E-4</v>
      </c>
      <c r="S33" s="13">
        <f t="shared" si="5"/>
        <v>2.8791173327750552E-2</v>
      </c>
    </row>
    <row r="34" spans="1:19" x14ac:dyDescent="0.25">
      <c r="A34" s="8">
        <v>0.5575</v>
      </c>
      <c r="B34" s="9">
        <v>0.35830000000000001</v>
      </c>
      <c r="D34" s="4">
        <f t="shared" si="1"/>
        <v>1.5575000000000001</v>
      </c>
      <c r="E34" s="23">
        <f t="shared" si="2"/>
        <v>3.7099153992776888</v>
      </c>
      <c r="F34" s="25">
        <f t="shared" si="0"/>
        <v>0.38844969688370712</v>
      </c>
      <c r="G34" s="5"/>
      <c r="H34" s="5">
        <f t="shared" si="6"/>
        <v>7.0806362493040535E-3</v>
      </c>
      <c r="Q34">
        <f t="shared" si="4"/>
        <v>9.0900422217941824E-4</v>
      </c>
      <c r="S34" s="13">
        <f t="shared" si="5"/>
        <v>3.0149696883707111E-2</v>
      </c>
    </row>
    <row r="35" spans="1:19" x14ac:dyDescent="0.25">
      <c r="A35" s="8">
        <v>0.57869999999999999</v>
      </c>
      <c r="B35" s="9">
        <v>0.36659999999999998</v>
      </c>
      <c r="D35" s="4">
        <f t="shared" si="1"/>
        <v>1.5787</v>
      </c>
      <c r="E35" s="23">
        <f t="shared" si="2"/>
        <v>3.7591588322056122</v>
      </c>
      <c r="F35" s="25">
        <f t="shared" si="0"/>
        <v>0.39819794314075752</v>
      </c>
      <c r="G35" s="5"/>
      <c r="H35" s="5">
        <f t="shared" si="6"/>
        <v>7.4290401463154541E-3</v>
      </c>
      <c r="Q35">
        <f t="shared" si="4"/>
        <v>9.9843001072654619E-4</v>
      </c>
      <c r="S35" s="13">
        <f t="shared" si="5"/>
        <v>3.1597943140757534E-2</v>
      </c>
    </row>
    <row r="36" spans="1:19" x14ac:dyDescent="0.25">
      <c r="A36" s="8">
        <v>0.59960000000000002</v>
      </c>
      <c r="B36" s="9">
        <v>0.37459999999999999</v>
      </c>
      <c r="D36" s="4">
        <f t="shared" si="1"/>
        <v>1.5996000000000001</v>
      </c>
      <c r="E36" s="23">
        <f t="shared" si="2"/>
        <v>3.8090327381445368</v>
      </c>
      <c r="F36" s="25">
        <f t="shared" si="0"/>
        <v>0.40764136851021093</v>
      </c>
      <c r="G36" s="5"/>
      <c r="H36" s="5">
        <f t="shared" si="6"/>
        <v>7.7800163066092855E-3</v>
      </c>
      <c r="Q36">
        <f t="shared" si="4"/>
        <v>1.0917320330275594E-3</v>
      </c>
      <c r="S36" s="13">
        <f t="shared" si="5"/>
        <v>3.3041368510210944E-2</v>
      </c>
    </row>
    <row r="37" spans="1:19" ht="18.75" x14ac:dyDescent="0.25">
      <c r="A37" s="8">
        <v>0.621</v>
      </c>
      <c r="B37" s="9">
        <v>0.38329999999999997</v>
      </c>
      <c r="D37" s="4">
        <f t="shared" si="1"/>
        <v>1.621</v>
      </c>
      <c r="E37" s="23">
        <f t="shared" si="2"/>
        <v>3.8614472924120915</v>
      </c>
      <c r="F37" s="25">
        <f t="shared" si="0"/>
        <v>0.41715765379154618</v>
      </c>
      <c r="G37" s="5"/>
      <c r="H37" s="5">
        <f t="shared" si="6"/>
        <v>7.8025413904788087E-3</v>
      </c>
      <c r="J37" s="2" t="s">
        <v>6</v>
      </c>
      <c r="Q37">
        <f t="shared" si="4"/>
        <v>1.1463407202682032E-3</v>
      </c>
      <c r="S37" s="13">
        <f t="shared" si="5"/>
        <v>3.3857653791546205E-2</v>
      </c>
    </row>
    <row r="38" spans="1:19" ht="15.75" x14ac:dyDescent="0.25">
      <c r="A38" s="8">
        <v>0.64200000000000002</v>
      </c>
      <c r="B38" s="9">
        <v>0.39119999999999999</v>
      </c>
      <c r="D38" s="4">
        <f t="shared" si="1"/>
        <v>1.6419999999999999</v>
      </c>
      <c r="E38" s="23">
        <f t="shared" si="2"/>
        <v>3.9141907965895246</v>
      </c>
      <c r="F38" s="25">
        <f t="shared" si="0"/>
        <v>0.42636379644535455</v>
      </c>
      <c r="G38" s="5"/>
      <c r="H38" s="5">
        <f t="shared" si="6"/>
        <v>8.0796737089324812E-3</v>
      </c>
      <c r="J38" s="3" t="s">
        <v>7</v>
      </c>
      <c r="Q38">
        <f t="shared" si="4"/>
        <v>1.2364925804503298E-3</v>
      </c>
      <c r="S38" s="13">
        <f t="shared" si="5"/>
        <v>3.5163796445354556E-2</v>
      </c>
    </row>
    <row r="39" spans="1:19" x14ac:dyDescent="0.25">
      <c r="A39" s="8">
        <v>0.66310000000000002</v>
      </c>
      <c r="B39" s="9">
        <v>0.40010000000000001</v>
      </c>
      <c r="D39" s="4">
        <f t="shared" si="1"/>
        <v>1.6631</v>
      </c>
      <c r="E39" s="23">
        <f t="shared" si="2"/>
        <v>3.9684751173056343</v>
      </c>
      <c r="F39" s="25">
        <f t="shared" si="0"/>
        <v>0.43550018541533997</v>
      </c>
      <c r="G39" s="5"/>
      <c r="H39" s="5">
        <f t="shared" si="6"/>
        <v>7.8284173485524307E-3</v>
      </c>
      <c r="Q39">
        <f t="shared" si="4"/>
        <v>1.2531731274404477E-3</v>
      </c>
      <c r="S39" s="13">
        <f t="shared" si="5"/>
        <v>3.5400185415339958E-2</v>
      </c>
    </row>
    <row r="40" spans="1:19" x14ac:dyDescent="0.25">
      <c r="A40" s="8">
        <v>0.68489999999999995</v>
      </c>
      <c r="B40" s="9">
        <v>0.4083</v>
      </c>
      <c r="D40" s="4">
        <f t="shared" si="1"/>
        <v>1.6848999999999998</v>
      </c>
      <c r="E40" s="23">
        <f t="shared" si="2"/>
        <v>4.025902076116683</v>
      </c>
      <c r="F40" s="25">
        <f t="shared" si="0"/>
        <v>0.44483964878081217</v>
      </c>
      <c r="G40" s="5"/>
      <c r="H40" s="5">
        <f t="shared" si="6"/>
        <v>8.0088466369436541E-3</v>
      </c>
      <c r="Q40">
        <f t="shared" si="4"/>
        <v>1.3351459330251086E-3</v>
      </c>
      <c r="S40" s="13">
        <f t="shared" si="5"/>
        <v>3.6539648780812173E-2</v>
      </c>
    </row>
    <row r="41" spans="1:19" x14ac:dyDescent="0.25">
      <c r="A41" s="8">
        <v>0.70599999999999996</v>
      </c>
      <c r="B41" s="9">
        <v>0.41720000000000002</v>
      </c>
      <c r="D41" s="4">
        <f t="shared" si="1"/>
        <v>1.706</v>
      </c>
      <c r="E41" s="23">
        <f t="shared" si="2"/>
        <v>4.0827689425556857</v>
      </c>
      <c r="F41" s="25">
        <f t="shared" si="0"/>
        <v>0.45380150304259065</v>
      </c>
      <c r="G41" s="5"/>
      <c r="H41" s="5">
        <f t="shared" si="6"/>
        <v>7.6967829690561896E-3</v>
      </c>
      <c r="Q41">
        <f t="shared" si="4"/>
        <v>1.3396700249767714E-3</v>
      </c>
      <c r="S41" s="13">
        <f t="shared" si="5"/>
        <v>3.6601503042590633E-2</v>
      </c>
    </row>
    <row r="42" spans="1:19" x14ac:dyDescent="0.25">
      <c r="A42" s="8">
        <v>0.72709999999999997</v>
      </c>
      <c r="B42" s="9">
        <v>0.4254</v>
      </c>
      <c r="D42" s="4">
        <f t="shared" si="1"/>
        <v>1.7271000000000001</v>
      </c>
      <c r="E42" s="23">
        <f t="shared" si="2"/>
        <v>4.1408849478958949</v>
      </c>
      <c r="F42" s="25">
        <f t="shared" si="0"/>
        <v>0.46270585665143948</v>
      </c>
      <c r="G42" s="5"/>
      <c r="H42" s="5">
        <f t="shared" si="6"/>
        <v>7.6905794490925699E-3</v>
      </c>
      <c r="Q42">
        <f t="shared" si="4"/>
        <v>1.3917269404977515E-3</v>
      </c>
      <c r="S42" s="13">
        <f t="shared" si="5"/>
        <v>3.7305856651439484E-2</v>
      </c>
    </row>
    <row r="43" spans="1:19" x14ac:dyDescent="0.25">
      <c r="A43" s="8">
        <v>0.74829999999999997</v>
      </c>
      <c r="B43" s="9">
        <v>0.43380000000000002</v>
      </c>
      <c r="D43" s="4">
        <f t="shared" si="1"/>
        <v>1.7483</v>
      </c>
      <c r="E43" s="23">
        <f t="shared" si="2"/>
        <v>4.2005213164714288</v>
      </c>
      <c r="F43" s="25">
        <f t="shared" si="0"/>
        <v>0.47161359642496964</v>
      </c>
      <c r="G43" s="5"/>
      <c r="H43" s="5">
        <f t="shared" si="6"/>
        <v>7.5983076560728665E-3</v>
      </c>
      <c r="Q43">
        <f t="shared" si="4"/>
        <v>1.4298680745904752E-3</v>
      </c>
      <c r="S43" s="13">
        <f t="shared" si="5"/>
        <v>3.781359642496962E-2</v>
      </c>
    </row>
    <row r="44" spans="1:19" x14ac:dyDescent="0.25">
      <c r="A44" s="8">
        <v>0.76919999999999999</v>
      </c>
      <c r="B44" s="9">
        <v>0.44259999999999999</v>
      </c>
      <c r="D44" s="4">
        <f t="shared" si="1"/>
        <v>1.7692000000000001</v>
      </c>
      <c r="E44" s="23">
        <f t="shared" si="2"/>
        <v>4.2605230826859604</v>
      </c>
      <c r="F44" s="25">
        <f t="shared" si="0"/>
        <v>0.48037608556223416</v>
      </c>
      <c r="G44" s="5"/>
      <c r="H44" s="5">
        <f t="shared" si="6"/>
        <v>7.2846902102192013E-3</v>
      </c>
      <c r="K44" t="s">
        <v>83</v>
      </c>
      <c r="Q44">
        <f t="shared" si="4"/>
        <v>1.4270326404052364E-3</v>
      </c>
      <c r="S44" s="13">
        <f t="shared" si="5"/>
        <v>3.7776085562234163E-2</v>
      </c>
    </row>
    <row r="45" spans="1:19" ht="15" customHeight="1" x14ac:dyDescent="0.25">
      <c r="A45" s="8">
        <v>0.79039999999999999</v>
      </c>
      <c r="B45" s="9">
        <v>0.45100000000000001</v>
      </c>
      <c r="D45" s="4">
        <f t="shared" si="1"/>
        <v>1.7904</v>
      </c>
      <c r="E45" s="23">
        <f t="shared" si="2"/>
        <v>4.322600971438785</v>
      </c>
      <c r="F45" s="25">
        <f t="shared" si="0"/>
        <v>0.48926430413305277</v>
      </c>
      <c r="G45" s="5"/>
      <c r="H45" s="5">
        <f t="shared" si="6"/>
        <v>7.1983764621941669E-3</v>
      </c>
      <c r="Q45">
        <f t="shared" si="4"/>
        <v>1.4641569707867588E-3</v>
      </c>
      <c r="S45" s="13">
        <f t="shared" si="5"/>
        <v>3.8264304133052762E-2</v>
      </c>
    </row>
    <row r="46" spans="1:19" x14ac:dyDescent="0.25">
      <c r="A46" s="8">
        <v>0.81120000000000003</v>
      </c>
      <c r="B46" s="9">
        <v>0.46050000000000002</v>
      </c>
      <c r="D46" s="4">
        <f t="shared" si="1"/>
        <v>1.8111999999999999</v>
      </c>
      <c r="E46" s="23">
        <f t="shared" si="2"/>
        <v>4.3846857226855125</v>
      </c>
      <c r="F46" s="25">
        <f t="shared" si="0"/>
        <v>0.49800391901211638</v>
      </c>
      <c r="G46" s="5"/>
      <c r="H46" s="5">
        <f t="shared" si="6"/>
        <v>6.6327562155914814E-3</v>
      </c>
      <c r="Q46">
        <f t="shared" si="4"/>
        <v>1.4065439412673829E-3</v>
      </c>
      <c r="S46" s="13">
        <f t="shared" si="5"/>
        <v>3.750391901211636E-2</v>
      </c>
    </row>
    <row r="47" spans="1:19" x14ac:dyDescent="0.25">
      <c r="A47" s="8">
        <v>0.83199999999999996</v>
      </c>
      <c r="B47" s="9">
        <v>0.46949999999999997</v>
      </c>
      <c r="D47" s="4">
        <f t="shared" si="1"/>
        <v>1.8319999999999999</v>
      </c>
      <c r="E47" s="23">
        <f t="shared" si="2"/>
        <v>4.4479270567685587</v>
      </c>
      <c r="F47" s="25">
        <f t="shared" si="0"/>
        <v>0.50678165203287928</v>
      </c>
      <c r="G47" s="5"/>
      <c r="H47" s="5">
        <f t="shared" si="6"/>
        <v>6.3054938163010542E-3</v>
      </c>
      <c r="Q47">
        <f t="shared" si="4"/>
        <v>1.3899215783006939E-3</v>
      </c>
      <c r="S47" s="13">
        <f t="shared" si="5"/>
        <v>3.7281652032879309E-2</v>
      </c>
    </row>
    <row r="48" spans="1:19" x14ac:dyDescent="0.25">
      <c r="A48" s="8">
        <v>0.85329999999999995</v>
      </c>
      <c r="B48" s="9">
        <v>0.47899999999999998</v>
      </c>
      <c r="D48" s="4">
        <f t="shared" si="1"/>
        <v>1.8532999999999999</v>
      </c>
      <c r="E48" s="23">
        <f t="shared" si="2"/>
        <v>4.5138769899298552</v>
      </c>
      <c r="F48" s="25">
        <f t="shared" si="0"/>
        <v>0.51583012324056288</v>
      </c>
      <c r="G48" s="5"/>
      <c r="H48" s="5">
        <f t="shared" si="6"/>
        <v>5.9120121421849412E-3</v>
      </c>
      <c r="Q48">
        <f t="shared" si="4"/>
        <v>1.3564579779150512E-3</v>
      </c>
      <c r="S48" s="13">
        <f t="shared" si="5"/>
        <v>3.6830123240562895E-2</v>
      </c>
    </row>
    <row r="49" spans="1:19" x14ac:dyDescent="0.25">
      <c r="A49" s="20">
        <v>0.873</v>
      </c>
      <c r="B49" s="21">
        <v>0.48870000000000002</v>
      </c>
      <c r="D49" s="4">
        <f t="shared" si="1"/>
        <v>1.873</v>
      </c>
      <c r="E49" s="23">
        <f t="shared" si="2"/>
        <v>4.5759346593699943</v>
      </c>
      <c r="F49" s="25">
        <f t="shared" si="0"/>
        <v>0.52427088300227076</v>
      </c>
      <c r="G49" s="5"/>
      <c r="H49" s="5">
        <f t="shared" si="6"/>
        <v>5.2979104623975407E-3</v>
      </c>
      <c r="Q49">
        <f t="shared" si="4"/>
        <v>1.2652877175612332E-3</v>
      </c>
      <c r="S49" s="13">
        <f t="shared" si="5"/>
        <v>3.5570883002270737E-2</v>
      </c>
    </row>
    <row r="50" spans="1:19" x14ac:dyDescent="0.25">
      <c r="A50" s="14"/>
      <c r="B50" s="14"/>
      <c r="D50" s="4"/>
      <c r="E50" s="4"/>
      <c r="F50" s="5"/>
      <c r="G50" s="5"/>
      <c r="H50" s="5"/>
      <c r="S50" s="13"/>
    </row>
    <row r="51" spans="1:19" x14ac:dyDescent="0.25">
      <c r="G51" s="1" t="s">
        <v>13</v>
      </c>
      <c r="H51" s="5">
        <f>SUM(H8:H49)</f>
        <v>0.39929441158372969</v>
      </c>
      <c r="P51" s="1" t="s">
        <v>13</v>
      </c>
      <c r="Q51" s="5">
        <f>SUM(Q8:Q49)</f>
        <v>2.619622652282157E-2</v>
      </c>
      <c r="S51" s="5">
        <f>SUM(S8:S49)</f>
        <v>0.90341149393111386</v>
      </c>
    </row>
    <row r="52" spans="1:19" hidden="1" x14ac:dyDescent="0.25"/>
    <row r="53" spans="1:19" x14ac:dyDescent="0.25">
      <c r="G53" s="1"/>
      <c r="P53" s="1"/>
    </row>
    <row r="54" spans="1:19" x14ac:dyDescent="0.25">
      <c r="G54" s="1"/>
    </row>
  </sheetData>
  <mergeCells count="2">
    <mergeCell ref="A4:B4"/>
    <mergeCell ref="A3:B3"/>
  </mergeCells>
  <pageMargins left="0.25" right="0.25" top="0.25" bottom="0.25" header="0.05" footer="0.05"/>
  <pageSetup scale="7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10</xdr:col>
                    <xdr:colOff>504825</xdr:colOff>
                    <xdr:row>5</xdr:row>
                    <xdr:rowOff>0</xdr:rowOff>
                  </from>
                  <to>
                    <xdr:col>13</xdr:col>
                    <xdr:colOff>600075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58"/>
  <sheetViews>
    <sheetView workbookViewId="0">
      <selection activeCell="H58" sqref="H58"/>
    </sheetView>
  </sheetViews>
  <sheetFormatPr defaultRowHeight="15" x14ac:dyDescent="0.25"/>
  <cols>
    <col min="1" max="2" width="10.7109375" customWidth="1"/>
    <col min="3" max="3" width="2.7109375" customWidth="1"/>
    <col min="4" max="4" width="8.7109375" customWidth="1"/>
    <col min="5" max="6" width="10.7109375" customWidth="1"/>
    <col min="7" max="7" width="2.7109375" customWidth="1"/>
    <col min="8" max="8" width="10.7109375" customWidth="1"/>
    <col min="9" max="9" width="4.7109375" customWidth="1"/>
    <col min="10" max="16" width="11.7109375" customWidth="1"/>
    <col min="17" max="17" width="10.7109375" customWidth="1"/>
    <col min="18" max="18" width="2.7109375" customWidth="1"/>
    <col min="19" max="19" width="10.7109375" customWidth="1"/>
  </cols>
  <sheetData>
    <row r="1" spans="1:19" ht="24.95" customHeight="1" x14ac:dyDescent="0.35">
      <c r="D1" s="15" t="s">
        <v>29</v>
      </c>
    </row>
    <row r="2" spans="1:19" ht="18" customHeight="1" x14ac:dyDescent="0.25"/>
    <row r="3" spans="1:19" x14ac:dyDescent="0.25">
      <c r="A3" s="37" t="s">
        <v>16</v>
      </c>
      <c r="B3" s="38"/>
    </row>
    <row r="4" spans="1:19" x14ac:dyDescent="0.25">
      <c r="A4" s="37" t="s">
        <v>9</v>
      </c>
      <c r="B4" s="38"/>
      <c r="H4" s="16" t="s">
        <v>10</v>
      </c>
      <c r="Q4" s="16" t="s">
        <v>12</v>
      </c>
      <c r="R4" s="16"/>
      <c r="S4" s="16" t="s">
        <v>12</v>
      </c>
    </row>
    <row r="5" spans="1:19" ht="15.75" x14ac:dyDescent="0.25">
      <c r="A5" s="17" t="s">
        <v>5</v>
      </c>
      <c r="B5" s="18" t="s">
        <v>5</v>
      </c>
      <c r="E5" s="16" t="s">
        <v>30</v>
      </c>
      <c r="F5" s="24" t="s">
        <v>30</v>
      </c>
      <c r="H5" s="16" t="s">
        <v>11</v>
      </c>
      <c r="Q5" s="16" t="s">
        <v>11</v>
      </c>
      <c r="R5" s="16"/>
      <c r="S5" s="16" t="s">
        <v>14</v>
      </c>
    </row>
    <row r="6" spans="1:19" x14ac:dyDescent="0.25">
      <c r="A6" s="17" t="s">
        <v>0</v>
      </c>
      <c r="B6" s="18" t="s">
        <v>1</v>
      </c>
      <c r="D6" s="16" t="s">
        <v>2</v>
      </c>
      <c r="E6" s="16" t="s">
        <v>25</v>
      </c>
      <c r="F6" s="16" t="s">
        <v>3</v>
      </c>
      <c r="H6" s="16" t="s">
        <v>4</v>
      </c>
      <c r="Q6" s="16" t="s">
        <v>4</v>
      </c>
      <c r="R6" s="16"/>
      <c r="S6" s="16" t="s">
        <v>4</v>
      </c>
    </row>
    <row r="7" spans="1:19" x14ac:dyDescent="0.25">
      <c r="A7" s="6">
        <v>0</v>
      </c>
      <c r="B7" s="7">
        <v>0</v>
      </c>
      <c r="D7">
        <f>A7+1</f>
        <v>1</v>
      </c>
      <c r="E7" s="16">
        <f>2*D7^2+1/D7^4</f>
        <v>3</v>
      </c>
      <c r="F7" s="16">
        <f t="shared" ref="F7:F38" si="0">2*(D7-1/D7^5)*(_C10+2*_C20*(E7-3)+3*_C30*(E7-3)^2)</f>
        <v>0</v>
      </c>
    </row>
    <row r="8" spans="1:19" x14ac:dyDescent="0.25">
      <c r="A8" s="8">
        <v>1.46E-2</v>
      </c>
      <c r="B8" s="9">
        <v>4.2099999999999999E-2</v>
      </c>
      <c r="D8" s="4">
        <f t="shared" ref="D8:D56" si="1">A8+1</f>
        <v>1.0145999999999999</v>
      </c>
      <c r="E8" s="23">
        <f t="shared" ref="E8:E56" si="2">2*D8^2+1/D8^4</f>
        <v>3.002497231228991</v>
      </c>
      <c r="F8" s="25">
        <f t="shared" si="0"/>
        <v>3.0415052182273056E-2</v>
      </c>
      <c r="H8" s="5">
        <f>(1-F8/B8)^2</f>
        <v>7.703522633194447E-2</v>
      </c>
      <c r="Q8">
        <f>(F8-B8)^2</f>
        <v>1.3653800550300163E-4</v>
      </c>
      <c r="S8" s="13">
        <f>ABS(F8-B8)</f>
        <v>1.1684947817726943E-2</v>
      </c>
    </row>
    <row r="9" spans="1:19" x14ac:dyDescent="0.25">
      <c r="A9" s="8">
        <v>3.04E-2</v>
      </c>
      <c r="B9" s="9">
        <v>7.7700000000000005E-2</v>
      </c>
      <c r="D9" s="4">
        <f t="shared" si="1"/>
        <v>1.0304</v>
      </c>
      <c r="E9" s="23">
        <f t="shared" si="2"/>
        <v>3.0105565327954347</v>
      </c>
      <c r="F9" s="25">
        <f t="shared" si="0"/>
        <v>6.0939641977116731E-2</v>
      </c>
      <c r="H9" s="5">
        <f t="shared" ref="H9:H56" si="3">(1-F9/B9)^2</f>
        <v>4.6529088557155207E-2</v>
      </c>
      <c r="Q9">
        <f t="shared" ref="Q9:Q56" si="4">(F9-B9)^2</f>
        <v>2.8090960105522776E-4</v>
      </c>
      <c r="S9" s="13">
        <f t="shared" ref="S9:S56" si="5">ABS(F9-B9)</f>
        <v>1.6760358022883275E-2</v>
      </c>
    </row>
    <row r="10" spans="1:19" x14ac:dyDescent="0.25">
      <c r="A10" s="8">
        <v>4.5900000000000003E-2</v>
      </c>
      <c r="B10" s="9">
        <v>0.1086</v>
      </c>
      <c r="D10" s="4">
        <f t="shared" si="1"/>
        <v>1.0459000000000001</v>
      </c>
      <c r="E10" s="23">
        <f t="shared" si="2"/>
        <v>3.0234923490836185</v>
      </c>
      <c r="F10" s="25">
        <f t="shared" si="0"/>
        <v>8.8664515173348779E-2</v>
      </c>
      <c r="H10" s="5">
        <f t="shared" si="3"/>
        <v>3.3697210714097821E-2</v>
      </c>
      <c r="Q10">
        <f t="shared" si="4"/>
        <v>3.9742355527364113E-4</v>
      </c>
      <c r="S10" s="13">
        <f t="shared" si="5"/>
        <v>1.9935484826651223E-2</v>
      </c>
    </row>
    <row r="11" spans="1:19" x14ac:dyDescent="0.25">
      <c r="A11" s="8">
        <v>6.1600000000000002E-2</v>
      </c>
      <c r="B11" s="9">
        <v>0.1361</v>
      </c>
      <c r="D11" s="4">
        <f t="shared" si="1"/>
        <v>1.0616000000000001</v>
      </c>
      <c r="E11" s="23">
        <f t="shared" si="2"/>
        <v>3.0413183235836012</v>
      </c>
      <c r="F11" s="25">
        <f t="shared" si="0"/>
        <v>0.11469037988818749</v>
      </c>
      <c r="H11" s="5">
        <f t="shared" si="3"/>
        <v>2.4745809896455681E-2</v>
      </c>
      <c r="Q11">
        <f t="shared" si="4"/>
        <v>4.5837183333212662E-4</v>
      </c>
      <c r="S11" s="13">
        <f t="shared" si="5"/>
        <v>2.1409620111812508E-2</v>
      </c>
    </row>
    <row r="12" spans="1:19" x14ac:dyDescent="0.25">
      <c r="A12" s="8">
        <v>7.6999999999999999E-2</v>
      </c>
      <c r="B12" s="9">
        <v>0.1605</v>
      </c>
      <c r="D12" s="4">
        <f t="shared" si="1"/>
        <v>1.077</v>
      </c>
      <c r="E12" s="23">
        <f t="shared" si="2"/>
        <v>3.0631118830505892</v>
      </c>
      <c r="F12" s="25">
        <f t="shared" si="0"/>
        <v>0.13837293707375833</v>
      </c>
      <c r="H12" s="5">
        <f t="shared" si="3"/>
        <v>1.9006295115220478E-2</v>
      </c>
      <c r="Q12">
        <f t="shared" si="4"/>
        <v>4.896069137418585E-4</v>
      </c>
      <c r="S12" s="13">
        <f t="shared" si="5"/>
        <v>2.212706292624167E-2</v>
      </c>
    </row>
    <row r="13" spans="1:19" x14ac:dyDescent="0.25">
      <c r="A13" s="8">
        <v>9.2600000000000002E-2</v>
      </c>
      <c r="B13" s="9">
        <v>0.18279999999999999</v>
      </c>
      <c r="D13" s="4">
        <f t="shared" si="1"/>
        <v>1.0926</v>
      </c>
      <c r="E13" s="23">
        <f t="shared" si="2"/>
        <v>3.0892555608251535</v>
      </c>
      <c r="F13" s="25">
        <f t="shared" si="0"/>
        <v>0.16065301453571934</v>
      </c>
      <c r="H13" s="5">
        <f t="shared" si="3"/>
        <v>1.467833713457624E-2</v>
      </c>
      <c r="Q13">
        <f t="shared" si="4"/>
        <v>4.9048896515505838E-4</v>
      </c>
      <c r="S13" s="13">
        <f t="shared" si="5"/>
        <v>2.214698546428065E-2</v>
      </c>
    </row>
    <row r="14" spans="1:19" x14ac:dyDescent="0.25">
      <c r="A14" s="8">
        <v>0.1081</v>
      </c>
      <c r="B14" s="9">
        <v>0.2031</v>
      </c>
      <c r="D14" s="4">
        <f t="shared" si="1"/>
        <v>1.1081000000000001</v>
      </c>
      <c r="E14" s="23">
        <f t="shared" si="2"/>
        <v>3.1190317910447964</v>
      </c>
      <c r="F14" s="25">
        <f t="shared" si="0"/>
        <v>0.18122668180877646</v>
      </c>
      <c r="H14" s="5">
        <f t="shared" si="3"/>
        <v>1.1598704780348482E-2</v>
      </c>
      <c r="Q14">
        <f t="shared" si="4"/>
        <v>4.7844204869451065E-4</v>
      </c>
      <c r="S14" s="13">
        <f t="shared" si="5"/>
        <v>2.187331819122354E-2</v>
      </c>
    </row>
    <row r="15" spans="1:19" x14ac:dyDescent="0.25">
      <c r="A15" s="8">
        <v>0.1236</v>
      </c>
      <c r="B15" s="9">
        <v>0.2228</v>
      </c>
      <c r="D15" s="4">
        <f t="shared" si="1"/>
        <v>1.1235999999999999</v>
      </c>
      <c r="E15" s="23">
        <f t="shared" si="2"/>
        <v>3.1523662913418269</v>
      </c>
      <c r="F15" s="25">
        <f t="shared" si="0"/>
        <v>0.20037190240026193</v>
      </c>
      <c r="H15" s="5">
        <f t="shared" si="3"/>
        <v>1.0133384030717608E-2</v>
      </c>
      <c r="Q15">
        <f t="shared" si="4"/>
        <v>5.0301956194337665E-4</v>
      </c>
      <c r="S15" s="13">
        <f t="shared" si="5"/>
        <v>2.2428097599738073E-2</v>
      </c>
    </row>
    <row r="16" spans="1:19" x14ac:dyDescent="0.25">
      <c r="A16" s="8">
        <v>0.1391</v>
      </c>
      <c r="B16" s="9">
        <v>0.23960000000000001</v>
      </c>
      <c r="D16" s="4">
        <f t="shared" si="1"/>
        <v>1.1391</v>
      </c>
      <c r="E16" s="23">
        <f t="shared" si="2"/>
        <v>3.1890513206476938</v>
      </c>
      <c r="F16" s="25">
        <f t="shared" si="0"/>
        <v>0.21820873931976453</v>
      </c>
      <c r="H16" s="5">
        <f t="shared" si="3"/>
        <v>7.970748992648222E-3</v>
      </c>
      <c r="Q16">
        <f t="shared" si="4"/>
        <v>4.5758603348978826E-4</v>
      </c>
      <c r="S16" s="13">
        <f t="shared" si="5"/>
        <v>2.1391260680235474E-2</v>
      </c>
    </row>
    <row r="17" spans="1:19" x14ac:dyDescent="0.25">
      <c r="A17" s="8">
        <v>0.1547</v>
      </c>
      <c r="B17" s="9">
        <v>0.25659999999999999</v>
      </c>
      <c r="D17" s="4">
        <f t="shared" si="1"/>
        <v>1.1547000000000001</v>
      </c>
      <c r="E17" s="23">
        <f t="shared" si="2"/>
        <v>3.2291652290639674</v>
      </c>
      <c r="F17" s="25">
        <f t="shared" si="0"/>
        <v>0.23495204197787148</v>
      </c>
      <c r="H17" s="5">
        <f t="shared" si="3"/>
        <v>7.1173868261047634E-3</v>
      </c>
      <c r="Q17">
        <f t="shared" si="4"/>
        <v>4.6863408652783839E-4</v>
      </c>
      <c r="S17" s="13">
        <f t="shared" si="5"/>
        <v>2.1647958022128516E-2</v>
      </c>
    </row>
    <row r="18" spans="1:19" x14ac:dyDescent="0.25">
      <c r="A18" s="8">
        <v>0.17050000000000001</v>
      </c>
      <c r="B18" s="9">
        <v>0.27129999999999999</v>
      </c>
      <c r="D18" s="4">
        <f t="shared" si="1"/>
        <v>1.1705000000000001</v>
      </c>
      <c r="E18" s="23">
        <f t="shared" si="2"/>
        <v>3.2728792996926006</v>
      </c>
      <c r="F18" s="25">
        <f t="shared" si="0"/>
        <v>0.25078131683041976</v>
      </c>
      <c r="H18" s="5">
        <f t="shared" si="3"/>
        <v>5.7200441854697113E-3</v>
      </c>
      <c r="Q18">
        <f t="shared" si="4"/>
        <v>4.210163590136146E-4</v>
      </c>
      <c r="S18" s="13">
        <f t="shared" si="5"/>
        <v>2.0518683169580221E-2</v>
      </c>
    </row>
    <row r="19" spans="1:19" x14ac:dyDescent="0.25">
      <c r="A19" s="8">
        <v>0.18629999999999999</v>
      </c>
      <c r="B19" s="9">
        <v>0.28689999999999999</v>
      </c>
      <c r="D19" s="4">
        <f t="shared" si="1"/>
        <v>1.1862999999999999</v>
      </c>
      <c r="E19" s="23">
        <f t="shared" si="2"/>
        <v>3.3195345718043838</v>
      </c>
      <c r="F19" s="25">
        <f t="shared" si="0"/>
        <v>0.2655754217741183</v>
      </c>
      <c r="H19" s="5">
        <f t="shared" si="3"/>
        <v>5.5245868293883052E-3</v>
      </c>
      <c r="Q19">
        <f t="shared" si="4"/>
        <v>4.5473763651174726E-4</v>
      </c>
      <c r="S19" s="13">
        <f t="shared" si="5"/>
        <v>2.1324578225881685E-2</v>
      </c>
    </row>
    <row r="20" spans="1:19" x14ac:dyDescent="0.25">
      <c r="A20" s="8">
        <v>0.2024</v>
      </c>
      <c r="B20" s="9">
        <v>0.2979</v>
      </c>
      <c r="D20" s="4">
        <f t="shared" si="1"/>
        <v>1.2023999999999999</v>
      </c>
      <c r="E20" s="23">
        <f t="shared" si="2"/>
        <v>3.3699457949605578</v>
      </c>
      <c r="F20" s="25">
        <f t="shared" si="0"/>
        <v>0.27968273549048467</v>
      </c>
      <c r="H20" s="5">
        <f t="shared" si="3"/>
        <v>3.7396014713450328E-3</v>
      </c>
      <c r="Q20">
        <f t="shared" si="4"/>
        <v>3.3186872620964681E-4</v>
      </c>
      <c r="S20" s="13">
        <f t="shared" si="5"/>
        <v>1.821726450951533E-2</v>
      </c>
    </row>
    <row r="21" spans="1:19" x14ac:dyDescent="0.25">
      <c r="A21" s="8">
        <v>0.21840000000000001</v>
      </c>
      <c r="B21" s="9">
        <v>0.31169999999999998</v>
      </c>
      <c r="D21" s="4">
        <f t="shared" si="1"/>
        <v>1.2183999999999999</v>
      </c>
      <c r="E21" s="23">
        <f t="shared" si="2"/>
        <v>3.4227719875461986</v>
      </c>
      <c r="F21" s="25">
        <f t="shared" si="0"/>
        <v>0.29282534824091283</v>
      </c>
      <c r="H21" s="5">
        <f t="shared" si="3"/>
        <v>3.6667752439051111E-3</v>
      </c>
      <c r="Q21">
        <f t="shared" si="4"/>
        <v>3.5625247902681153E-4</v>
      </c>
      <c r="S21" s="13">
        <f t="shared" si="5"/>
        <v>1.8874651759087147E-2</v>
      </c>
    </row>
    <row r="22" spans="1:19" x14ac:dyDescent="0.25">
      <c r="A22" s="8">
        <v>0.2349</v>
      </c>
      <c r="B22" s="9">
        <v>0.3241</v>
      </c>
      <c r="D22" s="4">
        <f t="shared" si="1"/>
        <v>1.2349000000000001</v>
      </c>
      <c r="E22" s="23">
        <f t="shared" si="2"/>
        <v>3.4799603586049153</v>
      </c>
      <c r="F22" s="25">
        <f t="shared" si="0"/>
        <v>0.30555220057188109</v>
      </c>
      <c r="H22" s="5">
        <f t="shared" si="3"/>
        <v>3.2751162488724845E-3</v>
      </c>
      <c r="Q22">
        <f t="shared" si="4"/>
        <v>3.4402086362572801E-4</v>
      </c>
      <c r="S22" s="13">
        <f t="shared" si="5"/>
        <v>1.8547799428118905E-2</v>
      </c>
    </row>
    <row r="23" spans="1:19" x14ac:dyDescent="0.25">
      <c r="A23" s="8">
        <v>0.25169999999999998</v>
      </c>
      <c r="B23" s="9">
        <v>0.3367</v>
      </c>
      <c r="D23" s="4">
        <f t="shared" si="1"/>
        <v>1.2517</v>
      </c>
      <c r="E23" s="23">
        <f t="shared" si="2"/>
        <v>3.5408851114039219</v>
      </c>
      <c r="F23" s="25">
        <f t="shared" si="0"/>
        <v>0.31773620208742914</v>
      </c>
      <c r="H23" s="5">
        <f t="shared" si="3"/>
        <v>3.172228075312168E-3</v>
      </c>
      <c r="Q23">
        <f t="shared" si="4"/>
        <v>3.5962563126882679E-4</v>
      </c>
      <c r="S23" s="13">
        <f t="shared" si="5"/>
        <v>1.8963797912570857E-2</v>
      </c>
    </row>
    <row r="24" spans="1:19" x14ac:dyDescent="0.25">
      <c r="A24" s="8">
        <v>0.26850000000000002</v>
      </c>
      <c r="B24" s="9">
        <v>0.34899999999999998</v>
      </c>
      <c r="D24" s="4">
        <f t="shared" si="1"/>
        <v>1.2685</v>
      </c>
      <c r="E24" s="23">
        <f t="shared" si="2"/>
        <v>3.604407482966534</v>
      </c>
      <c r="F24" s="25">
        <f t="shared" si="0"/>
        <v>0.32922306298684995</v>
      </c>
      <c r="H24" s="5">
        <f t="shared" si="3"/>
        <v>3.2111989033103481E-3</v>
      </c>
      <c r="Q24">
        <f t="shared" si="4"/>
        <v>3.9112723762210365E-4</v>
      </c>
      <c r="S24" s="13">
        <f t="shared" si="5"/>
        <v>1.9776937013150031E-2</v>
      </c>
    </row>
    <row r="25" spans="1:19" x14ac:dyDescent="0.25">
      <c r="A25" s="8">
        <v>0.28560000000000002</v>
      </c>
      <c r="B25" s="9">
        <v>0.36070000000000002</v>
      </c>
      <c r="D25" s="4">
        <f t="shared" si="1"/>
        <v>1.2856000000000001</v>
      </c>
      <c r="E25" s="23">
        <f t="shared" si="2"/>
        <v>3.6716151770387535</v>
      </c>
      <c r="F25" s="25">
        <f t="shared" si="0"/>
        <v>0.34028069575887987</v>
      </c>
      <c r="H25" s="5">
        <f t="shared" si="3"/>
        <v>3.2047163452347182E-3</v>
      </c>
      <c r="Q25">
        <f t="shared" si="4"/>
        <v>4.1694798569142738E-4</v>
      </c>
      <c r="S25" s="13">
        <f t="shared" si="5"/>
        <v>2.0419304241120151E-2</v>
      </c>
    </row>
    <row r="26" spans="1:19" x14ac:dyDescent="0.25">
      <c r="A26" s="8">
        <v>0.3029</v>
      </c>
      <c r="B26" s="9">
        <v>0.37130000000000002</v>
      </c>
      <c r="D26" s="4">
        <f t="shared" si="1"/>
        <v>1.3028999999999999</v>
      </c>
      <c r="E26" s="23">
        <f t="shared" si="2"/>
        <v>3.7421177454694323</v>
      </c>
      <c r="F26" s="25">
        <f t="shared" si="0"/>
        <v>0.35089552854781775</v>
      </c>
      <c r="H26" s="5">
        <f t="shared" si="3"/>
        <v>3.0199572871067162E-3</v>
      </c>
      <c r="Q26">
        <f t="shared" si="4"/>
        <v>4.1634245524292126E-4</v>
      </c>
      <c r="S26" s="13">
        <f t="shared" si="5"/>
        <v>2.0404471452182271E-2</v>
      </c>
    </row>
    <row r="27" spans="1:19" x14ac:dyDescent="0.25">
      <c r="A27" s="8">
        <v>0.32069999999999999</v>
      </c>
      <c r="B27" s="9">
        <v>0.38090000000000002</v>
      </c>
      <c r="D27" s="4">
        <f t="shared" si="1"/>
        <v>1.3207</v>
      </c>
      <c r="E27" s="23">
        <f t="shared" si="2"/>
        <v>3.8171845560458348</v>
      </c>
      <c r="F27" s="25">
        <f t="shared" si="0"/>
        <v>0.36129587011034298</v>
      </c>
      <c r="H27" s="5">
        <f t="shared" si="3"/>
        <v>2.6489465625694729E-3</v>
      </c>
      <c r="Q27">
        <f t="shared" si="4"/>
        <v>3.8432190873054456E-4</v>
      </c>
      <c r="S27" s="13">
        <f t="shared" si="5"/>
        <v>1.960412988965704E-2</v>
      </c>
    </row>
    <row r="28" spans="1:19" x14ac:dyDescent="0.25">
      <c r="A28" s="8">
        <v>0.3387</v>
      </c>
      <c r="B28" s="9">
        <v>0.39179999999999998</v>
      </c>
      <c r="D28" s="4">
        <f t="shared" si="1"/>
        <v>1.3387</v>
      </c>
      <c r="E28" s="23">
        <f t="shared" si="2"/>
        <v>3.8955983394116656</v>
      </c>
      <c r="F28" s="25">
        <f t="shared" si="0"/>
        <v>0.37135364377618496</v>
      </c>
      <c r="H28" s="5">
        <f t="shared" si="3"/>
        <v>2.7233470084612236E-3</v>
      </c>
      <c r="Q28">
        <f t="shared" si="4"/>
        <v>4.1805348283113926E-4</v>
      </c>
      <c r="S28" s="13">
        <f t="shared" si="5"/>
        <v>2.0446356223815021E-2</v>
      </c>
    </row>
    <row r="29" spans="1:19" x14ac:dyDescent="0.25">
      <c r="A29" s="8">
        <v>0.3574</v>
      </c>
      <c r="B29" s="9">
        <v>0.40100000000000002</v>
      </c>
      <c r="D29" s="4">
        <f t="shared" si="1"/>
        <v>1.3573999999999999</v>
      </c>
      <c r="E29" s="23">
        <f t="shared" si="2"/>
        <v>3.9796260266414114</v>
      </c>
      <c r="F29" s="25">
        <f t="shared" si="0"/>
        <v>0.38139376305046924</v>
      </c>
      <c r="H29" s="5">
        <f t="shared" si="3"/>
        <v>2.3905605519937479E-3</v>
      </c>
      <c r="Q29">
        <f t="shared" si="4"/>
        <v>3.844045273211463E-4</v>
      </c>
      <c r="S29" s="13">
        <f t="shared" si="5"/>
        <v>1.9606236949530786E-2</v>
      </c>
    </row>
    <row r="30" spans="1:19" x14ac:dyDescent="0.25">
      <c r="A30" s="8">
        <v>0.37590000000000001</v>
      </c>
      <c r="B30" s="9">
        <v>0.41139999999999999</v>
      </c>
      <c r="D30" s="4">
        <f t="shared" si="1"/>
        <v>1.3759000000000001</v>
      </c>
      <c r="E30" s="23">
        <f t="shared" si="2"/>
        <v>4.0652326597383448</v>
      </c>
      <c r="F30" s="25">
        <f t="shared" si="0"/>
        <v>0.39099377527230139</v>
      </c>
      <c r="H30" s="5">
        <f t="shared" si="3"/>
        <v>2.4603492233459729E-3</v>
      </c>
      <c r="Q30">
        <f t="shared" si="4"/>
        <v>4.1641400763733764E-4</v>
      </c>
      <c r="S30" s="13">
        <f t="shared" si="5"/>
        <v>2.0406224727698596E-2</v>
      </c>
    </row>
    <row r="31" spans="1:19" x14ac:dyDescent="0.25">
      <c r="A31" s="8">
        <v>0.39439999999999997</v>
      </c>
      <c r="B31" s="9">
        <v>0.42099999999999999</v>
      </c>
      <c r="D31" s="4">
        <f t="shared" si="1"/>
        <v>1.3944000000000001</v>
      </c>
      <c r="E31" s="23">
        <f t="shared" si="2"/>
        <v>4.1532178410479208</v>
      </c>
      <c r="F31" s="25">
        <f t="shared" si="0"/>
        <v>0.40033627210648243</v>
      </c>
      <c r="H31" s="5">
        <f t="shared" si="3"/>
        <v>2.409090732151909E-3</v>
      </c>
      <c r="Q31">
        <f t="shared" si="4"/>
        <v>4.2698965045733558E-4</v>
      </c>
      <c r="S31" s="13">
        <f t="shared" si="5"/>
        <v>2.0663727893517558E-2</v>
      </c>
    </row>
    <row r="32" spans="1:19" x14ac:dyDescent="0.25">
      <c r="A32" s="8">
        <v>0.41320000000000001</v>
      </c>
      <c r="B32" s="9">
        <v>0.43109999999999998</v>
      </c>
      <c r="D32" s="4">
        <f t="shared" si="1"/>
        <v>1.4132</v>
      </c>
      <c r="E32" s="23">
        <f t="shared" si="2"/>
        <v>4.2449864628060094</v>
      </c>
      <c r="F32" s="25">
        <f t="shared" si="0"/>
        <v>0.40963812542418282</v>
      </c>
      <c r="H32" s="5">
        <f t="shared" si="3"/>
        <v>2.4784448489062936E-3</v>
      </c>
      <c r="Q32">
        <f t="shared" si="4"/>
        <v>4.6061206030810714E-4</v>
      </c>
      <c r="S32" s="13">
        <f t="shared" si="5"/>
        <v>2.1461874575817164E-2</v>
      </c>
    </row>
    <row r="33" spans="1:19" x14ac:dyDescent="0.25">
      <c r="A33" s="8">
        <v>0.4325</v>
      </c>
      <c r="B33" s="9">
        <v>0.44259999999999999</v>
      </c>
      <c r="D33" s="4">
        <f t="shared" si="1"/>
        <v>1.4325000000000001</v>
      </c>
      <c r="E33" s="23">
        <f t="shared" si="2"/>
        <v>4.3415894581744086</v>
      </c>
      <c r="F33" s="25">
        <f t="shared" si="0"/>
        <v>0.41905868423442466</v>
      </c>
      <c r="H33" s="5">
        <f t="shared" si="3"/>
        <v>2.829037121638814E-3</v>
      </c>
      <c r="Q33">
        <f t="shared" si="4"/>
        <v>5.541935479745257E-4</v>
      </c>
      <c r="S33" s="13">
        <f t="shared" si="5"/>
        <v>2.3541315765575332E-2</v>
      </c>
    </row>
    <row r="34" spans="1:19" x14ac:dyDescent="0.25">
      <c r="A34" s="8">
        <v>0.45250000000000001</v>
      </c>
      <c r="B34" s="9">
        <v>0.45079999999999998</v>
      </c>
      <c r="D34" s="4">
        <f t="shared" si="1"/>
        <v>1.4525000000000001</v>
      </c>
      <c r="E34" s="23">
        <f t="shared" si="2"/>
        <v>4.4441775081300348</v>
      </c>
      <c r="F34" s="25">
        <f t="shared" si="0"/>
        <v>0.42875993571798976</v>
      </c>
      <c r="H34" s="5">
        <f t="shared" si="3"/>
        <v>2.3903302024594715E-3</v>
      </c>
      <c r="Q34">
        <f t="shared" si="4"/>
        <v>4.857644335551426E-4</v>
      </c>
      <c r="S34" s="13">
        <f t="shared" si="5"/>
        <v>2.2040064282010219E-2</v>
      </c>
    </row>
    <row r="35" spans="1:19" x14ac:dyDescent="0.25">
      <c r="A35" s="8">
        <v>0.47239999999999999</v>
      </c>
      <c r="B35" s="9">
        <v>0.46110000000000001</v>
      </c>
      <c r="D35" s="4">
        <f t="shared" si="1"/>
        <v>1.4723999999999999</v>
      </c>
      <c r="E35" s="23">
        <f t="shared" si="2"/>
        <v>4.5486868431280305</v>
      </c>
      <c r="F35" s="25">
        <f t="shared" si="0"/>
        <v>0.4384269148889377</v>
      </c>
      <c r="H35" s="5">
        <f t="shared" si="3"/>
        <v>2.4178591182244758E-3</v>
      </c>
      <c r="Q35">
        <f t="shared" si="4"/>
        <v>5.1406878845347526E-4</v>
      </c>
      <c r="S35" s="13">
        <f t="shared" si="5"/>
        <v>2.2673085111062308E-2</v>
      </c>
    </row>
    <row r="36" spans="1:19" ht="18.75" x14ac:dyDescent="0.25">
      <c r="A36" s="8">
        <v>0.49230000000000002</v>
      </c>
      <c r="B36" s="9">
        <v>0.47</v>
      </c>
      <c r="D36" s="4">
        <f t="shared" si="1"/>
        <v>1.4923</v>
      </c>
      <c r="E36" s="23">
        <f t="shared" si="2"/>
        <v>4.6555580020898137</v>
      </c>
      <c r="F36" s="25">
        <f t="shared" si="0"/>
        <v>0.44818194279817219</v>
      </c>
      <c r="H36" s="5">
        <f t="shared" si="3"/>
        <v>2.1549462202907657E-3</v>
      </c>
      <c r="J36" s="2" t="s">
        <v>82</v>
      </c>
      <c r="Q36">
        <f t="shared" si="4"/>
        <v>4.7602762006222901E-4</v>
      </c>
      <c r="S36" s="13">
        <f t="shared" si="5"/>
        <v>2.1818057201827779E-2</v>
      </c>
    </row>
    <row r="37" spans="1:19" ht="15.75" x14ac:dyDescent="0.25">
      <c r="A37" s="8">
        <v>0.51229999999999998</v>
      </c>
      <c r="B37" s="9">
        <v>0.48020000000000002</v>
      </c>
      <c r="D37" s="4">
        <f t="shared" si="1"/>
        <v>1.5123</v>
      </c>
      <c r="E37" s="23">
        <f t="shared" si="2"/>
        <v>4.7652851042136719</v>
      </c>
      <c r="F37" s="25">
        <f t="shared" si="0"/>
        <v>0.45814693329085038</v>
      </c>
      <c r="H37" s="5">
        <f t="shared" si="3"/>
        <v>2.1090829990410946E-3</v>
      </c>
      <c r="J37" s="3" t="s">
        <v>7</v>
      </c>
      <c r="Q37">
        <f t="shared" si="4"/>
        <v>4.8633775127820402E-4</v>
      </c>
      <c r="S37" s="13">
        <f t="shared" si="5"/>
        <v>2.2053066709149638E-2</v>
      </c>
    </row>
    <row r="38" spans="1:19" x14ac:dyDescent="0.25">
      <c r="A38" s="8">
        <v>0.5323</v>
      </c>
      <c r="B38" s="9">
        <v>0.49049999999999999</v>
      </c>
      <c r="D38" s="4">
        <f t="shared" si="1"/>
        <v>1.5323</v>
      </c>
      <c r="E38" s="23">
        <f t="shared" si="2"/>
        <v>4.8772813635358183</v>
      </c>
      <c r="F38" s="25">
        <f t="shared" si="0"/>
        <v>0.46834400146799693</v>
      </c>
      <c r="H38" s="5">
        <f t="shared" si="3"/>
        <v>2.0403498103107706E-3</v>
      </c>
      <c r="Q38">
        <f t="shared" si="4"/>
        <v>4.9088827095012191E-4</v>
      </c>
      <c r="S38" s="13">
        <f t="shared" si="5"/>
        <v>2.2155998532003063E-2</v>
      </c>
    </row>
    <row r="39" spans="1:19" x14ac:dyDescent="0.25">
      <c r="A39" s="8">
        <v>0.55259999999999998</v>
      </c>
      <c r="B39" s="9">
        <v>0.49959999999999999</v>
      </c>
      <c r="D39" s="4">
        <f t="shared" si="1"/>
        <v>1.5526</v>
      </c>
      <c r="E39" s="23">
        <f t="shared" si="2"/>
        <v>4.9932259126265031</v>
      </c>
      <c r="F39" s="25">
        <f t="shared" ref="F39:F56" si="6">2*(D39-1/D39^5)*(_C10+2*_C20*(E39-3)+3*_C30*(E39-3)^2)</f>
        <v>0.47900266609512493</v>
      </c>
      <c r="H39" s="5">
        <f t="shared" si="3"/>
        <v>1.6997191187253858E-3</v>
      </c>
      <c r="Q39">
        <f t="shared" si="4"/>
        <v>4.2425016398891564E-4</v>
      </c>
      <c r="S39" s="13">
        <f t="shared" si="5"/>
        <v>2.0597333904875059E-2</v>
      </c>
    </row>
    <row r="40" spans="1:19" x14ac:dyDescent="0.25">
      <c r="A40" s="8">
        <v>0.57320000000000004</v>
      </c>
      <c r="B40" s="9">
        <v>0.51139999999999997</v>
      </c>
      <c r="D40" s="4">
        <f t="shared" si="1"/>
        <v>1.5731999999999999</v>
      </c>
      <c r="E40" s="23">
        <f t="shared" si="2"/>
        <v>5.1131706371363954</v>
      </c>
      <c r="F40" s="25">
        <f t="shared" si="6"/>
        <v>0.49020965847389364</v>
      </c>
      <c r="H40" s="5">
        <f t="shared" si="3"/>
        <v>1.716937417009605E-3</v>
      </c>
      <c r="Q40">
        <f t="shared" si="4"/>
        <v>4.4903057399302618E-4</v>
      </c>
      <c r="S40" s="13">
        <f t="shared" si="5"/>
        <v>2.1190341526106327E-2</v>
      </c>
    </row>
    <row r="41" spans="1:19" x14ac:dyDescent="0.25">
      <c r="A41" s="8">
        <v>0.59379999999999999</v>
      </c>
      <c r="B41" s="9">
        <v>0.52139999999999997</v>
      </c>
      <c r="D41" s="4">
        <f t="shared" si="1"/>
        <v>1.5937999999999999</v>
      </c>
      <c r="E41" s="23">
        <f t="shared" si="2"/>
        <v>5.2353729737349797</v>
      </c>
      <c r="F41" s="25">
        <f t="shared" si="6"/>
        <v>0.50188358743855588</v>
      </c>
      <c r="H41" s="5">
        <f t="shared" si="3"/>
        <v>1.4010638469754348E-3</v>
      </c>
      <c r="Q41">
        <f t="shared" si="4"/>
        <v>3.8089035926849293E-4</v>
      </c>
      <c r="S41" s="13">
        <f t="shared" si="5"/>
        <v>1.9516412561444096E-2</v>
      </c>
    </row>
    <row r="42" spans="1:19" x14ac:dyDescent="0.25">
      <c r="A42" s="8">
        <v>0.61370000000000002</v>
      </c>
      <c r="B42" s="9">
        <v>0.5333</v>
      </c>
      <c r="D42" s="4">
        <f t="shared" si="1"/>
        <v>1.6137000000000001</v>
      </c>
      <c r="E42" s="23">
        <f t="shared" si="2"/>
        <v>5.355527119840473</v>
      </c>
      <c r="F42" s="25">
        <f t="shared" si="6"/>
        <v>0.51367272695763599</v>
      </c>
      <c r="H42" s="5">
        <f t="shared" si="3"/>
        <v>1.354492987471345E-3</v>
      </c>
      <c r="Q42">
        <f t="shared" si="4"/>
        <v>3.8522984707950865E-4</v>
      </c>
      <c r="S42" s="13">
        <f t="shared" si="5"/>
        <v>1.9627273042364002E-2</v>
      </c>
    </row>
    <row r="43" spans="1:19" x14ac:dyDescent="0.25">
      <c r="A43" s="8">
        <v>0.63439999999999996</v>
      </c>
      <c r="B43" s="9">
        <v>0.54479999999999995</v>
      </c>
      <c r="D43" s="4">
        <f t="shared" si="1"/>
        <v>1.6343999999999999</v>
      </c>
      <c r="E43" s="23">
        <f t="shared" si="2"/>
        <v>5.4826681631627938</v>
      </c>
      <c r="F43" s="25">
        <f t="shared" si="6"/>
        <v>0.52654072921160644</v>
      </c>
      <c r="H43" s="5">
        <f t="shared" si="3"/>
        <v>1.1232919870225488E-3</v>
      </c>
      <c r="K43" t="s">
        <v>83</v>
      </c>
      <c r="Q43">
        <f t="shared" si="4"/>
        <v>3.3340096972388059E-4</v>
      </c>
      <c r="S43" s="13">
        <f t="shared" si="5"/>
        <v>1.8259270788393511E-2</v>
      </c>
    </row>
    <row r="44" spans="1:19" x14ac:dyDescent="0.25">
      <c r="A44" s="8">
        <v>0.65510000000000002</v>
      </c>
      <c r="B44" s="9">
        <v>0.55659999999999998</v>
      </c>
      <c r="D44" s="4">
        <f t="shared" si="1"/>
        <v>1.6551</v>
      </c>
      <c r="E44" s="23">
        <f t="shared" si="2"/>
        <v>5.6119730130559295</v>
      </c>
      <c r="F44" s="25">
        <f t="shared" si="6"/>
        <v>0.54009805893533314</v>
      </c>
      <c r="H44" s="5">
        <f t="shared" si="3"/>
        <v>8.7898944383253252E-4</v>
      </c>
      <c r="Q44">
        <f t="shared" si="4"/>
        <v>2.7231405890173799E-4</v>
      </c>
      <c r="S44" s="13">
        <f t="shared" si="5"/>
        <v>1.6501941064666847E-2</v>
      </c>
    </row>
    <row r="45" spans="1:19" x14ac:dyDescent="0.25">
      <c r="A45" s="8">
        <v>0.67549999999999999</v>
      </c>
      <c r="B45" s="9">
        <v>0.56830000000000003</v>
      </c>
      <c r="D45" s="4">
        <f t="shared" si="1"/>
        <v>1.6755</v>
      </c>
      <c r="E45" s="23">
        <f t="shared" si="2"/>
        <v>5.7414890022998266</v>
      </c>
      <c r="F45" s="25">
        <f t="shared" si="6"/>
        <v>0.55420484377797219</v>
      </c>
      <c r="H45" s="5">
        <f t="shared" si="3"/>
        <v>6.1515488238789552E-4</v>
      </c>
      <c r="Q45">
        <f t="shared" si="4"/>
        <v>1.9867342892337009E-4</v>
      </c>
      <c r="S45" s="13">
        <f t="shared" si="5"/>
        <v>1.4095156222027838E-2</v>
      </c>
    </row>
    <row r="46" spans="1:19" x14ac:dyDescent="0.25">
      <c r="A46" s="8">
        <v>0.69620000000000004</v>
      </c>
      <c r="B46" s="9">
        <v>0.58030000000000004</v>
      </c>
      <c r="D46" s="4">
        <f t="shared" si="1"/>
        <v>1.6962000000000002</v>
      </c>
      <c r="E46" s="23">
        <f t="shared" si="2"/>
        <v>5.8749957867803504</v>
      </c>
      <c r="F46" s="25">
        <f t="shared" si="6"/>
        <v>0.569348789741012</v>
      </c>
      <c r="H46" s="5">
        <f t="shared" si="3"/>
        <v>3.5613863804413861E-4</v>
      </c>
      <c r="Q46">
        <f t="shared" si="4"/>
        <v>1.1992900613656494E-4</v>
      </c>
      <c r="S46" s="13">
        <f t="shared" si="5"/>
        <v>1.0951210258988042E-2</v>
      </c>
    </row>
    <row r="47" spans="1:19" x14ac:dyDescent="0.25">
      <c r="A47" s="8">
        <v>0.71730000000000005</v>
      </c>
      <c r="B47" s="9">
        <v>0.59219999999999995</v>
      </c>
      <c r="D47" s="4">
        <f t="shared" si="1"/>
        <v>1.7173</v>
      </c>
      <c r="E47" s="23">
        <f t="shared" si="2"/>
        <v>6.0132167309934639</v>
      </c>
      <c r="F47" s="25">
        <f t="shared" si="6"/>
        <v>0.58572189693976395</v>
      </c>
      <c r="H47" s="5">
        <f t="shared" si="3"/>
        <v>1.1966272809337791E-4</v>
      </c>
      <c r="Q47">
        <f t="shared" si="4"/>
        <v>4.1965819259038975E-5</v>
      </c>
      <c r="S47" s="13">
        <f t="shared" si="5"/>
        <v>6.4781030602359957E-3</v>
      </c>
    </row>
    <row r="48" spans="1:19" x14ac:dyDescent="0.25">
      <c r="A48" s="8">
        <v>0.7379</v>
      </c>
      <c r="B48" s="9">
        <v>0.60699999999999998</v>
      </c>
      <c r="D48" s="4">
        <f t="shared" si="1"/>
        <v>1.7379</v>
      </c>
      <c r="E48" s="23">
        <f t="shared" si="2"/>
        <v>6.1502156140531836</v>
      </c>
      <c r="F48" s="25">
        <f t="shared" si="6"/>
        <v>0.60269436076304495</v>
      </c>
      <c r="H48" s="5">
        <f t="shared" si="3"/>
        <v>5.0315048320953652E-5</v>
      </c>
      <c r="Q48">
        <f t="shared" si="4"/>
        <v>1.8538529238806768E-5</v>
      </c>
      <c r="S48" s="13">
        <f t="shared" si="5"/>
        <v>4.3056392369550389E-3</v>
      </c>
    </row>
    <row r="49" spans="1:19" x14ac:dyDescent="0.25">
      <c r="A49" s="8">
        <v>0.75860000000000005</v>
      </c>
      <c r="B49" s="9">
        <v>0.61809999999999998</v>
      </c>
      <c r="D49" s="4">
        <f t="shared" si="1"/>
        <v>1.7585999999999999</v>
      </c>
      <c r="E49" s="23">
        <f t="shared" si="2"/>
        <v>6.28989977068274</v>
      </c>
      <c r="F49" s="25">
        <f t="shared" si="6"/>
        <v>0.62080739278589414</v>
      </c>
      <c r="H49" s="5">
        <f t="shared" si="3"/>
        <v>1.9186026833440813E-5</v>
      </c>
      <c r="Q49">
        <f t="shared" si="4"/>
        <v>7.3299756971117316E-6</v>
      </c>
      <c r="S49" s="13">
        <f t="shared" si="5"/>
        <v>2.7073927858941582E-3</v>
      </c>
    </row>
    <row r="50" spans="1:19" x14ac:dyDescent="0.25">
      <c r="A50" s="8">
        <v>0.77959999999999996</v>
      </c>
      <c r="B50" s="9">
        <v>0.63449999999999995</v>
      </c>
      <c r="D50" s="4">
        <f t="shared" si="1"/>
        <v>1.7795999999999998</v>
      </c>
      <c r="E50" s="23">
        <f t="shared" si="2"/>
        <v>6.4336558217463633</v>
      </c>
      <c r="F50" s="25">
        <f t="shared" si="6"/>
        <v>0.64034498546411245</v>
      </c>
      <c r="H50" s="5">
        <f t="shared" si="3"/>
        <v>8.4860115404399725E-5</v>
      </c>
      <c r="Q50">
        <f t="shared" si="4"/>
        <v>3.4163855075686362E-5</v>
      </c>
      <c r="S50" s="13">
        <f t="shared" si="5"/>
        <v>5.8449854641124954E-3</v>
      </c>
    </row>
    <row r="51" spans="1:19" x14ac:dyDescent="0.25">
      <c r="A51" s="8">
        <v>0.80049999999999999</v>
      </c>
      <c r="B51" s="9">
        <v>0.64870000000000005</v>
      </c>
      <c r="D51" s="4">
        <f t="shared" si="1"/>
        <v>1.8005</v>
      </c>
      <c r="E51" s="23">
        <f t="shared" si="2"/>
        <v>6.5787545980857871</v>
      </c>
      <c r="F51" s="25">
        <f t="shared" si="6"/>
        <v>0.66103112733220837</v>
      </c>
      <c r="H51" s="5">
        <f t="shared" si="3"/>
        <v>3.6134143821701996E-4</v>
      </c>
      <c r="Q51">
        <f t="shared" si="4"/>
        <v>1.5205670128313491E-4</v>
      </c>
      <c r="S51" s="13">
        <f t="shared" si="5"/>
        <v>1.2331127332208314E-2</v>
      </c>
    </row>
    <row r="52" spans="1:19" x14ac:dyDescent="0.25">
      <c r="A52" s="8">
        <v>0.82140000000000002</v>
      </c>
      <c r="B52" s="9">
        <v>0.66559999999999997</v>
      </c>
      <c r="D52" s="4">
        <f t="shared" si="1"/>
        <v>1.8214000000000001</v>
      </c>
      <c r="E52" s="23">
        <f t="shared" si="2"/>
        <v>6.7258571624321837</v>
      </c>
      <c r="F52" s="25">
        <f t="shared" si="6"/>
        <v>0.6830365930156862</v>
      </c>
      <c r="H52" s="5">
        <f t="shared" si="3"/>
        <v>6.8627256132651113E-4</v>
      </c>
      <c r="Q52">
        <f t="shared" si="4"/>
        <v>3.0403477599467781E-4</v>
      </c>
      <c r="S52" s="13">
        <f t="shared" si="5"/>
        <v>1.743659301568623E-2</v>
      </c>
    </row>
    <row r="53" spans="1:19" x14ac:dyDescent="0.25">
      <c r="A53" s="8">
        <v>0.84189999999999998</v>
      </c>
      <c r="B53" s="9">
        <v>0.68389999999999995</v>
      </c>
      <c r="D53" s="4">
        <f t="shared" si="1"/>
        <v>1.8418999999999999</v>
      </c>
      <c r="E53" s="23">
        <f t="shared" si="2"/>
        <v>6.8720744200773778</v>
      </c>
      <c r="F53" s="25">
        <f t="shared" si="6"/>
        <v>0.70598154367184618</v>
      </c>
      <c r="H53" s="5">
        <f t="shared" si="3"/>
        <v>1.0424942155607719E-3</v>
      </c>
      <c r="Q53">
        <f t="shared" si="4"/>
        <v>4.8759457093165216E-4</v>
      </c>
      <c r="S53" s="13">
        <f t="shared" si="5"/>
        <v>2.2081543671846227E-2</v>
      </c>
    </row>
    <row r="54" spans="1:19" x14ac:dyDescent="0.25">
      <c r="A54" s="8">
        <v>0.8629</v>
      </c>
      <c r="B54" s="9">
        <v>0.70040000000000002</v>
      </c>
      <c r="D54" s="4">
        <f t="shared" si="1"/>
        <v>1.8629</v>
      </c>
      <c r="E54" s="23">
        <f t="shared" si="2"/>
        <v>7.0238241183879655</v>
      </c>
      <c r="F54" s="25">
        <f t="shared" si="6"/>
        <v>0.7309658315399119</v>
      </c>
      <c r="H54" s="5">
        <f t="shared" si="3"/>
        <v>1.904496398008088E-3</v>
      </c>
      <c r="Q54">
        <f t="shared" si="4"/>
        <v>9.3427005772627185E-4</v>
      </c>
      <c r="S54" s="13">
        <f t="shared" si="5"/>
        <v>3.0565831539911881E-2</v>
      </c>
    </row>
    <row r="55" spans="1:19" x14ac:dyDescent="0.25">
      <c r="A55" s="8">
        <v>0.88370000000000004</v>
      </c>
      <c r="B55" s="9">
        <v>0.71909999999999996</v>
      </c>
      <c r="D55" s="4">
        <f t="shared" si="1"/>
        <v>1.8837000000000002</v>
      </c>
      <c r="E55" s="23">
        <f t="shared" si="2"/>
        <v>7.1760756165389914</v>
      </c>
      <c r="F55" s="25">
        <f t="shared" si="6"/>
        <v>0.75727194865277703</v>
      </c>
      <c r="H55" s="5">
        <f t="shared" si="3"/>
        <v>2.8177994785046441E-3</v>
      </c>
      <c r="Q55">
        <f t="shared" si="4"/>
        <v>1.4570976639502488E-3</v>
      </c>
      <c r="S55" s="13">
        <f t="shared" si="5"/>
        <v>3.8171948652777066E-2</v>
      </c>
    </row>
    <row r="56" spans="1:19" x14ac:dyDescent="0.25">
      <c r="A56" s="20">
        <v>0.90400000000000003</v>
      </c>
      <c r="B56" s="21">
        <v>0.73939999999999995</v>
      </c>
      <c r="D56" s="4">
        <f t="shared" si="1"/>
        <v>1.9039999999999999</v>
      </c>
      <c r="E56" s="23">
        <f t="shared" si="2"/>
        <v>7.3265228128979327</v>
      </c>
      <c r="F56" s="25">
        <f t="shared" si="6"/>
        <v>0.78452382330551496</v>
      </c>
      <c r="H56" s="5">
        <f t="shared" si="3"/>
        <v>3.7243705807334174E-3</v>
      </c>
      <c r="Q56">
        <f t="shared" si="4"/>
        <v>2.0361594297073396E-3</v>
      </c>
      <c r="S56" s="13">
        <f t="shared" si="5"/>
        <v>4.512382330551501E-2</v>
      </c>
    </row>
    <row r="58" spans="1:19" x14ac:dyDescent="0.25">
      <c r="G58" s="1" t="s">
        <v>13</v>
      </c>
      <c r="H58" s="5">
        <f>SUM(H8:H56)</f>
        <v>0.33605534828107919</v>
      </c>
      <c r="P58" s="1" t="s">
        <v>13</v>
      </c>
      <c r="Q58" s="30">
        <f>SUM(Q15:Q56)</f>
        <v>1.8456184892612609E-2</v>
      </c>
      <c r="R58" s="30"/>
      <c r="S58" s="30">
        <f>SUM(S15:S56)</f>
        <v>0.82477086930898136</v>
      </c>
    </row>
  </sheetData>
  <mergeCells count="2">
    <mergeCell ref="A3:B3"/>
    <mergeCell ref="A4:B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46"/>
  <sheetViews>
    <sheetView workbookViewId="0">
      <selection activeCell="U35" sqref="U35"/>
    </sheetView>
  </sheetViews>
  <sheetFormatPr defaultRowHeight="15" x14ac:dyDescent="0.25"/>
  <cols>
    <col min="1" max="2" width="10.7109375" customWidth="1"/>
    <col min="3" max="3" width="2.7109375" customWidth="1"/>
    <col min="4" max="4" width="8.7109375" customWidth="1"/>
    <col min="5" max="6" width="10.7109375" customWidth="1"/>
    <col min="7" max="7" width="2.7109375" customWidth="1"/>
    <col min="8" max="8" width="10.7109375" customWidth="1"/>
    <col min="9" max="9" width="4.7109375" customWidth="1"/>
    <col min="10" max="16" width="11.7109375" customWidth="1"/>
    <col min="17" max="17" width="10.7109375" customWidth="1"/>
    <col min="18" max="18" width="2.7109375" customWidth="1"/>
    <col min="19" max="19" width="10.7109375" customWidth="1"/>
  </cols>
  <sheetData>
    <row r="1" spans="1:19" ht="24.95" customHeight="1" x14ac:dyDescent="0.35">
      <c r="D1" s="15" t="s">
        <v>77</v>
      </c>
    </row>
    <row r="2" spans="1:19" ht="18" customHeight="1" x14ac:dyDescent="0.25"/>
    <row r="3" spans="1:19" x14ac:dyDescent="0.25">
      <c r="A3" s="37" t="s">
        <v>17</v>
      </c>
      <c r="B3" s="38"/>
    </row>
    <row r="4" spans="1:19" x14ac:dyDescent="0.25">
      <c r="A4" s="37" t="s">
        <v>9</v>
      </c>
      <c r="B4" s="38"/>
      <c r="H4" s="16" t="s">
        <v>10</v>
      </c>
      <c r="Q4" s="16" t="s">
        <v>12</v>
      </c>
      <c r="R4" s="16"/>
      <c r="S4" s="16" t="s">
        <v>12</v>
      </c>
    </row>
    <row r="5" spans="1:19" ht="15.75" x14ac:dyDescent="0.25">
      <c r="A5" s="6" t="s">
        <v>5</v>
      </c>
      <c r="B5" s="7" t="s">
        <v>5</v>
      </c>
      <c r="E5" s="16" t="s">
        <v>31</v>
      </c>
      <c r="F5" s="24" t="s">
        <v>31</v>
      </c>
      <c r="H5" s="16" t="s">
        <v>11</v>
      </c>
      <c r="Q5" s="16" t="s">
        <v>11</v>
      </c>
      <c r="R5" s="16"/>
      <c r="S5" s="16" t="s">
        <v>14</v>
      </c>
    </row>
    <row r="6" spans="1:19" x14ac:dyDescent="0.25">
      <c r="A6" s="6" t="s">
        <v>0</v>
      </c>
      <c r="B6" s="7" t="s">
        <v>1</v>
      </c>
      <c r="D6" s="16" t="s">
        <v>2</v>
      </c>
      <c r="E6" s="16" t="s">
        <v>25</v>
      </c>
      <c r="F6" s="16" t="s">
        <v>3</v>
      </c>
      <c r="H6" s="16" t="s">
        <v>4</v>
      </c>
      <c r="Q6" s="16" t="s">
        <v>4</v>
      </c>
      <c r="R6" s="16"/>
      <c r="S6" s="16" t="s">
        <v>4</v>
      </c>
    </row>
    <row r="7" spans="1:19" x14ac:dyDescent="0.25">
      <c r="A7" s="6">
        <v>0</v>
      </c>
      <c r="B7" s="7">
        <v>0</v>
      </c>
      <c r="D7">
        <f>A7+1</f>
        <v>1</v>
      </c>
      <c r="E7" s="16">
        <f>D7^2+1/D7^2+1</f>
        <v>3</v>
      </c>
      <c r="F7" s="16">
        <f t="shared" ref="F7:F44" si="0">2*(D7-1/D7^3)*(_C10+2*_C20*(E7-3)+3*_C30*(E7-3)^2)</f>
        <v>0</v>
      </c>
    </row>
    <row r="8" spans="1:19" x14ac:dyDescent="0.25">
      <c r="A8" s="6">
        <v>2.0400000000000001E-2</v>
      </c>
      <c r="B8" s="7">
        <v>3.6900000000000002E-2</v>
      </c>
      <c r="D8">
        <f t="shared" ref="D8:D44" si="1">A8+1</f>
        <v>1.0204</v>
      </c>
      <c r="E8" s="16">
        <f t="shared" ref="E8:E44" si="2">D8^2+1/D8^2+1</f>
        <v>3.0016315265843989</v>
      </c>
      <c r="F8" s="16">
        <f t="shared" si="0"/>
        <v>2.8501860749487219E-2</v>
      </c>
      <c r="H8" s="5">
        <f>(1-F8/B8)^2</f>
        <v>5.1798050007713932E-2</v>
      </c>
      <c r="Q8">
        <f>(F8-B8)^2</f>
        <v>7.0528742871003413E-5</v>
      </c>
      <c r="S8" s="13">
        <f>ABS(F8-B8)</f>
        <v>8.398139250512783E-3</v>
      </c>
    </row>
    <row r="9" spans="1:19" x14ac:dyDescent="0.25">
      <c r="A9" s="6">
        <v>4.2500000000000003E-2</v>
      </c>
      <c r="B9" s="7">
        <v>6.6400000000000001E-2</v>
      </c>
      <c r="D9">
        <f t="shared" si="1"/>
        <v>1.0425</v>
      </c>
      <c r="E9" s="16">
        <f t="shared" si="2"/>
        <v>3.0069334575864488</v>
      </c>
      <c r="F9" s="16">
        <f t="shared" si="0"/>
        <v>5.7516365921689482E-2</v>
      </c>
      <c r="H9" s="5">
        <f t="shared" ref="H9:H44" si="3">(1-F9/B9)^2</f>
        <v>1.7899675759662125E-2</v>
      </c>
      <c r="Q9">
        <f t="shared" ref="Q9:Q44" si="4">(F9-B9)^2</f>
        <v>7.8918954437319982E-5</v>
      </c>
      <c r="S9" s="13">
        <f t="shared" ref="S9:S44" si="5">ABS(F9-B9)</f>
        <v>8.8836340783105192E-3</v>
      </c>
    </row>
    <row r="10" spans="1:19" x14ac:dyDescent="0.25">
      <c r="A10" s="6">
        <v>6.3700000000000007E-2</v>
      </c>
      <c r="B10" s="7">
        <v>9.2799999999999994E-2</v>
      </c>
      <c r="D10">
        <f t="shared" si="1"/>
        <v>1.0637000000000001</v>
      </c>
      <c r="E10" s="16">
        <f t="shared" si="2"/>
        <v>3.0152733278609261</v>
      </c>
      <c r="F10" s="16">
        <f t="shared" si="0"/>
        <v>8.367836545848123E-2</v>
      </c>
      <c r="H10" s="5">
        <f t="shared" si="3"/>
        <v>9.6616073578965917E-3</v>
      </c>
      <c r="Q10">
        <f t="shared" si="4"/>
        <v>8.320421670902823E-5</v>
      </c>
      <c r="S10" s="13">
        <f t="shared" si="5"/>
        <v>9.1216345415187639E-3</v>
      </c>
    </row>
    <row r="11" spans="1:19" x14ac:dyDescent="0.25">
      <c r="A11" s="6">
        <v>8.4400000000000003E-2</v>
      </c>
      <c r="B11" s="7">
        <v>0.1174</v>
      </c>
      <c r="D11">
        <f t="shared" si="1"/>
        <v>1.0844</v>
      </c>
      <c r="E11" s="16">
        <f t="shared" si="2"/>
        <v>3.0263189163906818</v>
      </c>
      <c r="F11" s="16">
        <f t="shared" si="0"/>
        <v>0.107772452603904</v>
      </c>
      <c r="H11" s="5">
        <f t="shared" si="3"/>
        <v>6.7250441032184289E-3</v>
      </c>
      <c r="Q11">
        <f t="shared" si="4"/>
        <v>9.2689668864074932E-5</v>
      </c>
      <c r="S11" s="13">
        <f t="shared" si="5"/>
        <v>9.6275473960960034E-3</v>
      </c>
    </row>
    <row r="12" spans="1:19" x14ac:dyDescent="0.25">
      <c r="A12" s="6">
        <v>0.105</v>
      </c>
      <c r="B12" s="7">
        <v>0.1401</v>
      </c>
      <c r="D12">
        <f t="shared" si="1"/>
        <v>1.105</v>
      </c>
      <c r="E12" s="16">
        <f t="shared" si="2"/>
        <v>3.0400090502856205</v>
      </c>
      <c r="F12" s="16">
        <f t="shared" si="0"/>
        <v>0.13043770385710637</v>
      </c>
      <c r="H12" s="5">
        <f t="shared" si="3"/>
        <v>4.7564662313182571E-3</v>
      </c>
      <c r="Q12">
        <f t="shared" si="4"/>
        <v>9.3359966752977082E-5</v>
      </c>
      <c r="S12" s="13">
        <f t="shared" si="5"/>
        <v>9.6622961428936283E-3</v>
      </c>
    </row>
    <row r="13" spans="1:19" x14ac:dyDescent="0.25">
      <c r="A13" s="6">
        <v>0.12709999999999999</v>
      </c>
      <c r="B13" s="7">
        <v>0.1615</v>
      </c>
      <c r="D13">
        <f t="shared" si="1"/>
        <v>1.1271</v>
      </c>
      <c r="E13" s="16">
        <f t="shared" si="2"/>
        <v>3.0575363114663787</v>
      </c>
      <c r="F13" s="16">
        <f t="shared" si="0"/>
        <v>0.15341062309846157</v>
      </c>
      <c r="H13" s="5">
        <f t="shared" si="3"/>
        <v>2.508910030965259E-3</v>
      </c>
      <c r="Q13">
        <f t="shared" si="4"/>
        <v>6.5438018655143598E-5</v>
      </c>
      <c r="S13" s="13">
        <f t="shared" si="5"/>
        <v>8.0893769015384365E-3</v>
      </c>
    </row>
    <row r="14" spans="1:19" x14ac:dyDescent="0.25">
      <c r="A14" s="6">
        <v>0.14799999999999999</v>
      </c>
      <c r="B14" s="7">
        <v>0.18160000000000001</v>
      </c>
      <c r="D14">
        <f t="shared" si="1"/>
        <v>1.1479999999999999</v>
      </c>
      <c r="E14" s="16">
        <f t="shared" si="2"/>
        <v>3.0766846092097753</v>
      </c>
      <c r="F14" s="16">
        <f t="shared" si="0"/>
        <v>0.17395564670897593</v>
      </c>
      <c r="H14" s="5">
        <f t="shared" si="3"/>
        <v>1.7719432636837617E-3</v>
      </c>
      <c r="Q14">
        <f t="shared" si="4"/>
        <v>5.8436137237990782E-5</v>
      </c>
      <c r="S14" s="13">
        <f t="shared" si="5"/>
        <v>7.6443532910240863E-3</v>
      </c>
    </row>
    <row r="15" spans="1:19" x14ac:dyDescent="0.25">
      <c r="A15" s="6">
        <v>0.16889999999999999</v>
      </c>
      <c r="B15" s="7">
        <v>0.20019999999999999</v>
      </c>
      <c r="D15">
        <f t="shared" si="1"/>
        <v>1.1689000000000001</v>
      </c>
      <c r="E15" s="16">
        <f t="shared" si="2"/>
        <v>3.0982163158313916</v>
      </c>
      <c r="F15" s="16">
        <f t="shared" si="0"/>
        <v>0.19344062191504102</v>
      </c>
      <c r="H15" s="5">
        <f t="shared" si="3"/>
        <v>1.139948764907008E-3</v>
      </c>
      <c r="Q15">
        <f t="shared" si="4"/>
        <v>4.5689192095423548E-5</v>
      </c>
      <c r="S15" s="13">
        <f t="shared" si="5"/>
        <v>6.7593780849589669E-3</v>
      </c>
    </row>
    <row r="16" spans="1:19" x14ac:dyDescent="0.25">
      <c r="A16" s="6">
        <v>0.19070000000000001</v>
      </c>
      <c r="B16" s="7">
        <v>0.218</v>
      </c>
      <c r="D16">
        <f t="shared" si="1"/>
        <v>1.1907000000000001</v>
      </c>
      <c r="E16" s="16">
        <f t="shared" si="2"/>
        <v>3.1231012591974299</v>
      </c>
      <c r="F16" s="16">
        <f t="shared" si="0"/>
        <v>0.21271993139764339</v>
      </c>
      <c r="H16" s="5">
        <f t="shared" si="3"/>
        <v>5.8663253189108761E-4</v>
      </c>
      <c r="Q16">
        <f t="shared" si="4"/>
        <v>2.7879124445592064E-5</v>
      </c>
      <c r="S16" s="13">
        <f t="shared" si="5"/>
        <v>5.2800686023566079E-3</v>
      </c>
    </row>
    <row r="17" spans="1:19" x14ac:dyDescent="0.25">
      <c r="A17" s="6">
        <v>0.21299999999999999</v>
      </c>
      <c r="B17" s="7">
        <v>0.23499999999999999</v>
      </c>
      <c r="D17">
        <f t="shared" si="1"/>
        <v>1.2130000000000001</v>
      </c>
      <c r="E17" s="16">
        <f t="shared" si="2"/>
        <v>3.1510081659740012</v>
      </c>
      <c r="F17" s="16">
        <f t="shared" si="0"/>
        <v>0.23142153765995074</v>
      </c>
      <c r="H17" s="5">
        <f t="shared" si="3"/>
        <v>2.3187673552106411E-4</v>
      </c>
      <c r="Q17">
        <f t="shared" si="4"/>
        <v>1.2805392719150706E-5</v>
      </c>
      <c r="S17" s="13">
        <f t="shared" si="5"/>
        <v>3.5784623400492432E-3</v>
      </c>
    </row>
    <row r="18" spans="1:19" x14ac:dyDescent="0.25">
      <c r="A18" s="6">
        <v>0.2359</v>
      </c>
      <c r="B18" s="7">
        <v>0.251</v>
      </c>
      <c r="D18">
        <f t="shared" si="1"/>
        <v>1.2359</v>
      </c>
      <c r="E18" s="16">
        <f t="shared" si="2"/>
        <v>3.1821352344831877</v>
      </c>
      <c r="F18" s="16">
        <f t="shared" si="0"/>
        <v>0.24963627922763909</v>
      </c>
      <c r="H18" s="5">
        <f t="shared" si="3"/>
        <v>2.9519124219753136E-5</v>
      </c>
      <c r="Q18">
        <f t="shared" si="4"/>
        <v>1.8597343449686373E-6</v>
      </c>
      <c r="S18" s="13">
        <f t="shared" si="5"/>
        <v>1.3637207723609102E-3</v>
      </c>
    </row>
    <row r="19" spans="1:19" x14ac:dyDescent="0.25">
      <c r="A19" s="6">
        <v>0.25719999999999998</v>
      </c>
      <c r="B19" s="7">
        <v>0.26629999999999998</v>
      </c>
      <c r="D19">
        <f t="shared" si="1"/>
        <v>1.2572000000000001</v>
      </c>
      <c r="E19" s="16">
        <f t="shared" si="2"/>
        <v>3.2132422552666071</v>
      </c>
      <c r="F19" s="16">
        <f t="shared" si="0"/>
        <v>0.26574710286866371</v>
      </c>
      <c r="H19" s="5">
        <f t="shared" si="3"/>
        <v>4.3106855174065478E-6</v>
      </c>
      <c r="Q19">
        <f t="shared" si="4"/>
        <v>3.0569523783987861E-7</v>
      </c>
      <c r="S19" s="13">
        <f t="shared" si="5"/>
        <v>5.5289713133627183E-4</v>
      </c>
    </row>
    <row r="20" spans="1:19" x14ac:dyDescent="0.25">
      <c r="A20" s="6">
        <v>0.28010000000000002</v>
      </c>
      <c r="B20" s="7">
        <v>0.28060000000000002</v>
      </c>
      <c r="D20">
        <f t="shared" si="1"/>
        <v>1.2801</v>
      </c>
      <c r="E20" s="16">
        <f t="shared" si="2"/>
        <v>3.2489122162430664</v>
      </c>
      <c r="F20" s="16">
        <f t="shared" si="0"/>
        <v>0.2822436159241094</v>
      </c>
      <c r="H20" s="5">
        <f t="shared" si="3"/>
        <v>3.4310365706338403E-5</v>
      </c>
      <c r="Q20">
        <f t="shared" si="4"/>
        <v>2.7014733059859552E-6</v>
      </c>
      <c r="S20" s="13">
        <f t="shared" si="5"/>
        <v>1.6436159241093873E-3</v>
      </c>
    </row>
    <row r="21" spans="1:19" x14ac:dyDescent="0.25">
      <c r="A21" s="6">
        <v>0.30199999999999999</v>
      </c>
      <c r="B21" s="7">
        <v>0.29420000000000002</v>
      </c>
      <c r="D21">
        <f t="shared" si="1"/>
        <v>1.302</v>
      </c>
      <c r="E21" s="16">
        <f t="shared" si="2"/>
        <v>3.285103504720376</v>
      </c>
      <c r="F21" s="16">
        <f t="shared" si="0"/>
        <v>0.29728166099741632</v>
      </c>
      <c r="H21" s="5">
        <f t="shared" si="3"/>
        <v>1.0971964325240074E-4</v>
      </c>
      <c r="Q21">
        <f t="shared" si="4"/>
        <v>9.496634502996839E-6</v>
      </c>
      <c r="S21" s="13">
        <f t="shared" si="5"/>
        <v>3.0816609974163023E-3</v>
      </c>
    </row>
    <row r="22" spans="1:19" x14ac:dyDescent="0.25">
      <c r="A22" s="6">
        <v>0.32400000000000001</v>
      </c>
      <c r="B22" s="7">
        <v>0.3075</v>
      </c>
      <c r="D22">
        <f t="shared" si="1"/>
        <v>1.3240000000000001</v>
      </c>
      <c r="E22" s="16">
        <f t="shared" si="2"/>
        <v>3.3234344660600033</v>
      </c>
      <c r="F22" s="16">
        <f t="shared" si="0"/>
        <v>0.31171827098323779</v>
      </c>
      <c r="H22" s="5">
        <f t="shared" si="3"/>
        <v>1.8818227338780576E-4</v>
      </c>
      <c r="Q22">
        <f t="shared" si="4"/>
        <v>1.7793810088025937E-5</v>
      </c>
      <c r="S22" s="13">
        <f t="shared" si="5"/>
        <v>4.2182709832377929E-3</v>
      </c>
    </row>
    <row r="23" spans="1:19" x14ac:dyDescent="0.25">
      <c r="A23" s="6">
        <v>0.34610000000000002</v>
      </c>
      <c r="B23" s="7">
        <v>0.32</v>
      </c>
      <c r="D23">
        <f t="shared" si="1"/>
        <v>1.3461000000000001</v>
      </c>
      <c r="E23" s="16">
        <f t="shared" si="2"/>
        <v>3.3638660942816108</v>
      </c>
      <c r="F23" s="16">
        <f t="shared" si="0"/>
        <v>0.32559672574132681</v>
      </c>
      <c r="H23" s="5">
        <f t="shared" si="3"/>
        <v>3.0589198265264082E-4</v>
      </c>
      <c r="Q23">
        <f t="shared" si="4"/>
        <v>3.1323339023630043E-5</v>
      </c>
      <c r="S23" s="13">
        <f t="shared" si="5"/>
        <v>5.5967257413268023E-3</v>
      </c>
    </row>
    <row r="24" spans="1:19" x14ac:dyDescent="0.25">
      <c r="A24" s="6">
        <v>0.36799999999999999</v>
      </c>
      <c r="B24" s="7">
        <v>0.3322</v>
      </c>
      <c r="D24">
        <f t="shared" si="1"/>
        <v>1.3679999999999999</v>
      </c>
      <c r="E24" s="16">
        <f t="shared" si="2"/>
        <v>3.4057764503265959</v>
      </c>
      <c r="F24" s="16">
        <f t="shared" si="0"/>
        <v>0.33878135339385729</v>
      </c>
      <c r="H24" s="5">
        <f t="shared" si="3"/>
        <v>3.9249232303894036E-4</v>
      </c>
      <c r="Q24">
        <f t="shared" si="4"/>
        <v>4.3314212494836897E-5</v>
      </c>
      <c r="S24" s="13">
        <f t="shared" si="5"/>
        <v>6.5813533938572921E-3</v>
      </c>
    </row>
    <row r="25" spans="1:19" x14ac:dyDescent="0.25">
      <c r="A25" s="6">
        <v>0.39079999999999998</v>
      </c>
      <c r="B25" s="7">
        <v>0.34389999999999998</v>
      </c>
      <c r="D25">
        <f t="shared" si="1"/>
        <v>1.3908</v>
      </c>
      <c r="E25" s="16">
        <f t="shared" si="2"/>
        <v>3.4513009423853123</v>
      </c>
      <c r="F25" s="16">
        <f t="shared" si="0"/>
        <v>0.35195553216104652</v>
      </c>
      <c r="H25" s="5">
        <f t="shared" si="3"/>
        <v>5.4868630449348202E-4</v>
      </c>
      <c r="Q25">
        <f t="shared" si="4"/>
        <v>6.4891598397655157E-5</v>
      </c>
      <c r="S25" s="13">
        <f t="shared" si="5"/>
        <v>8.0555321610465414E-3</v>
      </c>
    </row>
    <row r="26" spans="1:19" x14ac:dyDescent="0.25">
      <c r="A26" s="6">
        <v>0.41320000000000001</v>
      </c>
      <c r="B26" s="7">
        <v>0.35499999999999998</v>
      </c>
      <c r="D26">
        <f t="shared" si="1"/>
        <v>1.4132</v>
      </c>
      <c r="E26" s="16">
        <f t="shared" si="2"/>
        <v>3.4978517080456131</v>
      </c>
      <c r="F26" s="16">
        <f t="shared" si="0"/>
        <v>0.36439568670206235</v>
      </c>
      <c r="H26" s="5">
        <f t="shared" si="3"/>
        <v>7.0048743188504028E-4</v>
      </c>
      <c r="Q26">
        <f t="shared" si="4"/>
        <v>8.8278928603311593E-5</v>
      </c>
      <c r="S26" s="13">
        <f t="shared" si="5"/>
        <v>9.3956867020623669E-3</v>
      </c>
    </row>
    <row r="27" spans="1:19" x14ac:dyDescent="0.25">
      <c r="A27" s="6">
        <v>0.43509999999999999</v>
      </c>
      <c r="B27" s="7">
        <v>0.36609999999999998</v>
      </c>
      <c r="D27">
        <f t="shared" si="1"/>
        <v>1.4351</v>
      </c>
      <c r="E27" s="16">
        <f t="shared" si="2"/>
        <v>3.5450639247955831</v>
      </c>
      <c r="F27" s="16">
        <f t="shared" si="0"/>
        <v>0.37611772511826908</v>
      </c>
      <c r="H27" s="5">
        <f t="shared" si="3"/>
        <v>7.4875332433280053E-4</v>
      </c>
      <c r="Q27">
        <f t="shared" si="4"/>
        <v>1.0035481654519953E-4</v>
      </c>
      <c r="S27" s="13">
        <f t="shared" si="5"/>
        <v>1.0017725118269094E-2</v>
      </c>
    </row>
    <row r="28" spans="1:19" x14ac:dyDescent="0.25">
      <c r="A28" s="6">
        <v>0.45789999999999997</v>
      </c>
      <c r="B28" s="7">
        <v>0.37669999999999998</v>
      </c>
      <c r="D28">
        <f t="shared" si="1"/>
        <v>1.4579</v>
      </c>
      <c r="E28" s="16">
        <f t="shared" si="2"/>
        <v>3.5959560517989542</v>
      </c>
      <c r="F28" s="16">
        <f t="shared" si="0"/>
        <v>0.38790010958685656</v>
      </c>
      <c r="H28" s="5">
        <f t="shared" si="3"/>
        <v>8.8400211410490917E-4</v>
      </c>
      <c r="Q28">
        <f t="shared" si="4"/>
        <v>1.2544245475759659E-4</v>
      </c>
      <c r="S28" s="13">
        <f t="shared" si="5"/>
        <v>1.1200109586856577E-2</v>
      </c>
    </row>
    <row r="29" spans="1:19" x14ac:dyDescent="0.25">
      <c r="A29" s="6">
        <v>0.48130000000000001</v>
      </c>
      <c r="B29" s="7">
        <v>0.3871</v>
      </c>
      <c r="D29">
        <f t="shared" si="1"/>
        <v>1.4813000000000001</v>
      </c>
      <c r="E29" s="16">
        <f t="shared" si="2"/>
        <v>3.6499863386400189</v>
      </c>
      <c r="F29" s="16">
        <f t="shared" si="0"/>
        <v>0.39958788707073373</v>
      </c>
      <c r="H29" s="5">
        <f t="shared" si="3"/>
        <v>1.0407144454872036E-3</v>
      </c>
      <c r="Q29">
        <f t="shared" si="4"/>
        <v>1.559473234913986E-4</v>
      </c>
      <c r="S29" s="13">
        <f t="shared" si="5"/>
        <v>1.2487887070733728E-2</v>
      </c>
    </row>
    <row r="30" spans="1:19" x14ac:dyDescent="0.25">
      <c r="A30" s="6">
        <v>0.50360000000000005</v>
      </c>
      <c r="B30" s="7">
        <v>0.39729999999999999</v>
      </c>
      <c r="D30">
        <f t="shared" si="1"/>
        <v>1.5036</v>
      </c>
      <c r="E30" s="16">
        <f t="shared" si="2"/>
        <v>3.7031317266086274</v>
      </c>
      <c r="F30" s="16">
        <f t="shared" si="0"/>
        <v>0.4103831103005004</v>
      </c>
      <c r="H30" s="5">
        <f t="shared" si="3"/>
        <v>1.0843884309642636E-3</v>
      </c>
      <c r="Q30">
        <f t="shared" si="4"/>
        <v>1.7116777513505996E-4</v>
      </c>
      <c r="S30" s="13">
        <f t="shared" si="5"/>
        <v>1.3083110300500411E-2</v>
      </c>
    </row>
    <row r="31" spans="1:19" x14ac:dyDescent="0.25">
      <c r="A31" s="6">
        <v>0.52649999999999997</v>
      </c>
      <c r="B31" s="7">
        <v>0.40720000000000001</v>
      </c>
      <c r="D31">
        <f t="shared" si="1"/>
        <v>1.5265</v>
      </c>
      <c r="E31" s="16">
        <f t="shared" si="2"/>
        <v>3.7593495482656332</v>
      </c>
      <c r="F31" s="16">
        <f t="shared" si="0"/>
        <v>0.42115768814772059</v>
      </c>
      <c r="H31" s="5">
        <f t="shared" si="3"/>
        <v>1.1749285119145852E-3</v>
      </c>
      <c r="Q31">
        <f t="shared" si="4"/>
        <v>1.9481705842901961E-4</v>
      </c>
      <c r="S31" s="13">
        <f t="shared" si="5"/>
        <v>1.3957688147720582E-2</v>
      </c>
    </row>
    <row r="32" spans="1:19" x14ac:dyDescent="0.25">
      <c r="A32" s="6">
        <v>0.54959999999999998</v>
      </c>
      <c r="B32" s="7">
        <v>0.41699999999999998</v>
      </c>
      <c r="D32">
        <f t="shared" si="1"/>
        <v>1.5495999999999999</v>
      </c>
      <c r="E32" s="16">
        <f t="shared" si="2"/>
        <v>3.8177081637015227</v>
      </c>
      <c r="F32" s="16">
        <f t="shared" si="0"/>
        <v>0.43174380829276648</v>
      </c>
      <c r="H32" s="5">
        <f t="shared" si="3"/>
        <v>1.2501071544137354E-3</v>
      </c>
      <c r="Q32">
        <f t="shared" si="4"/>
        <v>2.1737988297385028E-4</v>
      </c>
      <c r="S32" s="13">
        <f t="shared" si="5"/>
        <v>1.4743808292766503E-2</v>
      </c>
    </row>
    <row r="33" spans="1:19" x14ac:dyDescent="0.25">
      <c r="A33" s="6">
        <v>0.57320000000000004</v>
      </c>
      <c r="B33" s="7">
        <v>0.42670000000000002</v>
      </c>
      <c r="D33">
        <f t="shared" si="1"/>
        <v>1.5731999999999999</v>
      </c>
      <c r="E33" s="16">
        <f t="shared" si="2"/>
        <v>3.8790054614189762</v>
      </c>
      <c r="F33" s="16">
        <f t="shared" si="0"/>
        <v>0.44230360892522291</v>
      </c>
      <c r="H33" s="5">
        <f t="shared" si="3"/>
        <v>1.3372260499149367E-3</v>
      </c>
      <c r="Q33">
        <f t="shared" si="4"/>
        <v>2.434726114912954E-4</v>
      </c>
      <c r="S33" s="13">
        <f t="shared" si="5"/>
        <v>1.5603608925222889E-2</v>
      </c>
    </row>
    <row r="34" spans="1:19" x14ac:dyDescent="0.25">
      <c r="A34" s="6">
        <v>0.59499999999999997</v>
      </c>
      <c r="B34" s="7">
        <v>0.43609999999999999</v>
      </c>
      <c r="D34">
        <f t="shared" si="1"/>
        <v>1.595</v>
      </c>
      <c r="E34" s="16">
        <f t="shared" si="2"/>
        <v>3.9371028982124781</v>
      </c>
      <c r="F34" s="16">
        <f t="shared" si="0"/>
        <v>0.45186086174662626</v>
      </c>
      <c r="H34" s="5">
        <f t="shared" si="3"/>
        <v>1.3061340325272038E-3</v>
      </c>
      <c r="Q34">
        <f t="shared" si="4"/>
        <v>2.4840476299626743E-4</v>
      </c>
      <c r="S34" s="13">
        <f t="shared" si="5"/>
        <v>1.5760861746626276E-2</v>
      </c>
    </row>
    <row r="35" spans="1:19" x14ac:dyDescent="0.25">
      <c r="A35" s="6">
        <v>0.61890000000000001</v>
      </c>
      <c r="B35" s="7">
        <v>0.4456</v>
      </c>
      <c r="D35">
        <f t="shared" si="1"/>
        <v>1.6189</v>
      </c>
      <c r="E35" s="16">
        <f t="shared" si="2"/>
        <v>4.0023946742272418</v>
      </c>
      <c r="F35" s="16">
        <f t="shared" si="0"/>
        <v>0.46215629588518375</v>
      </c>
      <c r="H35" s="5">
        <f t="shared" si="3"/>
        <v>1.3804986752462898E-3</v>
      </c>
      <c r="Q35">
        <f t="shared" si="4"/>
        <v>2.7411093343775265E-4</v>
      </c>
      <c r="S35" s="13">
        <f t="shared" si="5"/>
        <v>1.6556295885183758E-2</v>
      </c>
    </row>
    <row r="36" spans="1:19" ht="18.75" x14ac:dyDescent="0.25">
      <c r="A36" s="6">
        <v>0.6421</v>
      </c>
      <c r="B36" s="7">
        <v>0.45519999999999999</v>
      </c>
      <c r="D36">
        <f t="shared" si="1"/>
        <v>1.6421000000000001</v>
      </c>
      <c r="E36" s="16">
        <f t="shared" si="2"/>
        <v>4.0673445571417757</v>
      </c>
      <c r="F36" s="16">
        <f t="shared" si="0"/>
        <v>0.47200175662424276</v>
      </c>
      <c r="H36" s="5">
        <f t="shared" si="3"/>
        <v>1.3624007449760667E-3</v>
      </c>
      <c r="J36" s="2" t="s">
        <v>84</v>
      </c>
      <c r="Q36">
        <f t="shared" si="4"/>
        <v>2.8229902566028582E-4</v>
      </c>
      <c r="S36" s="13">
        <f t="shared" si="5"/>
        <v>1.680175662424277E-2</v>
      </c>
    </row>
    <row r="37" spans="1:19" ht="15.75" x14ac:dyDescent="0.25">
      <c r="A37" s="6">
        <v>0.66359999999999997</v>
      </c>
      <c r="B37" s="7">
        <v>0.46450000000000002</v>
      </c>
      <c r="D37">
        <f t="shared" si="1"/>
        <v>1.6636</v>
      </c>
      <c r="E37" s="16">
        <f t="shared" si="2"/>
        <v>4.1288934254391636</v>
      </c>
      <c r="F37" s="16">
        <f t="shared" si="0"/>
        <v>0.48102456177295688</v>
      </c>
      <c r="H37" s="5">
        <f t="shared" si="3"/>
        <v>1.2655766842514656E-3</v>
      </c>
      <c r="J37" s="3" t="s">
        <v>7</v>
      </c>
      <c r="Q37">
        <f t="shared" si="4"/>
        <v>2.7306114178826712E-4</v>
      </c>
      <c r="S37" s="13">
        <f t="shared" si="5"/>
        <v>1.6524561772956858E-2</v>
      </c>
    </row>
    <row r="38" spans="1:19" x14ac:dyDescent="0.25">
      <c r="A38" s="6">
        <v>0.68700000000000006</v>
      </c>
      <c r="B38" s="7">
        <v>0.47410000000000002</v>
      </c>
      <c r="D38">
        <f t="shared" si="1"/>
        <v>1.6870000000000001</v>
      </c>
      <c r="E38" s="16">
        <f t="shared" si="2"/>
        <v>4.1973431716793126</v>
      </c>
      <c r="F38" s="16">
        <f t="shared" si="0"/>
        <v>0.4907654071497477</v>
      </c>
      <c r="H38" s="5">
        <f t="shared" si="3"/>
        <v>1.2356399635115485E-3</v>
      </c>
      <c r="Q38">
        <f t="shared" si="4"/>
        <v>2.7773579546686109E-4</v>
      </c>
      <c r="S38" s="13">
        <f t="shared" si="5"/>
        <v>1.666540714974768E-2</v>
      </c>
    </row>
    <row r="39" spans="1:19" x14ac:dyDescent="0.25">
      <c r="A39" s="6">
        <v>0.70940000000000003</v>
      </c>
      <c r="B39" s="7">
        <v>0.48359999999999997</v>
      </c>
      <c r="D39">
        <f t="shared" si="1"/>
        <v>1.7094</v>
      </c>
      <c r="E39" s="16">
        <f t="shared" si="2"/>
        <v>4.2642740444510263</v>
      </c>
      <c r="F39" s="16">
        <f t="shared" si="0"/>
        <v>0.50004239250299265</v>
      </c>
      <c r="H39" s="5">
        <f t="shared" si="3"/>
        <v>1.1559989458304722E-3</v>
      </c>
      <c r="Q39">
        <f t="shared" si="4"/>
        <v>2.7035227122246974E-4</v>
      </c>
      <c r="S39" s="13">
        <f t="shared" si="5"/>
        <v>1.6442392502992675E-2</v>
      </c>
    </row>
    <row r="40" spans="1:19" x14ac:dyDescent="0.25">
      <c r="A40" s="6">
        <v>0.73250000000000004</v>
      </c>
      <c r="B40" s="7">
        <v>0.49330000000000002</v>
      </c>
      <c r="D40">
        <f t="shared" si="1"/>
        <v>1.7324999999999999</v>
      </c>
      <c r="E40" s="16">
        <f t="shared" si="2"/>
        <v>4.3347167563206792</v>
      </c>
      <c r="F40" s="16">
        <f t="shared" si="0"/>
        <v>0.50959157658931065</v>
      </c>
      <c r="H40" s="5">
        <f t="shared" si="3"/>
        <v>1.0906966970433308E-3</v>
      </c>
      <c r="Q40">
        <f t="shared" si="4"/>
        <v>2.654154677653742E-4</v>
      </c>
      <c r="S40" s="13">
        <f t="shared" si="5"/>
        <v>1.629157658931063E-2</v>
      </c>
    </row>
    <row r="41" spans="1:19" x14ac:dyDescent="0.25">
      <c r="A41" s="6">
        <v>0.75539999999999996</v>
      </c>
      <c r="B41" s="7">
        <v>0.50319999999999998</v>
      </c>
      <c r="D41">
        <f t="shared" si="1"/>
        <v>1.7553999999999998</v>
      </c>
      <c r="E41" s="16">
        <f t="shared" si="2"/>
        <v>4.4059539009809026</v>
      </c>
      <c r="F41" s="16">
        <f t="shared" si="0"/>
        <v>0.51907102167415342</v>
      </c>
      <c r="H41" s="5">
        <f t="shared" si="3"/>
        <v>9.9478334281207555E-4</v>
      </c>
      <c r="Q41">
        <f t="shared" si="4"/>
        <v>2.518893289814483E-4</v>
      </c>
      <c r="S41" s="13">
        <f t="shared" si="5"/>
        <v>1.587102167415344E-2</v>
      </c>
    </row>
    <row r="42" spans="1:19" x14ac:dyDescent="0.25">
      <c r="A42" s="6">
        <v>0.77800000000000002</v>
      </c>
      <c r="B42" s="7">
        <v>0.51329999999999998</v>
      </c>
      <c r="D42">
        <f t="shared" si="1"/>
        <v>1.778</v>
      </c>
      <c r="E42" s="16">
        <f t="shared" si="2"/>
        <v>4.4776111632665714</v>
      </c>
      <c r="F42" s="16">
        <f t="shared" si="0"/>
        <v>0.52846883582027526</v>
      </c>
      <c r="H42" s="5">
        <f t="shared" si="3"/>
        <v>8.7329700962565095E-4</v>
      </c>
      <c r="Q42">
        <f t="shared" si="4"/>
        <v>2.3009358014246654E-4</v>
      </c>
      <c r="S42" s="13">
        <f t="shared" si="5"/>
        <v>1.5168835820275284E-2</v>
      </c>
    </row>
    <row r="43" spans="1:19" x14ac:dyDescent="0.25">
      <c r="A43" s="6">
        <v>0.80059999999999998</v>
      </c>
      <c r="B43" s="7">
        <v>0.52370000000000005</v>
      </c>
      <c r="D43">
        <f t="shared" si="1"/>
        <v>1.8006</v>
      </c>
      <c r="E43" s="16">
        <f t="shared" si="2"/>
        <v>4.5505966768267214</v>
      </c>
      <c r="F43" s="16">
        <f t="shared" si="0"/>
        <v>0.53793838988481613</v>
      </c>
      <c r="H43" s="5">
        <f t="shared" si="3"/>
        <v>7.3919090381172764E-4</v>
      </c>
      <c r="K43" t="s">
        <v>83</v>
      </c>
      <c r="Q43">
        <f t="shared" si="4"/>
        <v>2.0273174651203263E-4</v>
      </c>
      <c r="S43" s="13">
        <f t="shared" si="5"/>
        <v>1.4238389884816072E-2</v>
      </c>
    </row>
    <row r="44" spans="1:19" x14ac:dyDescent="0.25">
      <c r="A44" s="10">
        <v>0.82350000000000001</v>
      </c>
      <c r="B44" s="11">
        <v>0.53449999999999998</v>
      </c>
      <c r="D44">
        <f t="shared" si="1"/>
        <v>1.8235000000000001</v>
      </c>
      <c r="E44" s="16">
        <f t="shared" si="2"/>
        <v>4.6258903590595182</v>
      </c>
      <c r="F44" s="16">
        <f t="shared" si="0"/>
        <v>0.54763689934809967</v>
      </c>
      <c r="H44" s="5">
        <f t="shared" si="3"/>
        <v>6.0407425343392751E-4</v>
      </c>
      <c r="Q44">
        <f t="shared" si="4"/>
        <v>1.725781244821022E-4</v>
      </c>
      <c r="S44" s="13">
        <f t="shared" si="5"/>
        <v>1.3136899348099695E-2</v>
      </c>
    </row>
    <row r="46" spans="1:19" x14ac:dyDescent="0.25">
      <c r="G46" s="1" t="s">
        <v>13</v>
      </c>
      <c r="H46" s="5">
        <f>SUM(H8:H44)</f>
        <v>0.11892216620513352</v>
      </c>
      <c r="P46" s="1" t="s">
        <v>13</v>
      </c>
      <c r="Q46" s="13">
        <f>SUM(Q3:Q44)</f>
        <v>4.8461689420657029E-3</v>
      </c>
      <c r="R46" s="13"/>
      <c r="S46" s="13">
        <f>SUM(S3:S44)</f>
        <v>0.3820862908764876</v>
      </c>
    </row>
  </sheetData>
  <mergeCells count="2">
    <mergeCell ref="A3:B3"/>
    <mergeCell ref="A4:B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54"/>
  <sheetViews>
    <sheetView tabSelected="1" workbookViewId="0">
      <selection activeCell="L42" sqref="L42"/>
    </sheetView>
  </sheetViews>
  <sheetFormatPr defaultRowHeight="15" x14ac:dyDescent="0.25"/>
  <cols>
    <col min="1" max="2" width="10.7109375" customWidth="1"/>
    <col min="3" max="3" width="5.7109375" customWidth="1"/>
    <col min="4" max="5" width="10.7109375" customWidth="1"/>
    <col min="6" max="6" width="5.7109375" customWidth="1"/>
    <col min="7" max="8" width="10.7109375" customWidth="1"/>
    <col min="9" max="9" width="7" customWidth="1"/>
  </cols>
  <sheetData>
    <row r="1" spans="1:8" x14ac:dyDescent="0.25">
      <c r="A1" s="37" t="s">
        <v>15</v>
      </c>
      <c r="B1" s="38"/>
      <c r="D1" s="37" t="s">
        <v>16</v>
      </c>
      <c r="E1" s="38"/>
      <c r="G1" s="37" t="s">
        <v>17</v>
      </c>
      <c r="H1" s="38"/>
    </row>
    <row r="2" spans="1:8" x14ac:dyDescent="0.25">
      <c r="A2" s="37" t="s">
        <v>9</v>
      </c>
      <c r="B2" s="38"/>
      <c r="D2" s="37" t="s">
        <v>9</v>
      </c>
      <c r="E2" s="38"/>
      <c r="G2" s="37" t="s">
        <v>9</v>
      </c>
      <c r="H2" s="38"/>
    </row>
    <row r="3" spans="1:8" x14ac:dyDescent="0.25">
      <c r="A3" s="6" t="s">
        <v>5</v>
      </c>
      <c r="B3" s="7" t="s">
        <v>5</v>
      </c>
      <c r="D3" s="6" t="s">
        <v>5</v>
      </c>
      <c r="E3" s="7" t="s">
        <v>5</v>
      </c>
      <c r="G3" s="6" t="s">
        <v>5</v>
      </c>
      <c r="H3" s="7" t="s">
        <v>5</v>
      </c>
    </row>
    <row r="4" spans="1:8" x14ac:dyDescent="0.25">
      <c r="A4" s="6" t="s">
        <v>0</v>
      </c>
      <c r="B4" s="7" t="s">
        <v>1</v>
      </c>
      <c r="D4" s="6" t="s">
        <v>0</v>
      </c>
      <c r="E4" s="7" t="s">
        <v>1</v>
      </c>
      <c r="G4" s="6" t="s">
        <v>0</v>
      </c>
      <c r="H4" s="7" t="s">
        <v>1</v>
      </c>
    </row>
    <row r="5" spans="1:8" x14ac:dyDescent="0.25">
      <c r="A5" s="6">
        <v>0</v>
      </c>
      <c r="B5" s="7">
        <v>0</v>
      </c>
      <c r="D5" s="6">
        <v>0</v>
      </c>
      <c r="E5" s="7">
        <v>0</v>
      </c>
      <c r="G5" s="6">
        <v>0</v>
      </c>
      <c r="H5" s="7">
        <v>0</v>
      </c>
    </row>
    <row r="6" spans="1:8" x14ac:dyDescent="0.25">
      <c r="A6" s="8">
        <v>1.8599999999999998E-2</v>
      </c>
      <c r="B6" s="9">
        <v>2.81E-2</v>
      </c>
      <c r="D6" s="8">
        <v>1.46E-2</v>
      </c>
      <c r="E6" s="9">
        <v>4.2099999999999999E-2</v>
      </c>
      <c r="G6" s="8">
        <v>2.0400000000000001E-2</v>
      </c>
      <c r="H6" s="9">
        <v>3.6900000000000002E-2</v>
      </c>
    </row>
    <row r="7" spans="1:8" x14ac:dyDescent="0.25">
      <c r="A7" s="8">
        <v>3.7199999999999997E-2</v>
      </c>
      <c r="B7" s="9">
        <v>5.1499999999999997E-2</v>
      </c>
      <c r="D7" s="8">
        <v>3.04E-2</v>
      </c>
      <c r="E7" s="9">
        <v>7.7700000000000005E-2</v>
      </c>
      <c r="G7" s="8">
        <v>4.2500000000000003E-2</v>
      </c>
      <c r="H7" s="9">
        <v>6.6400000000000001E-2</v>
      </c>
    </row>
    <row r="8" spans="1:8" x14ac:dyDescent="0.25">
      <c r="A8" s="8">
        <v>5.7500000000000002E-2</v>
      </c>
      <c r="B8" s="9">
        <v>7.1599999999999997E-2</v>
      </c>
      <c r="D8" s="8">
        <v>4.5900000000000003E-2</v>
      </c>
      <c r="E8" s="9">
        <v>0.1086</v>
      </c>
      <c r="G8" s="8">
        <v>6.3700000000000007E-2</v>
      </c>
      <c r="H8" s="9">
        <v>9.2799999999999994E-2</v>
      </c>
    </row>
    <row r="9" spans="1:8" x14ac:dyDescent="0.25">
      <c r="A9" s="8">
        <v>7.7700000000000005E-2</v>
      </c>
      <c r="B9" s="9">
        <v>9.06E-2</v>
      </c>
      <c r="D9" s="8">
        <v>6.1600000000000002E-2</v>
      </c>
      <c r="E9" s="9">
        <v>0.1361</v>
      </c>
      <c r="G9" s="8">
        <v>8.4400000000000003E-2</v>
      </c>
      <c r="H9" s="9">
        <v>0.1174</v>
      </c>
    </row>
    <row r="10" spans="1:8" x14ac:dyDescent="0.25">
      <c r="A10" s="8">
        <v>9.74E-2</v>
      </c>
      <c r="B10" s="9">
        <v>0.1085</v>
      </c>
      <c r="D10" s="8">
        <v>7.6999999999999999E-2</v>
      </c>
      <c r="E10" s="9">
        <v>0.1605</v>
      </c>
      <c r="G10" s="8">
        <v>0.105</v>
      </c>
      <c r="H10" s="9">
        <v>0.1401</v>
      </c>
    </row>
    <row r="11" spans="1:8" x14ac:dyDescent="0.25">
      <c r="A11" s="8">
        <v>0.1172</v>
      </c>
      <c r="B11" s="9">
        <v>0.12540000000000001</v>
      </c>
      <c r="D11" s="8">
        <v>9.2600000000000002E-2</v>
      </c>
      <c r="E11" s="9">
        <v>0.18279999999999999</v>
      </c>
      <c r="G11" s="8">
        <v>0.12709999999999999</v>
      </c>
      <c r="H11" s="9">
        <v>0.1615</v>
      </c>
    </row>
    <row r="12" spans="1:8" x14ac:dyDescent="0.25">
      <c r="A12" s="8">
        <v>0.13739999999999999</v>
      </c>
      <c r="B12" s="9">
        <v>0.1414</v>
      </c>
      <c r="D12" s="8">
        <v>0.1081</v>
      </c>
      <c r="E12" s="9">
        <v>0.2031</v>
      </c>
      <c r="G12" s="8">
        <v>0.14799999999999999</v>
      </c>
      <c r="H12" s="9">
        <v>0.18160000000000001</v>
      </c>
    </row>
    <row r="13" spans="1:8" x14ac:dyDescent="0.25">
      <c r="A13" s="8">
        <v>0.15809999999999999</v>
      </c>
      <c r="B13" s="9">
        <v>0.15659999999999999</v>
      </c>
      <c r="D13" s="8">
        <v>0.1236</v>
      </c>
      <c r="E13" s="9">
        <v>0.2228</v>
      </c>
      <c r="G13" s="8">
        <v>0.16889999999999999</v>
      </c>
      <c r="H13" s="9">
        <v>0.20019999999999999</v>
      </c>
    </row>
    <row r="14" spans="1:8" x14ac:dyDescent="0.25">
      <c r="A14" s="8">
        <v>0.17780000000000001</v>
      </c>
      <c r="B14" s="9">
        <v>0.17180000000000001</v>
      </c>
      <c r="D14" s="8">
        <v>0.1391</v>
      </c>
      <c r="E14" s="9">
        <v>0.23960000000000001</v>
      </c>
      <c r="G14" s="8">
        <v>0.19070000000000001</v>
      </c>
      <c r="H14" s="9">
        <v>0.218</v>
      </c>
    </row>
    <row r="15" spans="1:8" ht="14.45" x14ac:dyDescent="0.3">
      <c r="A15" s="8">
        <v>0.1991</v>
      </c>
      <c r="B15" s="9">
        <v>0.18479999999999999</v>
      </c>
      <c r="D15" s="8">
        <v>0.1547</v>
      </c>
      <c r="E15" s="9">
        <v>0.25659999999999999</v>
      </c>
      <c r="G15" s="8">
        <v>0.21299999999999999</v>
      </c>
      <c r="H15" s="9">
        <v>0.23499999999999999</v>
      </c>
    </row>
    <row r="16" spans="1:8" x14ac:dyDescent="0.25">
      <c r="A16" s="8">
        <v>0.22020000000000001</v>
      </c>
      <c r="B16" s="9">
        <v>0.19850000000000001</v>
      </c>
      <c r="D16" s="8">
        <v>0.17050000000000001</v>
      </c>
      <c r="E16" s="9">
        <v>0.27129999999999999</v>
      </c>
      <c r="G16" s="8">
        <v>0.2359</v>
      </c>
      <c r="H16" s="9">
        <v>0.251</v>
      </c>
    </row>
    <row r="17" spans="1:10" x14ac:dyDescent="0.25">
      <c r="A17" s="8">
        <v>0.24079999999999999</v>
      </c>
      <c r="B17" s="9">
        <v>0.21099999999999999</v>
      </c>
      <c r="D17" s="8">
        <v>0.18629999999999999</v>
      </c>
      <c r="E17" s="9">
        <v>0.28689999999999999</v>
      </c>
      <c r="G17" s="8">
        <v>0.25719999999999998</v>
      </c>
      <c r="H17" s="9">
        <v>0.26629999999999998</v>
      </c>
    </row>
    <row r="18" spans="1:10" x14ac:dyDescent="0.25">
      <c r="A18" s="8">
        <v>0.26150000000000001</v>
      </c>
      <c r="B18" s="9">
        <v>0.22289999999999999</v>
      </c>
      <c r="D18" s="8">
        <v>0.2024</v>
      </c>
      <c r="E18" s="9">
        <v>0.2979</v>
      </c>
      <c r="G18" s="8">
        <v>0.28010000000000002</v>
      </c>
      <c r="H18" s="9">
        <v>0.28060000000000002</v>
      </c>
    </row>
    <row r="19" spans="1:10" x14ac:dyDescent="0.25">
      <c r="A19" s="8">
        <v>0.28260000000000002</v>
      </c>
      <c r="B19" s="9">
        <v>0.23480000000000001</v>
      </c>
      <c r="D19" s="8">
        <v>0.21840000000000001</v>
      </c>
      <c r="E19" s="9">
        <v>0.31169999999999998</v>
      </c>
      <c r="G19" s="8">
        <v>0.30199999999999999</v>
      </c>
      <c r="H19" s="9">
        <v>0.29420000000000002</v>
      </c>
    </row>
    <row r="20" spans="1:10" x14ac:dyDescent="0.25">
      <c r="A20" s="8">
        <v>0.3039</v>
      </c>
      <c r="B20" s="9">
        <v>0.2457</v>
      </c>
      <c r="D20" s="8">
        <v>0.2349</v>
      </c>
      <c r="E20" s="9">
        <v>0.3241</v>
      </c>
      <c r="G20" s="8">
        <v>0.32400000000000001</v>
      </c>
      <c r="H20" s="9">
        <v>0.3075</v>
      </c>
    </row>
    <row r="21" spans="1:10" x14ac:dyDescent="0.25">
      <c r="A21" s="8">
        <v>0.32519999999999999</v>
      </c>
      <c r="B21" s="9">
        <v>0.25719999999999998</v>
      </c>
      <c r="D21" s="8">
        <v>0.25169999999999998</v>
      </c>
      <c r="E21" s="9">
        <v>0.3367</v>
      </c>
      <c r="G21" s="8">
        <v>0.34610000000000002</v>
      </c>
      <c r="H21" s="9">
        <v>0.32</v>
      </c>
    </row>
    <row r="22" spans="1:10" x14ac:dyDescent="0.25">
      <c r="A22" s="8">
        <v>0.34649999999999997</v>
      </c>
      <c r="B22" s="9">
        <v>0.2671</v>
      </c>
      <c r="D22" s="8">
        <v>0.26850000000000002</v>
      </c>
      <c r="E22" s="9">
        <v>0.34899999999999998</v>
      </c>
      <c r="G22" s="8">
        <v>0.36799999999999999</v>
      </c>
      <c r="H22" s="9">
        <v>0.3322</v>
      </c>
    </row>
    <row r="23" spans="1:10" x14ac:dyDescent="0.25">
      <c r="A23" s="8">
        <v>0.36840000000000001</v>
      </c>
      <c r="B23" s="9">
        <v>0.2772</v>
      </c>
      <c r="D23" s="8">
        <v>0.28560000000000002</v>
      </c>
      <c r="E23" s="9">
        <v>0.36070000000000002</v>
      </c>
      <c r="G23" s="8">
        <v>0.39079999999999998</v>
      </c>
      <c r="H23" s="9">
        <v>0.34389999999999998</v>
      </c>
    </row>
    <row r="24" spans="1:10" x14ac:dyDescent="0.25">
      <c r="A24" s="8">
        <v>0.38969999999999999</v>
      </c>
      <c r="B24" s="9">
        <v>0.28699999999999998</v>
      </c>
      <c r="D24" s="8">
        <v>0.3029</v>
      </c>
      <c r="E24" s="9">
        <v>0.37130000000000002</v>
      </c>
      <c r="G24" s="8">
        <v>0.41320000000000001</v>
      </c>
      <c r="H24" s="9">
        <v>0.35499999999999998</v>
      </c>
    </row>
    <row r="25" spans="1:10" x14ac:dyDescent="0.25">
      <c r="A25" s="8">
        <v>0.4108</v>
      </c>
      <c r="B25" s="9">
        <v>0.29670000000000002</v>
      </c>
      <c r="D25" s="8">
        <v>0.32069999999999999</v>
      </c>
      <c r="E25" s="9">
        <v>0.38090000000000002</v>
      </c>
      <c r="G25" s="8">
        <v>0.43509999999999999</v>
      </c>
      <c r="H25" s="9">
        <v>0.36609999999999998</v>
      </c>
    </row>
    <row r="26" spans="1:10" x14ac:dyDescent="0.25">
      <c r="A26" s="8">
        <v>0.43130000000000002</v>
      </c>
      <c r="B26" s="9">
        <v>0.30599999999999999</v>
      </c>
      <c r="D26" s="8">
        <v>0.3387</v>
      </c>
      <c r="E26" s="9">
        <v>0.39179999999999998</v>
      </c>
      <c r="G26" s="8">
        <v>0.45789999999999997</v>
      </c>
      <c r="H26" s="9">
        <v>0.37669999999999998</v>
      </c>
    </row>
    <row r="27" spans="1:10" x14ac:dyDescent="0.25">
      <c r="A27" s="8">
        <v>0.45200000000000001</v>
      </c>
      <c r="B27" s="9">
        <v>0.31519999999999998</v>
      </c>
      <c r="D27" s="8">
        <v>0.3574</v>
      </c>
      <c r="E27" s="9">
        <v>0.40100000000000002</v>
      </c>
      <c r="G27" s="8">
        <v>0.48130000000000001</v>
      </c>
      <c r="H27" s="9">
        <v>0.3871</v>
      </c>
    </row>
    <row r="28" spans="1:10" x14ac:dyDescent="0.25">
      <c r="A28" s="8">
        <v>0.47249999999999998</v>
      </c>
      <c r="B28" s="9">
        <v>0.3246</v>
      </c>
      <c r="D28" s="8">
        <v>0.37590000000000001</v>
      </c>
      <c r="E28" s="9">
        <v>0.41139999999999999</v>
      </c>
      <c r="G28" s="8">
        <v>0.50360000000000005</v>
      </c>
      <c r="H28" s="9">
        <v>0.39729999999999999</v>
      </c>
    </row>
    <row r="29" spans="1:10" x14ac:dyDescent="0.25">
      <c r="A29" s="8">
        <v>0.49390000000000001</v>
      </c>
      <c r="B29" s="9">
        <v>0.3332</v>
      </c>
      <c r="D29" s="8">
        <v>0.39439999999999997</v>
      </c>
      <c r="E29" s="9">
        <v>0.42099999999999999</v>
      </c>
      <c r="G29" s="8">
        <v>0.52649999999999997</v>
      </c>
      <c r="H29" s="9">
        <v>0.40720000000000001</v>
      </c>
    </row>
    <row r="30" spans="1:10" x14ac:dyDescent="0.25">
      <c r="A30" s="8">
        <v>0.51580000000000004</v>
      </c>
      <c r="B30" s="9">
        <v>0.34150000000000003</v>
      </c>
      <c r="D30" s="8">
        <v>0.41320000000000001</v>
      </c>
      <c r="E30" s="9">
        <v>0.43109999999999998</v>
      </c>
      <c r="G30" s="8">
        <v>0.54959999999999998</v>
      </c>
      <c r="H30" s="9">
        <v>0.41699999999999998</v>
      </c>
    </row>
    <row r="31" spans="1:10" x14ac:dyDescent="0.25">
      <c r="A31" s="8">
        <v>0.53710000000000002</v>
      </c>
      <c r="B31" s="9">
        <v>0.35010000000000002</v>
      </c>
      <c r="D31" s="8">
        <v>0.4325</v>
      </c>
      <c r="E31" s="9">
        <v>0.44259999999999999</v>
      </c>
      <c r="G31" s="8">
        <v>0.57320000000000004</v>
      </c>
      <c r="H31" s="9">
        <v>0.42670000000000002</v>
      </c>
    </row>
    <row r="32" spans="1:10" x14ac:dyDescent="0.25">
      <c r="A32" s="8">
        <v>0.5575</v>
      </c>
      <c r="B32" s="9">
        <v>0.35830000000000001</v>
      </c>
      <c r="D32" s="8">
        <v>0.45250000000000001</v>
      </c>
      <c r="E32" s="9">
        <v>0.45079999999999998</v>
      </c>
      <c r="G32" s="8">
        <v>0.59499999999999997</v>
      </c>
      <c r="H32" s="9">
        <v>0.43609999999999999</v>
      </c>
      <c r="J32" t="s">
        <v>18</v>
      </c>
    </row>
    <row r="33" spans="1:10" x14ac:dyDescent="0.25">
      <c r="A33" s="8">
        <v>0.57869999999999999</v>
      </c>
      <c r="B33" s="9">
        <v>0.36659999999999998</v>
      </c>
      <c r="D33" s="8">
        <v>0.47239999999999999</v>
      </c>
      <c r="E33" s="9">
        <v>0.46110000000000001</v>
      </c>
      <c r="G33" s="8">
        <v>0.61890000000000001</v>
      </c>
      <c r="H33" s="9">
        <v>0.4456</v>
      </c>
      <c r="J33" t="s">
        <v>19</v>
      </c>
    </row>
    <row r="34" spans="1:10" x14ac:dyDescent="0.25">
      <c r="A34" s="8">
        <v>0.59960000000000002</v>
      </c>
      <c r="B34" s="9">
        <v>0.37459999999999999</v>
      </c>
      <c r="D34" s="8">
        <v>0.49230000000000002</v>
      </c>
      <c r="E34" s="9">
        <v>0.47</v>
      </c>
      <c r="G34" s="8">
        <v>0.6421</v>
      </c>
      <c r="H34" s="9">
        <v>0.45519999999999999</v>
      </c>
      <c r="J34" s="22" t="s">
        <v>20</v>
      </c>
    </row>
    <row r="35" spans="1:10" x14ac:dyDescent="0.25">
      <c r="A35" s="8">
        <v>0.621</v>
      </c>
      <c r="B35" s="9">
        <v>0.38329999999999997</v>
      </c>
      <c r="D35" s="8">
        <v>0.51229999999999998</v>
      </c>
      <c r="E35" s="9">
        <v>0.48020000000000002</v>
      </c>
      <c r="G35" s="8">
        <v>0.66359999999999997</v>
      </c>
      <c r="H35" s="9">
        <v>0.46450000000000002</v>
      </c>
    </row>
    <row r="36" spans="1:10" x14ac:dyDescent="0.25">
      <c r="A36" s="8">
        <v>0.64200000000000002</v>
      </c>
      <c r="B36" s="9">
        <v>0.39119999999999999</v>
      </c>
      <c r="D36" s="8">
        <v>0.5323</v>
      </c>
      <c r="E36" s="9">
        <v>0.49049999999999999</v>
      </c>
      <c r="G36" s="8">
        <v>0.68700000000000006</v>
      </c>
      <c r="H36" s="9">
        <v>0.47410000000000002</v>
      </c>
      <c r="J36" t="s">
        <v>21</v>
      </c>
    </row>
    <row r="37" spans="1:10" x14ac:dyDescent="0.25">
      <c r="A37" s="8">
        <v>0.66310000000000002</v>
      </c>
      <c r="B37" s="9">
        <v>0.40010000000000001</v>
      </c>
      <c r="D37" s="8">
        <v>0.55259999999999998</v>
      </c>
      <c r="E37" s="9">
        <v>0.49959999999999999</v>
      </c>
      <c r="G37" s="8">
        <v>0.70940000000000003</v>
      </c>
      <c r="H37" s="9">
        <v>0.48359999999999997</v>
      </c>
      <c r="J37" t="s">
        <v>22</v>
      </c>
    </row>
    <row r="38" spans="1:10" x14ac:dyDescent="0.25">
      <c r="A38" s="8">
        <v>0.68489999999999995</v>
      </c>
      <c r="B38" s="9">
        <v>0.4083</v>
      </c>
      <c r="D38" s="8">
        <v>0.57320000000000004</v>
      </c>
      <c r="E38" s="9">
        <v>0.51139999999999997</v>
      </c>
      <c r="G38" s="8">
        <v>0.73250000000000004</v>
      </c>
      <c r="H38" s="9">
        <v>0.49330000000000002</v>
      </c>
      <c r="J38" t="s">
        <v>23</v>
      </c>
    </row>
    <row r="39" spans="1:10" x14ac:dyDescent="0.25">
      <c r="A39" s="8">
        <v>0.70599999999999996</v>
      </c>
      <c r="B39" s="9">
        <v>0.41720000000000002</v>
      </c>
      <c r="D39" s="8">
        <v>0.59379999999999999</v>
      </c>
      <c r="E39" s="9">
        <v>0.52139999999999997</v>
      </c>
      <c r="G39" s="8">
        <v>0.75539999999999996</v>
      </c>
      <c r="H39" s="9">
        <v>0.50319999999999998</v>
      </c>
    </row>
    <row r="40" spans="1:10" x14ac:dyDescent="0.25">
      <c r="A40" s="8">
        <v>0.72709999999999997</v>
      </c>
      <c r="B40" s="9">
        <v>0.4254</v>
      </c>
      <c r="D40" s="8">
        <v>0.61370000000000002</v>
      </c>
      <c r="E40" s="9">
        <v>0.5333</v>
      </c>
      <c r="G40" s="8">
        <v>0.77800000000000002</v>
      </c>
      <c r="H40" s="9">
        <v>0.51329999999999998</v>
      </c>
    </row>
    <row r="41" spans="1:10" x14ac:dyDescent="0.25">
      <c r="A41" s="8">
        <v>0.74829999999999997</v>
      </c>
      <c r="B41" s="9">
        <v>0.43380000000000002</v>
      </c>
      <c r="D41" s="8">
        <v>0.63439999999999996</v>
      </c>
      <c r="E41" s="9">
        <v>0.54479999999999995</v>
      </c>
      <c r="G41" s="8">
        <v>0.80059999999999998</v>
      </c>
      <c r="H41" s="9">
        <v>0.52370000000000005</v>
      </c>
    </row>
    <row r="42" spans="1:10" x14ac:dyDescent="0.25">
      <c r="A42" s="8">
        <v>0.76919999999999999</v>
      </c>
      <c r="B42" s="9">
        <v>0.44259999999999999</v>
      </c>
      <c r="D42" s="8">
        <v>0.65510000000000002</v>
      </c>
      <c r="E42" s="9">
        <v>0.55659999999999998</v>
      </c>
      <c r="G42" s="20">
        <v>0.82350000000000001</v>
      </c>
      <c r="H42" s="21">
        <v>0.53449999999999998</v>
      </c>
    </row>
    <row r="43" spans="1:10" x14ac:dyDescent="0.25">
      <c r="A43" s="8">
        <v>0.79039999999999999</v>
      </c>
      <c r="B43" s="9">
        <v>0.45100000000000001</v>
      </c>
      <c r="D43" s="8">
        <v>0.67549999999999999</v>
      </c>
      <c r="E43" s="9">
        <v>0.56830000000000003</v>
      </c>
    </row>
    <row r="44" spans="1:10" x14ac:dyDescent="0.25">
      <c r="A44" s="8">
        <v>0.81120000000000003</v>
      </c>
      <c r="B44" s="9">
        <v>0.46050000000000002</v>
      </c>
      <c r="D44" s="8">
        <v>0.69620000000000004</v>
      </c>
      <c r="E44" s="9">
        <v>0.58030000000000004</v>
      </c>
    </row>
    <row r="45" spans="1:10" x14ac:dyDescent="0.25">
      <c r="A45" s="8">
        <v>0.83199999999999996</v>
      </c>
      <c r="B45" s="9">
        <v>0.46949999999999997</v>
      </c>
      <c r="D45" s="8">
        <v>0.71730000000000005</v>
      </c>
      <c r="E45" s="9">
        <v>0.59219999999999995</v>
      </c>
    </row>
    <row r="46" spans="1:10" x14ac:dyDescent="0.25">
      <c r="A46" s="8">
        <v>0.85329999999999995</v>
      </c>
      <c r="B46" s="9">
        <v>0.47899999999999998</v>
      </c>
      <c r="D46" s="8">
        <v>0.7379</v>
      </c>
      <c r="E46" s="9">
        <v>0.60699999999999998</v>
      </c>
    </row>
    <row r="47" spans="1:10" x14ac:dyDescent="0.25">
      <c r="A47" s="20">
        <v>0.873</v>
      </c>
      <c r="B47" s="21">
        <v>0.48870000000000002</v>
      </c>
      <c r="D47" s="8">
        <v>0.75860000000000005</v>
      </c>
      <c r="E47" s="9">
        <v>0.61809999999999998</v>
      </c>
    </row>
    <row r="48" spans="1:10" x14ac:dyDescent="0.25">
      <c r="D48" s="8">
        <v>0.77959999999999996</v>
      </c>
      <c r="E48" s="9">
        <v>0.63449999999999995</v>
      </c>
    </row>
    <row r="49" spans="4:5" x14ac:dyDescent="0.25">
      <c r="D49" s="8">
        <v>0.80049999999999999</v>
      </c>
      <c r="E49" s="9">
        <v>0.64870000000000005</v>
      </c>
    </row>
    <row r="50" spans="4:5" x14ac:dyDescent="0.25">
      <c r="D50" s="8">
        <v>0.82140000000000002</v>
      </c>
      <c r="E50" s="9">
        <v>0.66559999999999997</v>
      </c>
    </row>
    <row r="51" spans="4:5" x14ac:dyDescent="0.25">
      <c r="D51" s="8">
        <v>0.84189999999999998</v>
      </c>
      <c r="E51" s="9">
        <v>0.68389999999999995</v>
      </c>
    </row>
    <row r="52" spans="4:5" x14ac:dyDescent="0.25">
      <c r="D52" s="8">
        <v>0.8629</v>
      </c>
      <c r="E52" s="9">
        <v>0.70040000000000002</v>
      </c>
    </row>
    <row r="53" spans="4:5" x14ac:dyDescent="0.25">
      <c r="D53" s="8">
        <v>0.88370000000000004</v>
      </c>
      <c r="E53" s="9">
        <v>0.71909999999999996</v>
      </c>
    </row>
    <row r="54" spans="4:5" x14ac:dyDescent="0.25">
      <c r="D54" s="20">
        <v>0.90400000000000003</v>
      </c>
      <c r="E54" s="21">
        <v>0.73939999999999995</v>
      </c>
    </row>
  </sheetData>
  <mergeCells count="6">
    <mergeCell ref="A2:B2"/>
    <mergeCell ref="A1:B1"/>
    <mergeCell ref="D1:E1"/>
    <mergeCell ref="D2:E2"/>
    <mergeCell ref="G1:H1"/>
    <mergeCell ref="G2:H2"/>
  </mergeCells>
  <hyperlinks>
    <hyperlink ref="J34" r:id="rId1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K171"/>
  <sheetViews>
    <sheetView workbookViewId="0">
      <selection activeCell="B1" sqref="B1"/>
    </sheetView>
  </sheetViews>
  <sheetFormatPr defaultRowHeight="15" x14ac:dyDescent="0.25"/>
  <cols>
    <col min="2" max="2" width="16.140625" bestFit="1" customWidth="1"/>
    <col min="3" max="3" width="14.7109375" bestFit="1" customWidth="1"/>
    <col min="4" max="4" width="14.140625" bestFit="1" customWidth="1"/>
    <col min="5" max="5" width="12.5703125" bestFit="1" customWidth="1"/>
    <col min="6" max="6" width="9.7109375" bestFit="1" customWidth="1"/>
    <col min="7" max="7" width="15.28515625" bestFit="1" customWidth="1"/>
    <col min="8" max="8" width="7.42578125" bestFit="1" customWidth="1"/>
    <col min="9" max="9" width="2.42578125" bestFit="1" customWidth="1"/>
    <col min="10" max="11" width="2" bestFit="1" customWidth="1"/>
  </cols>
  <sheetData>
    <row r="1" spans="2:4" x14ac:dyDescent="0.25">
      <c r="B1" t="s">
        <v>87</v>
      </c>
    </row>
    <row r="3" spans="2:4" x14ac:dyDescent="0.25">
      <c r="B3" t="s">
        <v>15</v>
      </c>
      <c r="C3" t="s">
        <v>32</v>
      </c>
      <c r="D3" t="s">
        <v>33</v>
      </c>
    </row>
    <row r="5" spans="2:4" x14ac:dyDescent="0.25">
      <c r="B5" t="s">
        <v>34</v>
      </c>
      <c r="C5" t="s">
        <v>34</v>
      </c>
      <c r="D5" t="s">
        <v>34</v>
      </c>
    </row>
    <row r="6" spans="2:4" x14ac:dyDescent="0.25">
      <c r="B6" t="s">
        <v>35</v>
      </c>
      <c r="C6" t="s">
        <v>36</v>
      </c>
      <c r="D6" t="s">
        <v>37</v>
      </c>
    </row>
    <row r="7" spans="2:4" x14ac:dyDescent="0.25">
      <c r="B7" s="28">
        <v>1.8599999999999998E-2</v>
      </c>
      <c r="C7" s="28">
        <v>2.81E-2</v>
      </c>
      <c r="D7" s="28">
        <v>2.0989000000000001E-2</v>
      </c>
    </row>
    <row r="8" spans="2:4" x14ac:dyDescent="0.25">
      <c r="B8" s="28">
        <v>3.7199999999999997E-2</v>
      </c>
      <c r="C8" s="28">
        <v>5.1499999999999997E-2</v>
      </c>
      <c r="D8" s="28">
        <v>4.1216000000000003E-2</v>
      </c>
    </row>
    <row r="9" spans="2:4" x14ac:dyDescent="0.25">
      <c r="B9" s="28">
        <v>5.7500000000000002E-2</v>
      </c>
      <c r="C9" s="28">
        <v>7.1599999999999997E-2</v>
      </c>
      <c r="D9" s="28">
        <v>6.2454999999999997E-2</v>
      </c>
    </row>
    <row r="10" spans="2:4" x14ac:dyDescent="0.25">
      <c r="B10" s="28">
        <v>7.7700000000000005E-2</v>
      </c>
      <c r="C10" s="28">
        <v>9.06E-2</v>
      </c>
      <c r="D10" s="28">
        <v>8.2761000000000001E-2</v>
      </c>
    </row>
    <row r="11" spans="2:4" x14ac:dyDescent="0.25">
      <c r="B11" s="28">
        <v>9.74E-2</v>
      </c>
      <c r="C11">
        <v>0.1085</v>
      </c>
      <c r="D11">
        <v>0.1018</v>
      </c>
    </row>
    <row r="12" spans="2:4" x14ac:dyDescent="0.25">
      <c r="B12">
        <v>0.1172</v>
      </c>
      <c r="C12">
        <v>0.12540000000000001</v>
      </c>
      <c r="D12">
        <v>0.1202</v>
      </c>
    </row>
    <row r="13" spans="2:4" x14ac:dyDescent="0.25">
      <c r="B13">
        <v>0.13739999999999999</v>
      </c>
      <c r="C13">
        <v>0.1414</v>
      </c>
      <c r="D13">
        <v>0.13830000000000001</v>
      </c>
    </row>
    <row r="14" spans="2:4" x14ac:dyDescent="0.25">
      <c r="B14">
        <v>0.15809999999999999</v>
      </c>
      <c r="C14">
        <v>0.15659999999999999</v>
      </c>
      <c r="D14">
        <v>0.156</v>
      </c>
    </row>
    <row r="15" spans="2:4" x14ac:dyDescent="0.25">
      <c r="B15">
        <v>0.17780000000000001</v>
      </c>
      <c r="C15">
        <v>0.17180000000000001</v>
      </c>
      <c r="D15">
        <v>0.17230000000000001</v>
      </c>
    </row>
    <row r="16" spans="2:4" x14ac:dyDescent="0.25">
      <c r="B16">
        <v>0.1991</v>
      </c>
      <c r="C16">
        <v>0.18479999999999999</v>
      </c>
      <c r="D16">
        <v>0.18920000000000001</v>
      </c>
    </row>
    <row r="17" spans="2:4" x14ac:dyDescent="0.25">
      <c r="B17">
        <v>0.22020000000000001</v>
      </c>
      <c r="C17">
        <v>0.19850000000000001</v>
      </c>
      <c r="D17">
        <v>0.20519999999999999</v>
      </c>
    </row>
    <row r="18" spans="2:4" x14ac:dyDescent="0.25">
      <c r="B18">
        <v>0.24079999999999999</v>
      </c>
      <c r="C18">
        <v>0.21099999999999999</v>
      </c>
      <c r="D18">
        <v>0.2203</v>
      </c>
    </row>
    <row r="19" spans="2:4" x14ac:dyDescent="0.25">
      <c r="B19">
        <v>0.26150000000000001</v>
      </c>
      <c r="C19">
        <v>0.22289999999999999</v>
      </c>
      <c r="D19">
        <v>0.23480000000000001</v>
      </c>
    </row>
    <row r="20" spans="2:4" x14ac:dyDescent="0.25">
      <c r="B20">
        <v>0.28260000000000002</v>
      </c>
      <c r="C20">
        <v>0.23480000000000001</v>
      </c>
      <c r="D20">
        <v>0.249</v>
      </c>
    </row>
    <row r="21" spans="2:4" x14ac:dyDescent="0.25">
      <c r="B21">
        <v>0.3039</v>
      </c>
      <c r="C21">
        <v>0.2457</v>
      </c>
      <c r="D21">
        <v>0.26269999999999999</v>
      </c>
    </row>
    <row r="22" spans="2:4" x14ac:dyDescent="0.25">
      <c r="B22">
        <v>0.32519999999999999</v>
      </c>
      <c r="C22">
        <v>0.25719999999999998</v>
      </c>
      <c r="D22">
        <v>0.27589999999999998</v>
      </c>
    </row>
    <row r="23" spans="2:4" x14ac:dyDescent="0.25">
      <c r="B23">
        <v>0.34649999999999997</v>
      </c>
      <c r="C23">
        <v>0.2671</v>
      </c>
      <c r="D23">
        <v>0.28860000000000002</v>
      </c>
    </row>
    <row r="24" spans="2:4" x14ac:dyDescent="0.25">
      <c r="B24">
        <v>0.36840000000000001</v>
      </c>
      <c r="C24">
        <v>0.2772</v>
      </c>
      <c r="D24">
        <v>0.30109999999999998</v>
      </c>
    </row>
    <row r="25" spans="2:4" x14ac:dyDescent="0.25">
      <c r="B25">
        <v>0.38969999999999999</v>
      </c>
      <c r="C25">
        <v>0.28699999999999998</v>
      </c>
      <c r="D25">
        <v>0.31280000000000002</v>
      </c>
    </row>
    <row r="26" spans="2:4" x14ac:dyDescent="0.25">
      <c r="B26">
        <v>0.4108</v>
      </c>
      <c r="C26">
        <v>0.29670000000000002</v>
      </c>
      <c r="D26">
        <v>0.32390000000000002</v>
      </c>
    </row>
    <row r="27" spans="2:4" x14ac:dyDescent="0.25">
      <c r="B27">
        <v>0.43130000000000002</v>
      </c>
      <c r="C27">
        <v>0.30599999999999999</v>
      </c>
      <c r="D27">
        <v>0.33429999999999999</v>
      </c>
    </row>
    <row r="28" spans="2:4" x14ac:dyDescent="0.25">
      <c r="B28">
        <v>0.45200000000000001</v>
      </c>
      <c r="C28">
        <v>0.31519999999999998</v>
      </c>
      <c r="D28">
        <v>0.34439999999999998</v>
      </c>
    </row>
    <row r="29" spans="2:4" x14ac:dyDescent="0.25">
      <c r="B29">
        <v>0.47249999999999998</v>
      </c>
      <c r="C29">
        <v>0.3246</v>
      </c>
      <c r="D29">
        <v>0.35399999999999998</v>
      </c>
    </row>
    <row r="30" spans="2:4" x14ac:dyDescent="0.25">
      <c r="B30">
        <v>0.49390000000000001</v>
      </c>
      <c r="C30">
        <v>0.3332</v>
      </c>
      <c r="D30">
        <v>0.36370000000000002</v>
      </c>
    </row>
    <row r="31" spans="2:4" x14ac:dyDescent="0.25">
      <c r="B31">
        <v>0.51580000000000004</v>
      </c>
      <c r="C31">
        <v>0.34150000000000003</v>
      </c>
      <c r="D31">
        <v>0.37330000000000002</v>
      </c>
    </row>
    <row r="32" spans="2:4" x14ac:dyDescent="0.25">
      <c r="B32">
        <v>0.53710000000000002</v>
      </c>
      <c r="C32">
        <v>0.35010000000000002</v>
      </c>
      <c r="D32">
        <v>0.38229999999999997</v>
      </c>
    </row>
    <row r="33" spans="2:4" x14ac:dyDescent="0.25">
      <c r="B33">
        <v>0.5575</v>
      </c>
      <c r="C33">
        <v>0.35830000000000001</v>
      </c>
      <c r="D33">
        <v>0.3906</v>
      </c>
    </row>
    <row r="34" spans="2:4" x14ac:dyDescent="0.25">
      <c r="B34">
        <v>0.57869999999999999</v>
      </c>
      <c r="C34">
        <v>0.36659999999999998</v>
      </c>
      <c r="D34">
        <v>0.39910000000000001</v>
      </c>
    </row>
    <row r="35" spans="2:4" x14ac:dyDescent="0.25">
      <c r="B35">
        <v>0.59960000000000002</v>
      </c>
      <c r="C35">
        <v>0.37459999999999999</v>
      </c>
      <c r="D35">
        <v>0.40710000000000002</v>
      </c>
    </row>
    <row r="36" spans="2:4" x14ac:dyDescent="0.25">
      <c r="B36">
        <v>0.621</v>
      </c>
      <c r="C36">
        <v>0.38329999999999997</v>
      </c>
      <c r="D36">
        <v>0.41520000000000001</v>
      </c>
    </row>
    <row r="37" spans="2:4" x14ac:dyDescent="0.25">
      <c r="B37">
        <v>0.64200000000000002</v>
      </c>
      <c r="C37">
        <v>0.39119999999999999</v>
      </c>
      <c r="D37">
        <v>0.4229</v>
      </c>
    </row>
    <row r="38" spans="2:4" x14ac:dyDescent="0.25">
      <c r="B38">
        <v>0.66310000000000002</v>
      </c>
      <c r="C38">
        <v>0.40010000000000001</v>
      </c>
      <c r="D38">
        <v>0.43049999999999999</v>
      </c>
    </row>
    <row r="39" spans="2:4" x14ac:dyDescent="0.25">
      <c r="B39">
        <v>0.68489999999999995</v>
      </c>
      <c r="C39">
        <v>0.4083</v>
      </c>
      <c r="D39">
        <v>0.43809999999999999</v>
      </c>
    </row>
    <row r="40" spans="2:4" x14ac:dyDescent="0.25">
      <c r="B40">
        <v>0.70599999999999996</v>
      </c>
      <c r="C40">
        <v>0.41720000000000002</v>
      </c>
      <c r="D40">
        <v>0.44550000000000001</v>
      </c>
    </row>
    <row r="41" spans="2:4" x14ac:dyDescent="0.25">
      <c r="B41">
        <v>0.72709999999999997</v>
      </c>
      <c r="C41">
        <v>0.4254</v>
      </c>
      <c r="D41">
        <v>0.45269999999999999</v>
      </c>
    </row>
    <row r="42" spans="2:4" x14ac:dyDescent="0.25">
      <c r="B42">
        <v>0.74829999999999997</v>
      </c>
      <c r="C42">
        <v>0.43380000000000002</v>
      </c>
      <c r="D42">
        <v>0.46</v>
      </c>
    </row>
    <row r="43" spans="2:4" x14ac:dyDescent="0.25">
      <c r="B43">
        <v>0.76919999999999999</v>
      </c>
      <c r="C43">
        <v>0.44259999999999999</v>
      </c>
      <c r="D43">
        <v>0.46710000000000002</v>
      </c>
    </row>
    <row r="44" spans="2:4" x14ac:dyDescent="0.25">
      <c r="B44">
        <v>0.79039999999999999</v>
      </c>
      <c r="C44">
        <v>0.45100000000000001</v>
      </c>
      <c r="D44">
        <v>0.4743</v>
      </c>
    </row>
    <row r="45" spans="2:4" x14ac:dyDescent="0.25">
      <c r="B45">
        <v>0.81120000000000003</v>
      </c>
      <c r="C45">
        <v>0.46050000000000002</v>
      </c>
      <c r="D45">
        <v>0.48139999999999999</v>
      </c>
    </row>
    <row r="46" spans="2:4" x14ac:dyDescent="0.25">
      <c r="B46">
        <v>0.83199999999999996</v>
      </c>
      <c r="C46">
        <v>0.46949999999999997</v>
      </c>
      <c r="D46">
        <v>0.48859999999999998</v>
      </c>
    </row>
    <row r="47" spans="2:4" x14ac:dyDescent="0.25">
      <c r="B47">
        <v>0.85329999999999995</v>
      </c>
      <c r="C47">
        <v>0.47899999999999998</v>
      </c>
      <c r="D47">
        <v>0.49609999999999999</v>
      </c>
    </row>
    <row r="48" spans="2:4" x14ac:dyDescent="0.25">
      <c r="B48">
        <v>0.873</v>
      </c>
      <c r="C48">
        <v>0.48870000000000002</v>
      </c>
      <c r="D48">
        <v>0.50309999999999999</v>
      </c>
    </row>
    <row r="51" spans="2:4" x14ac:dyDescent="0.25">
      <c r="B51" t="s">
        <v>38</v>
      </c>
      <c r="C51" t="s">
        <v>32</v>
      </c>
      <c r="D51" t="s">
        <v>33</v>
      </c>
    </row>
    <row r="53" spans="2:4" x14ac:dyDescent="0.25">
      <c r="B53" t="s">
        <v>34</v>
      </c>
      <c r="C53" t="s">
        <v>34</v>
      </c>
      <c r="D53" t="s">
        <v>34</v>
      </c>
    </row>
    <row r="54" spans="2:4" x14ac:dyDescent="0.25">
      <c r="B54" t="s">
        <v>35</v>
      </c>
      <c r="C54" t="s">
        <v>36</v>
      </c>
      <c r="D54" t="s">
        <v>37</v>
      </c>
    </row>
    <row r="55" spans="2:4" x14ac:dyDescent="0.25">
      <c r="B55" s="28">
        <v>1.46E-2</v>
      </c>
      <c r="C55" s="28">
        <v>4.2099999999999999E-2</v>
      </c>
      <c r="D55" s="28">
        <v>3.2365999999999999E-2</v>
      </c>
    </row>
    <row r="56" spans="2:4" x14ac:dyDescent="0.25">
      <c r="B56" s="28">
        <v>3.04E-2</v>
      </c>
      <c r="C56" s="28">
        <v>7.7700000000000005E-2</v>
      </c>
      <c r="D56" s="28">
        <v>6.4804E-2</v>
      </c>
    </row>
    <row r="57" spans="2:4" x14ac:dyDescent="0.25">
      <c r="B57" s="28">
        <v>4.5900000000000003E-2</v>
      </c>
      <c r="C57">
        <v>0.1086</v>
      </c>
      <c r="D57" s="28">
        <v>9.4183000000000003E-2</v>
      </c>
    </row>
    <row r="58" spans="2:4" x14ac:dyDescent="0.25">
      <c r="B58" s="28">
        <v>6.1600000000000002E-2</v>
      </c>
      <c r="C58">
        <v>0.1361</v>
      </c>
      <c r="D58">
        <v>0.1216</v>
      </c>
    </row>
    <row r="59" spans="2:4" x14ac:dyDescent="0.25">
      <c r="B59" s="28">
        <v>7.6999999999999999E-2</v>
      </c>
      <c r="C59">
        <v>0.1605</v>
      </c>
      <c r="D59">
        <v>0.14649999999999999</v>
      </c>
    </row>
    <row r="60" spans="2:4" x14ac:dyDescent="0.25">
      <c r="B60" s="28">
        <v>9.2600000000000002E-2</v>
      </c>
      <c r="C60">
        <v>0.18279999999999999</v>
      </c>
      <c r="D60">
        <v>0.16969999999999999</v>
      </c>
    </row>
    <row r="61" spans="2:4" x14ac:dyDescent="0.25">
      <c r="B61">
        <v>0.1081</v>
      </c>
      <c r="C61">
        <v>0.2031</v>
      </c>
      <c r="D61">
        <v>0.19089999999999999</v>
      </c>
    </row>
    <row r="62" spans="2:4" x14ac:dyDescent="0.25">
      <c r="B62">
        <v>0.1236</v>
      </c>
      <c r="C62">
        <v>0.2228</v>
      </c>
      <c r="D62">
        <v>0.21049999999999999</v>
      </c>
    </row>
    <row r="63" spans="2:4" x14ac:dyDescent="0.25">
      <c r="B63">
        <v>0.1391</v>
      </c>
      <c r="C63">
        <v>0.23960000000000001</v>
      </c>
      <c r="D63">
        <v>0.2286</v>
      </c>
    </row>
    <row r="64" spans="2:4" x14ac:dyDescent="0.25">
      <c r="B64">
        <v>0.1547</v>
      </c>
      <c r="C64">
        <v>0.25659999999999999</v>
      </c>
      <c r="D64">
        <v>0.24529999999999999</v>
      </c>
    </row>
    <row r="65" spans="2:4" x14ac:dyDescent="0.25">
      <c r="B65">
        <v>0.17050000000000001</v>
      </c>
      <c r="C65">
        <v>0.27129999999999999</v>
      </c>
      <c r="D65">
        <v>0.26079999999999998</v>
      </c>
    </row>
    <row r="66" spans="2:4" x14ac:dyDescent="0.25">
      <c r="B66">
        <v>0.18629999999999999</v>
      </c>
      <c r="C66">
        <v>0.28689999999999999</v>
      </c>
      <c r="D66">
        <v>0.2752</v>
      </c>
    </row>
    <row r="67" spans="2:4" x14ac:dyDescent="0.25">
      <c r="B67">
        <v>0.2024</v>
      </c>
      <c r="C67">
        <v>0.2979</v>
      </c>
      <c r="D67">
        <v>0.28860000000000002</v>
      </c>
    </row>
    <row r="68" spans="2:4" x14ac:dyDescent="0.25">
      <c r="B68">
        <v>0.21840000000000001</v>
      </c>
      <c r="C68">
        <v>0.31169999999999998</v>
      </c>
      <c r="D68">
        <v>0.3009</v>
      </c>
    </row>
    <row r="69" spans="2:4" x14ac:dyDescent="0.25">
      <c r="B69">
        <v>0.2349</v>
      </c>
      <c r="C69">
        <v>0.3241</v>
      </c>
      <c r="D69">
        <v>0.31259999999999999</v>
      </c>
    </row>
    <row r="70" spans="2:4" x14ac:dyDescent="0.25">
      <c r="B70">
        <v>0.25169999999999998</v>
      </c>
      <c r="C70">
        <v>0.3367</v>
      </c>
      <c r="D70">
        <v>0.32350000000000001</v>
      </c>
    </row>
    <row r="71" spans="2:4" x14ac:dyDescent="0.25">
      <c r="B71">
        <v>0.26850000000000002</v>
      </c>
      <c r="C71">
        <v>0.34899999999999998</v>
      </c>
      <c r="D71">
        <v>0.33360000000000001</v>
      </c>
    </row>
    <row r="72" spans="2:4" x14ac:dyDescent="0.25">
      <c r="B72">
        <v>0.28560000000000002</v>
      </c>
      <c r="C72">
        <v>0.36070000000000002</v>
      </c>
      <c r="D72">
        <v>0.34310000000000002</v>
      </c>
    </row>
    <row r="73" spans="2:4" x14ac:dyDescent="0.25">
      <c r="B73">
        <v>0.3029</v>
      </c>
      <c r="C73">
        <v>0.37130000000000002</v>
      </c>
      <c r="D73">
        <v>0.35210000000000002</v>
      </c>
    </row>
    <row r="74" spans="2:4" x14ac:dyDescent="0.25">
      <c r="B74">
        <v>0.32069999999999999</v>
      </c>
      <c r="C74">
        <v>0.38090000000000002</v>
      </c>
      <c r="D74">
        <v>0.36059999999999998</v>
      </c>
    </row>
    <row r="75" spans="2:4" x14ac:dyDescent="0.25">
      <c r="B75">
        <v>0.3387</v>
      </c>
      <c r="C75">
        <v>0.39179999999999998</v>
      </c>
      <c r="D75">
        <v>0.36870000000000003</v>
      </c>
    </row>
    <row r="76" spans="2:4" x14ac:dyDescent="0.25">
      <c r="B76">
        <v>0.3574</v>
      </c>
      <c r="C76">
        <v>0.40100000000000002</v>
      </c>
      <c r="D76">
        <v>0.37669999999999998</v>
      </c>
    </row>
    <row r="77" spans="2:4" x14ac:dyDescent="0.25">
      <c r="B77">
        <v>0.37590000000000001</v>
      </c>
      <c r="C77">
        <v>0.41139999999999999</v>
      </c>
      <c r="D77">
        <v>0.38419999999999999</v>
      </c>
    </row>
    <row r="78" spans="2:4" x14ac:dyDescent="0.25">
      <c r="B78">
        <v>0.39439999999999997</v>
      </c>
      <c r="C78">
        <v>0.42099999999999999</v>
      </c>
      <c r="D78">
        <v>0.39150000000000001</v>
      </c>
    </row>
    <row r="79" spans="2:4" x14ac:dyDescent="0.25">
      <c r="B79">
        <v>0.41320000000000001</v>
      </c>
      <c r="C79">
        <v>0.43109999999999998</v>
      </c>
      <c r="D79">
        <v>0.39860000000000001</v>
      </c>
    </row>
    <row r="80" spans="2:4" x14ac:dyDescent="0.25">
      <c r="B80">
        <v>0.4325</v>
      </c>
      <c r="C80">
        <v>0.44259999999999999</v>
      </c>
      <c r="D80">
        <v>0.40589999999999998</v>
      </c>
    </row>
    <row r="81" spans="2:4" x14ac:dyDescent="0.25">
      <c r="B81">
        <v>0.45250000000000001</v>
      </c>
      <c r="C81">
        <v>0.45079999999999998</v>
      </c>
      <c r="D81">
        <v>0.41349999999999998</v>
      </c>
    </row>
    <row r="82" spans="2:4" x14ac:dyDescent="0.25">
      <c r="B82">
        <v>0.47239999999999999</v>
      </c>
      <c r="C82">
        <v>0.46110000000000001</v>
      </c>
      <c r="D82">
        <v>0.42109999999999997</v>
      </c>
    </row>
    <row r="83" spans="2:4" x14ac:dyDescent="0.25">
      <c r="B83">
        <v>0.49230000000000002</v>
      </c>
      <c r="C83">
        <v>0.47</v>
      </c>
      <c r="D83">
        <v>0.4289</v>
      </c>
    </row>
    <row r="84" spans="2:4" x14ac:dyDescent="0.25">
      <c r="B84">
        <v>0.51229999999999998</v>
      </c>
      <c r="C84">
        <v>0.48020000000000002</v>
      </c>
      <c r="D84">
        <v>0.43719999999999998</v>
      </c>
    </row>
    <row r="85" spans="2:4" x14ac:dyDescent="0.25">
      <c r="B85">
        <v>0.5323</v>
      </c>
      <c r="C85">
        <v>0.49049999999999999</v>
      </c>
      <c r="D85">
        <v>0.44579999999999997</v>
      </c>
    </row>
    <row r="86" spans="2:4" x14ac:dyDescent="0.25">
      <c r="B86">
        <v>0.55259999999999998</v>
      </c>
      <c r="C86">
        <v>0.49959999999999999</v>
      </c>
      <c r="D86">
        <v>0.45519999999999999</v>
      </c>
    </row>
    <row r="87" spans="2:4" x14ac:dyDescent="0.25">
      <c r="B87">
        <v>0.57320000000000004</v>
      </c>
      <c r="C87">
        <v>0.51139999999999997</v>
      </c>
      <c r="D87">
        <v>0.46529999999999999</v>
      </c>
    </row>
    <row r="88" spans="2:4" x14ac:dyDescent="0.25">
      <c r="B88">
        <v>0.59379999999999999</v>
      </c>
      <c r="C88">
        <v>0.52139999999999997</v>
      </c>
      <c r="D88">
        <v>0.4763</v>
      </c>
    </row>
    <row r="89" spans="2:4" x14ac:dyDescent="0.25">
      <c r="B89">
        <v>0.61370000000000002</v>
      </c>
      <c r="C89">
        <v>0.5333</v>
      </c>
      <c r="D89">
        <v>0.48770000000000002</v>
      </c>
    </row>
    <row r="90" spans="2:4" x14ac:dyDescent="0.25">
      <c r="B90">
        <v>0.63439999999999996</v>
      </c>
      <c r="C90">
        <v>0.54479999999999995</v>
      </c>
      <c r="D90">
        <v>0.50060000000000004</v>
      </c>
    </row>
    <row r="91" spans="2:4" x14ac:dyDescent="0.25">
      <c r="B91">
        <v>0.65510000000000002</v>
      </c>
      <c r="C91">
        <v>0.55659999999999998</v>
      </c>
      <c r="D91">
        <v>0.51459999999999995</v>
      </c>
    </row>
    <row r="92" spans="2:4" x14ac:dyDescent="0.25">
      <c r="B92">
        <v>0.67549999999999999</v>
      </c>
      <c r="C92">
        <v>0.56830000000000003</v>
      </c>
      <c r="D92">
        <v>0.52959999999999996</v>
      </c>
    </row>
    <row r="93" spans="2:4" x14ac:dyDescent="0.25">
      <c r="B93">
        <v>0.69620000000000004</v>
      </c>
      <c r="C93">
        <v>0.58030000000000004</v>
      </c>
      <c r="D93">
        <v>0.54620000000000002</v>
      </c>
    </row>
    <row r="94" spans="2:4" x14ac:dyDescent="0.25">
      <c r="B94">
        <v>0.71730000000000005</v>
      </c>
      <c r="C94">
        <v>0.59219999999999995</v>
      </c>
      <c r="D94">
        <v>0.56459999999999999</v>
      </c>
    </row>
    <row r="95" spans="2:4" x14ac:dyDescent="0.25">
      <c r="B95">
        <v>0.7379</v>
      </c>
      <c r="C95">
        <v>0.60699999999999998</v>
      </c>
      <c r="D95">
        <v>0.58420000000000005</v>
      </c>
    </row>
    <row r="96" spans="2:4" x14ac:dyDescent="0.25">
      <c r="B96">
        <v>0.75860000000000005</v>
      </c>
      <c r="C96">
        <v>0.61809999999999998</v>
      </c>
      <c r="D96">
        <v>0.60560000000000003</v>
      </c>
    </row>
    <row r="97" spans="2:4" x14ac:dyDescent="0.25">
      <c r="B97">
        <v>0.77959999999999996</v>
      </c>
      <c r="C97">
        <v>0.63449999999999995</v>
      </c>
      <c r="D97">
        <v>0.62909999999999999</v>
      </c>
    </row>
    <row r="98" spans="2:4" x14ac:dyDescent="0.25">
      <c r="B98">
        <v>0.80049999999999999</v>
      </c>
      <c r="C98">
        <v>0.64870000000000005</v>
      </c>
      <c r="D98">
        <v>0.65459999999999996</v>
      </c>
    </row>
    <row r="99" spans="2:4" x14ac:dyDescent="0.25">
      <c r="B99">
        <v>0.82140000000000002</v>
      </c>
      <c r="C99">
        <v>0.66559999999999997</v>
      </c>
      <c r="D99">
        <v>0.68210000000000004</v>
      </c>
    </row>
    <row r="100" spans="2:4" x14ac:dyDescent="0.25">
      <c r="B100">
        <v>0.84189999999999998</v>
      </c>
      <c r="C100">
        <v>0.68389999999999995</v>
      </c>
      <c r="D100">
        <v>0.71130000000000004</v>
      </c>
    </row>
    <row r="101" spans="2:4" x14ac:dyDescent="0.25">
      <c r="B101">
        <v>0.8629</v>
      </c>
      <c r="C101">
        <v>0.70040000000000002</v>
      </c>
      <c r="D101">
        <v>0.74360000000000004</v>
      </c>
    </row>
    <row r="102" spans="2:4" x14ac:dyDescent="0.25">
      <c r="B102">
        <v>0.88370000000000004</v>
      </c>
      <c r="C102">
        <v>0.71909999999999996</v>
      </c>
      <c r="D102">
        <v>0.77810000000000001</v>
      </c>
    </row>
    <row r="103" spans="2:4" x14ac:dyDescent="0.25">
      <c r="B103">
        <v>0.90400000000000003</v>
      </c>
      <c r="C103">
        <v>0.73939999999999995</v>
      </c>
      <c r="D103">
        <v>0.81430000000000002</v>
      </c>
    </row>
    <row r="106" spans="2:4" x14ac:dyDescent="0.25">
      <c r="B106" t="s">
        <v>17</v>
      </c>
      <c r="C106" t="s">
        <v>32</v>
      </c>
      <c r="D106" t="s">
        <v>33</v>
      </c>
    </row>
    <row r="108" spans="2:4" x14ac:dyDescent="0.25">
      <c r="B108" t="s">
        <v>34</v>
      </c>
      <c r="C108" t="s">
        <v>34</v>
      </c>
      <c r="D108" t="s">
        <v>34</v>
      </c>
    </row>
    <row r="109" spans="2:4" x14ac:dyDescent="0.25">
      <c r="B109" t="s">
        <v>35</v>
      </c>
      <c r="C109" t="s">
        <v>36</v>
      </c>
      <c r="D109" t="s">
        <v>37</v>
      </c>
    </row>
    <row r="110" spans="2:4" x14ac:dyDescent="0.25">
      <c r="B110" s="28">
        <v>2.0400000000000001E-2</v>
      </c>
      <c r="C110" s="28">
        <v>3.6900000000000002E-2</v>
      </c>
      <c r="D110" s="28">
        <v>3.0332999999999999E-2</v>
      </c>
    </row>
    <row r="111" spans="2:4" x14ac:dyDescent="0.25">
      <c r="B111" s="28">
        <v>4.2500000000000003E-2</v>
      </c>
      <c r="C111" s="28">
        <v>6.6400000000000001E-2</v>
      </c>
      <c r="D111" s="28">
        <v>6.1183000000000001E-2</v>
      </c>
    </row>
    <row r="112" spans="2:4" x14ac:dyDescent="0.25">
      <c r="B112" s="28">
        <v>6.3700000000000007E-2</v>
      </c>
      <c r="C112" s="28">
        <v>9.2799999999999994E-2</v>
      </c>
      <c r="D112" s="28">
        <v>8.8949E-2</v>
      </c>
    </row>
    <row r="113" spans="2:4" x14ac:dyDescent="0.25">
      <c r="B113" s="28">
        <v>8.4400000000000003E-2</v>
      </c>
      <c r="C113">
        <v>0.1174</v>
      </c>
      <c r="D113">
        <v>0.1145</v>
      </c>
    </row>
    <row r="114" spans="2:4" x14ac:dyDescent="0.25">
      <c r="B114">
        <v>0.105</v>
      </c>
      <c r="C114">
        <v>0.1401</v>
      </c>
      <c r="D114">
        <v>0.1384</v>
      </c>
    </row>
    <row r="115" spans="2:4" x14ac:dyDescent="0.25">
      <c r="B115">
        <v>0.12709999999999999</v>
      </c>
      <c r="C115">
        <v>0.1615</v>
      </c>
      <c r="D115">
        <v>0.16250000000000001</v>
      </c>
    </row>
    <row r="116" spans="2:4" x14ac:dyDescent="0.25">
      <c r="B116">
        <v>0.14799999999999999</v>
      </c>
      <c r="C116">
        <v>0.18160000000000001</v>
      </c>
      <c r="D116">
        <v>0.18390000000000001</v>
      </c>
    </row>
    <row r="117" spans="2:4" x14ac:dyDescent="0.25">
      <c r="B117">
        <v>0.16889999999999999</v>
      </c>
      <c r="C117">
        <v>0.20019999999999999</v>
      </c>
      <c r="D117">
        <v>0.20419999999999999</v>
      </c>
    </row>
    <row r="118" spans="2:4" x14ac:dyDescent="0.25">
      <c r="B118">
        <v>0.19070000000000001</v>
      </c>
      <c r="C118">
        <v>0.218</v>
      </c>
      <c r="D118">
        <v>0.224</v>
      </c>
    </row>
    <row r="119" spans="2:4" x14ac:dyDescent="0.25">
      <c r="B119">
        <v>0.21299999999999999</v>
      </c>
      <c r="C119">
        <v>0.23499999999999999</v>
      </c>
      <c r="D119">
        <v>0.2432</v>
      </c>
    </row>
    <row r="120" spans="2:4" x14ac:dyDescent="0.25">
      <c r="B120">
        <v>0.2359</v>
      </c>
      <c r="C120">
        <v>0.251</v>
      </c>
      <c r="D120">
        <v>0.2616</v>
      </c>
    </row>
    <row r="121" spans="2:4" x14ac:dyDescent="0.25">
      <c r="B121">
        <v>0.25719999999999998</v>
      </c>
      <c r="C121">
        <v>0.26629999999999998</v>
      </c>
      <c r="D121">
        <v>0.27779999999999999</v>
      </c>
    </row>
    <row r="122" spans="2:4" x14ac:dyDescent="0.25">
      <c r="B122">
        <v>0.28010000000000002</v>
      </c>
      <c r="C122">
        <v>0.28060000000000002</v>
      </c>
      <c r="D122">
        <v>0.29420000000000002</v>
      </c>
    </row>
    <row r="123" spans="2:4" x14ac:dyDescent="0.25">
      <c r="B123">
        <v>0.30199999999999999</v>
      </c>
      <c r="C123">
        <v>0.29420000000000002</v>
      </c>
      <c r="D123">
        <v>0.30890000000000001</v>
      </c>
    </row>
    <row r="124" spans="2:4" x14ac:dyDescent="0.25">
      <c r="B124">
        <v>0.32400000000000001</v>
      </c>
      <c r="C124">
        <v>0.3075</v>
      </c>
      <c r="D124">
        <v>0.32290000000000002</v>
      </c>
    </row>
    <row r="125" spans="2:4" x14ac:dyDescent="0.25">
      <c r="B125">
        <v>0.34610000000000002</v>
      </c>
      <c r="C125">
        <v>0.32</v>
      </c>
      <c r="D125">
        <v>0.3362</v>
      </c>
    </row>
    <row r="126" spans="2:4" x14ac:dyDescent="0.25">
      <c r="B126">
        <v>0.36799999999999999</v>
      </c>
      <c r="C126">
        <v>0.3322</v>
      </c>
      <c r="D126">
        <v>0.34860000000000002</v>
      </c>
    </row>
    <row r="127" spans="2:4" x14ac:dyDescent="0.25">
      <c r="B127">
        <v>0.39079999999999998</v>
      </c>
      <c r="C127">
        <v>0.34389999999999998</v>
      </c>
      <c r="D127">
        <v>0.3609</v>
      </c>
    </row>
    <row r="128" spans="2:4" x14ac:dyDescent="0.25">
      <c r="B128">
        <v>0.41320000000000001</v>
      </c>
      <c r="C128">
        <v>0.35499999999999998</v>
      </c>
      <c r="D128">
        <v>0.37230000000000002</v>
      </c>
    </row>
    <row r="129" spans="2:4" x14ac:dyDescent="0.25">
      <c r="B129">
        <v>0.43509999999999999</v>
      </c>
      <c r="C129">
        <v>0.36609999999999998</v>
      </c>
      <c r="D129">
        <v>0.38290000000000002</v>
      </c>
    </row>
    <row r="130" spans="2:4" x14ac:dyDescent="0.25">
      <c r="B130">
        <v>0.45789999999999997</v>
      </c>
      <c r="C130">
        <v>0.37669999999999998</v>
      </c>
      <c r="D130">
        <v>0.39329999999999998</v>
      </c>
    </row>
    <row r="131" spans="2:4" x14ac:dyDescent="0.25">
      <c r="B131">
        <v>0.48130000000000001</v>
      </c>
      <c r="C131">
        <v>0.3871</v>
      </c>
      <c r="D131">
        <v>0.40360000000000001</v>
      </c>
    </row>
    <row r="132" spans="2:4" x14ac:dyDescent="0.25">
      <c r="B132">
        <v>0.50360000000000005</v>
      </c>
      <c r="C132">
        <v>0.39729999999999999</v>
      </c>
      <c r="D132">
        <v>0.41289999999999999</v>
      </c>
    </row>
    <row r="133" spans="2:4" x14ac:dyDescent="0.25">
      <c r="B133">
        <v>0.52649999999999997</v>
      </c>
      <c r="C133">
        <v>0.40720000000000001</v>
      </c>
      <c r="D133">
        <v>0.42209999999999998</v>
      </c>
    </row>
    <row r="134" spans="2:4" x14ac:dyDescent="0.25">
      <c r="B134">
        <v>0.54959999999999998</v>
      </c>
      <c r="C134">
        <v>0.41699999999999998</v>
      </c>
      <c r="D134">
        <v>0.43090000000000001</v>
      </c>
    </row>
    <row r="135" spans="2:4" x14ac:dyDescent="0.25">
      <c r="B135">
        <v>0.57320000000000004</v>
      </c>
      <c r="C135">
        <v>0.42670000000000002</v>
      </c>
      <c r="D135">
        <v>0.43969999999999998</v>
      </c>
    </row>
    <row r="136" spans="2:4" x14ac:dyDescent="0.25">
      <c r="B136">
        <v>0.59499999999999997</v>
      </c>
      <c r="C136">
        <v>0.43609999999999999</v>
      </c>
      <c r="D136">
        <v>0.44750000000000001</v>
      </c>
    </row>
    <row r="137" spans="2:4" x14ac:dyDescent="0.25">
      <c r="B137">
        <v>0.61890000000000001</v>
      </c>
      <c r="C137">
        <v>0.4456</v>
      </c>
      <c r="D137">
        <v>0.45579999999999998</v>
      </c>
    </row>
    <row r="138" spans="2:4" x14ac:dyDescent="0.25">
      <c r="B138">
        <v>0.6421</v>
      </c>
      <c r="C138">
        <v>0.45519999999999999</v>
      </c>
      <c r="D138">
        <v>0.46379999999999999</v>
      </c>
    </row>
    <row r="139" spans="2:4" x14ac:dyDescent="0.25">
      <c r="B139">
        <v>0.66359999999999997</v>
      </c>
      <c r="C139">
        <v>0.46450000000000002</v>
      </c>
      <c r="D139">
        <v>0.47099999999999997</v>
      </c>
    </row>
    <row r="140" spans="2:4" x14ac:dyDescent="0.25">
      <c r="B140">
        <v>0.68700000000000006</v>
      </c>
      <c r="C140">
        <v>0.47410000000000002</v>
      </c>
      <c r="D140">
        <v>0.47870000000000001</v>
      </c>
    </row>
    <row r="141" spans="2:4" x14ac:dyDescent="0.25">
      <c r="B141">
        <v>0.70940000000000003</v>
      </c>
      <c r="C141">
        <v>0.48359999999999997</v>
      </c>
      <c r="D141">
        <v>0.48609999999999998</v>
      </c>
    </row>
    <row r="142" spans="2:4" x14ac:dyDescent="0.25">
      <c r="B142">
        <v>0.73250000000000004</v>
      </c>
      <c r="C142">
        <v>0.49330000000000002</v>
      </c>
      <c r="D142">
        <v>0.49370000000000003</v>
      </c>
    </row>
    <row r="143" spans="2:4" x14ac:dyDescent="0.25">
      <c r="B143">
        <v>0.75539999999999996</v>
      </c>
      <c r="C143">
        <v>0.50319999999999998</v>
      </c>
      <c r="D143">
        <v>0.50129999999999997</v>
      </c>
    </row>
    <row r="144" spans="2:4" x14ac:dyDescent="0.25">
      <c r="B144">
        <v>0.77800000000000002</v>
      </c>
      <c r="C144">
        <v>0.51329999999999998</v>
      </c>
      <c r="D144">
        <v>0.50890000000000002</v>
      </c>
    </row>
    <row r="145" spans="2:11" x14ac:dyDescent="0.25">
      <c r="B145">
        <v>0.80059999999999998</v>
      </c>
      <c r="C145">
        <v>0.52370000000000005</v>
      </c>
      <c r="D145">
        <v>0.51659999999999995</v>
      </c>
    </row>
    <row r="146" spans="2:11" x14ac:dyDescent="0.25">
      <c r="B146">
        <v>0.82350000000000001</v>
      </c>
      <c r="C146">
        <v>0.53449999999999998</v>
      </c>
      <c r="D146">
        <v>0.52459999999999996</v>
      </c>
    </row>
    <row r="149" spans="2:11" x14ac:dyDescent="0.25">
      <c r="B149" t="s">
        <v>39</v>
      </c>
      <c r="C149" t="s">
        <v>40</v>
      </c>
      <c r="D149" t="s">
        <v>41</v>
      </c>
      <c r="E149" t="s">
        <v>35</v>
      </c>
      <c r="F149" t="s">
        <v>42</v>
      </c>
      <c r="G149" t="s">
        <v>43</v>
      </c>
      <c r="H149" t="s">
        <v>44</v>
      </c>
      <c r="I149" t="s">
        <v>45</v>
      </c>
      <c r="J149" t="s">
        <v>46</v>
      </c>
      <c r="K149">
        <v>3</v>
      </c>
    </row>
    <row r="151" spans="2:11" x14ac:dyDescent="0.25">
      <c r="B151" t="s">
        <v>47</v>
      </c>
      <c r="C151" t="s">
        <v>48</v>
      </c>
      <c r="D151" t="s">
        <v>49</v>
      </c>
    </row>
    <row r="152" spans="2:11" x14ac:dyDescent="0.25">
      <c r="B152" t="s">
        <v>50</v>
      </c>
      <c r="C152" t="s">
        <v>51</v>
      </c>
      <c r="D152" t="s">
        <v>52</v>
      </c>
      <c r="E152" t="s">
        <v>53</v>
      </c>
    </row>
    <row r="153" spans="2:11" x14ac:dyDescent="0.25">
      <c r="B153" t="s">
        <v>54</v>
      </c>
      <c r="C153" t="s">
        <v>55</v>
      </c>
      <c r="D153" t="s">
        <v>56</v>
      </c>
      <c r="E153" t="s">
        <v>57</v>
      </c>
      <c r="F153" t="s">
        <v>58</v>
      </c>
    </row>
    <row r="155" spans="2:11" x14ac:dyDescent="0.25">
      <c r="B155">
        <v>0</v>
      </c>
      <c r="C155" s="30">
        <v>0.19158989200000001</v>
      </c>
      <c r="D155">
        <v>0</v>
      </c>
    </row>
    <row r="156" spans="2:11" x14ac:dyDescent="0.25">
      <c r="B156">
        <v>0</v>
      </c>
      <c r="C156" s="30">
        <v>-1.8341912290000002E-2</v>
      </c>
      <c r="D156">
        <v>0</v>
      </c>
      <c r="E156">
        <v>0</v>
      </c>
    </row>
    <row r="157" spans="2:11" x14ac:dyDescent="0.25">
      <c r="B157">
        <v>0</v>
      </c>
      <c r="C157" s="30">
        <v>3.3043022700000001E-3</v>
      </c>
      <c r="D157">
        <v>0</v>
      </c>
      <c r="E157">
        <v>0</v>
      </c>
      <c r="F157">
        <v>0</v>
      </c>
    </row>
    <row r="161" spans="2:8" x14ac:dyDescent="0.25">
      <c r="B161" t="s">
        <v>59</v>
      </c>
      <c r="C161" t="s">
        <v>60</v>
      </c>
      <c r="D161" t="s">
        <v>61</v>
      </c>
    </row>
    <row r="164" spans="2:8" x14ac:dyDescent="0.25">
      <c r="B164" t="s">
        <v>15</v>
      </c>
      <c r="C164" t="s">
        <v>62</v>
      </c>
      <c r="D164" t="s">
        <v>63</v>
      </c>
      <c r="E164" t="s">
        <v>64</v>
      </c>
      <c r="F164" t="s">
        <v>65</v>
      </c>
      <c r="G164" t="s">
        <v>66</v>
      </c>
    </row>
    <row r="165" spans="2:8" x14ac:dyDescent="0.25">
      <c r="B165" t="s">
        <v>15</v>
      </c>
      <c r="C165" t="s">
        <v>67</v>
      </c>
      <c r="D165" t="s">
        <v>63</v>
      </c>
      <c r="E165" t="s">
        <v>64</v>
      </c>
      <c r="F165" t="s">
        <v>65</v>
      </c>
      <c r="G165" t="s">
        <v>66</v>
      </c>
    </row>
    <row r="166" spans="2:8" x14ac:dyDescent="0.25">
      <c r="B166" t="s">
        <v>38</v>
      </c>
      <c r="C166" t="s">
        <v>62</v>
      </c>
      <c r="D166" t="s">
        <v>63</v>
      </c>
      <c r="E166" t="s">
        <v>64</v>
      </c>
      <c r="F166" t="s">
        <v>65</v>
      </c>
      <c r="G166" t="s">
        <v>66</v>
      </c>
    </row>
    <row r="167" spans="2:8" x14ac:dyDescent="0.25">
      <c r="B167" t="s">
        <v>38</v>
      </c>
      <c r="C167" t="s">
        <v>67</v>
      </c>
      <c r="D167" t="s">
        <v>63</v>
      </c>
      <c r="E167" t="s">
        <v>64</v>
      </c>
      <c r="F167" t="s">
        <v>65</v>
      </c>
      <c r="G167" t="s">
        <v>66</v>
      </c>
    </row>
    <row r="168" spans="2:8" x14ac:dyDescent="0.25">
      <c r="B168" t="s">
        <v>17</v>
      </c>
      <c r="C168" t="s">
        <v>62</v>
      </c>
      <c r="D168" t="s">
        <v>63</v>
      </c>
      <c r="E168" t="s">
        <v>64</v>
      </c>
      <c r="F168" t="s">
        <v>65</v>
      </c>
      <c r="G168" t="s">
        <v>66</v>
      </c>
    </row>
    <row r="169" spans="2:8" x14ac:dyDescent="0.25">
      <c r="B169" t="s">
        <v>17</v>
      </c>
      <c r="C169" t="s">
        <v>67</v>
      </c>
      <c r="D169" t="s">
        <v>63</v>
      </c>
      <c r="E169" t="s">
        <v>64</v>
      </c>
      <c r="F169" t="s">
        <v>65</v>
      </c>
      <c r="G169" t="s">
        <v>66</v>
      </c>
    </row>
    <row r="170" spans="2:8" x14ac:dyDescent="0.25">
      <c r="B170" t="s">
        <v>68</v>
      </c>
      <c r="C170" t="s">
        <v>62</v>
      </c>
      <c r="D170" t="s">
        <v>63</v>
      </c>
      <c r="E170" t="s">
        <v>64</v>
      </c>
      <c r="F170" t="s">
        <v>65</v>
      </c>
      <c r="G170" t="s">
        <v>69</v>
      </c>
      <c r="H170" t="s">
        <v>70</v>
      </c>
    </row>
    <row r="171" spans="2:8" x14ac:dyDescent="0.25">
      <c r="B171" t="s">
        <v>68</v>
      </c>
      <c r="C171" t="s">
        <v>67</v>
      </c>
      <c r="D171" t="s">
        <v>63</v>
      </c>
      <c r="E171" t="s">
        <v>64</v>
      </c>
      <c r="F171" t="s">
        <v>65</v>
      </c>
      <c r="G171" t="s">
        <v>69</v>
      </c>
      <c r="H17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Plots</vt:lpstr>
      <vt:lpstr>ST_S58</vt:lpstr>
      <vt:lpstr>EB_S58</vt:lpstr>
      <vt:lpstr>PT_S58</vt:lpstr>
      <vt:lpstr>just data</vt:lpstr>
      <vt:lpstr>from Abaqus</vt:lpstr>
      <vt:lpstr>_C10</vt:lpstr>
      <vt:lpstr>_C20</vt:lpstr>
      <vt:lpstr>_C30</vt:lpstr>
      <vt:lpstr>alpha</vt:lpstr>
      <vt:lpstr>beta</vt:lpstr>
      <vt:lpstr>'just data'!EB_S58</vt:lpstr>
      <vt:lpstr>EB_S58!EB_S58_1</vt:lpstr>
      <vt:lpstr>gamma</vt:lpstr>
      <vt:lpstr>ST_S58!Print_Area</vt:lpstr>
      <vt:lpstr>'just data'!PT_S58</vt:lpstr>
      <vt:lpstr>'from Abaqus'!Yeoh_from_Abaqus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Paul</dc:creator>
  <cp:lastModifiedBy>DALRYMPLE Tod</cp:lastModifiedBy>
  <cp:lastPrinted>2013-12-05T14:25:47Z</cp:lastPrinted>
  <dcterms:created xsi:type="dcterms:W3CDTF">2011-03-28T18:53:09Z</dcterms:created>
  <dcterms:modified xsi:type="dcterms:W3CDTF">2013-12-14T16:05:36Z</dcterms:modified>
</cp:coreProperties>
</file>