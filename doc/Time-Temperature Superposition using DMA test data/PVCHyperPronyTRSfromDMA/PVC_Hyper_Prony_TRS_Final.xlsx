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5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6.xml" ContentType="application/vnd.openxmlformats-officedocument.drawing+xml"/>
  <Override PartName="/xl/comments1.xml" ContentType="application/vnd.openxmlformats-officedocument.spreadsheetml.comment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7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8.xml" ContentType="application/vnd.openxmlformats-officedocument.drawing+xml"/>
  <Override PartName="/xl/charts/chart17.xml" ContentType="application/vnd.openxmlformats-officedocument.drawingml.chart+xml"/>
  <Override PartName="/xl/drawings/drawing9.xml" ContentType="application/vnd.openxmlformats-officedocument.drawing+xml"/>
  <Override PartName="/xl/charts/chart18.xml" ContentType="application/vnd.openxmlformats-officedocument.drawingml.chart+xml"/>
  <Override PartName="/xl/drawings/drawing10.xml" ContentType="application/vnd.openxmlformats-officedocument.drawing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harts/chart2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60" yWindow="60" windowWidth="27810" windowHeight="14775" tabRatio="900" firstSheet="2" activeTab="2"/>
  </bookViews>
  <sheets>
    <sheet name="Raw Test Data" sheetId="1" r:id="rId1"/>
    <sheet name="Processed Data" sheetId="13" r:id="rId2"/>
    <sheet name="Shifted Data - 1st Guess" sheetId="5" r:id="rId3"/>
    <sheet name="Shifted plus WLF Universal" sheetId="6" r:id="rId4"/>
    <sheet name="Shifted plus WLF Best Fit" sheetId="7" r:id="rId5"/>
    <sheet name="Prony Setup" sheetId="2" r:id="rId6"/>
    <sheet name="Prony Fit" sheetId="8" r:id="rId7"/>
    <sheet name="Abaqus_SSD_Analysis" sheetId="9" r:id="rId8"/>
    <sheet name="MCal_w_Abq_Solver" sheetId="10" r:id="rId9"/>
    <sheet name="Sim Results from PSF" sheetId="15" r:id="rId10"/>
    <sheet name="Abq_Visco_Runs_from_MCal" sheetId="11" r:id="rId11"/>
    <sheet name="Abq_Visco_Runs_from_MCal_2" sheetId="12" r:id="rId12"/>
  </sheets>
  <definedNames>
    <definedName name="_C1" localSheetId="4">'Shifted plus WLF Best Fit'!$W$45</definedName>
    <definedName name="_C1">'Shifted plus WLF Universal'!$W$42</definedName>
    <definedName name="_C2" localSheetId="4">'Shifted plus WLF Best Fit'!$W$46</definedName>
    <definedName name="_C2">'Shifted plus WLF Universal'!$W$43</definedName>
    <definedName name="E_0">'Prony Fit'!$D$22</definedName>
    <definedName name="E_inf">'Prony Fit'!$D$23</definedName>
    <definedName name="El_Error">'Prony Fit'!$M$50</definedName>
    <definedName name="Es_Error">'Prony Fit'!$L$50</definedName>
    <definedName name="g_1">'Prony Fit'!$C$4</definedName>
    <definedName name="g_10">'Prony Fit'!$C$13</definedName>
    <definedName name="g_11">'Prony Fit'!$C$14</definedName>
    <definedName name="g_12">'Prony Fit'!$C$15</definedName>
    <definedName name="g_13">'Prony Fit'!$C$16</definedName>
    <definedName name="g_14">'Prony Fit'!$C$17</definedName>
    <definedName name="g_2">'Prony Fit'!$C$5</definedName>
    <definedName name="g_3">'Prony Fit'!$C$6</definedName>
    <definedName name="g_4">'Prony Fit'!$C$7</definedName>
    <definedName name="g_5">'Prony Fit'!$C$8</definedName>
    <definedName name="g_6">'Prony Fit'!$C$9</definedName>
    <definedName name="g_7">'Prony Fit'!$C$10</definedName>
    <definedName name="g_8">'Prony Fit'!$C$11</definedName>
    <definedName name="g_9">'Prony Fit'!$C$12</definedName>
    <definedName name="Gamma">'Prony Fit'!$C$4:$C$17</definedName>
    <definedName name="solver_adj" localSheetId="6" hidden="1">'Prony Fit'!$C$4:$C$17,'Prony Fit'!$D$4:$D$17</definedName>
    <definedName name="solver_adj" localSheetId="4" hidden="1">'Shifted plus WLF Best Fit'!$W$45:$W$46</definedName>
    <definedName name="solver_cvg" localSheetId="6" hidden="1">0.0001</definedName>
    <definedName name="solver_cvg" localSheetId="4" hidden="1">0.0001</definedName>
    <definedName name="solver_drv" localSheetId="6" hidden="1">1</definedName>
    <definedName name="solver_drv" localSheetId="4" hidden="1">1</definedName>
    <definedName name="solver_eng" localSheetId="6" hidden="1">3</definedName>
    <definedName name="solver_eng" localSheetId="4" hidden="1">1</definedName>
    <definedName name="solver_est" localSheetId="6" hidden="1">1</definedName>
    <definedName name="solver_est" localSheetId="4" hidden="1">1</definedName>
    <definedName name="solver_itr" localSheetId="6" hidden="1">2147483647</definedName>
    <definedName name="solver_itr" localSheetId="4" hidden="1">2147483647</definedName>
    <definedName name="solver_lhs1" localSheetId="6" hidden="1">'Prony Fit'!$C$19</definedName>
    <definedName name="solver_lhs10" localSheetId="6" hidden="1">'Prony Fit'!$C$9</definedName>
    <definedName name="solver_lhs11" localSheetId="6" hidden="1">'Prony Fit'!$C$9</definedName>
    <definedName name="solver_lhs12" localSheetId="6" hidden="1">'Prony Fit'!$C$9</definedName>
    <definedName name="solver_lhs13" localSheetId="6" hidden="1">'Prony Fit'!$C$9</definedName>
    <definedName name="solver_lhs14" localSheetId="6" hidden="1">'Prony Fit'!$C$9</definedName>
    <definedName name="solver_lhs15" localSheetId="6" hidden="1">'Prony Fit'!$C$9</definedName>
    <definedName name="solver_lhs16" localSheetId="6" hidden="1">'Prony Fit'!$C$9</definedName>
    <definedName name="solver_lhs17" localSheetId="6" hidden="1">'Prony Fit'!$C$9</definedName>
    <definedName name="solver_lhs18" localSheetId="6" hidden="1">'Prony Fit'!$C$9</definedName>
    <definedName name="solver_lhs19" localSheetId="6" hidden="1">'Prony Fit'!$C$9</definedName>
    <definedName name="solver_lhs2" localSheetId="6" hidden="1">'Prony Fit'!$C$4</definedName>
    <definedName name="solver_lhs20" localSheetId="6" hidden="1">'Prony Fit'!$C$9</definedName>
    <definedName name="solver_lhs3" localSheetId="6" hidden="1">'Prony Fit'!$C$4</definedName>
    <definedName name="solver_lhs4" localSheetId="6" hidden="1">'Prony Fit'!$C$4</definedName>
    <definedName name="solver_lhs5" localSheetId="6" hidden="1">'Prony Fit'!$C$4</definedName>
    <definedName name="solver_lhs6" localSheetId="6" hidden="1">'Prony Fit'!$C$9</definedName>
    <definedName name="solver_lhs7" localSheetId="6" hidden="1">'Prony Fit'!$C$9</definedName>
    <definedName name="solver_lhs8" localSheetId="6" hidden="1">'Prony Fit'!$C$9</definedName>
    <definedName name="solver_lhs9" localSheetId="6" hidden="1">'Prony Fit'!$C$9</definedName>
    <definedName name="solver_mip" localSheetId="6" hidden="1">2147483647</definedName>
    <definedName name="solver_mip" localSheetId="4" hidden="1">2147483647</definedName>
    <definedName name="solver_mni" localSheetId="6" hidden="1">30</definedName>
    <definedName name="solver_mni" localSheetId="4" hidden="1">30</definedName>
    <definedName name="solver_mrt" localSheetId="6" hidden="1">0.075</definedName>
    <definedName name="solver_mrt" localSheetId="4" hidden="1">0.075</definedName>
    <definedName name="solver_msl" localSheetId="6" hidden="1">2</definedName>
    <definedName name="solver_msl" localSheetId="4" hidden="1">2</definedName>
    <definedName name="solver_neg" localSheetId="6" hidden="1">1</definedName>
    <definedName name="solver_neg" localSheetId="4" hidden="1">1</definedName>
    <definedName name="solver_nod" localSheetId="6" hidden="1">2147483647</definedName>
    <definedName name="solver_nod" localSheetId="4" hidden="1">2147483647</definedName>
    <definedName name="solver_num" localSheetId="6" hidden="1">1</definedName>
    <definedName name="solver_num" localSheetId="4" hidden="1">0</definedName>
    <definedName name="solver_nwt" localSheetId="6" hidden="1">1</definedName>
    <definedName name="solver_nwt" localSheetId="4" hidden="1">1</definedName>
    <definedName name="solver_opt" localSheetId="6" hidden="1">'Prony Fit'!$L$52</definedName>
    <definedName name="solver_opt" localSheetId="4" hidden="1">'Shifted plus WLF Best Fit'!$Y$43</definedName>
    <definedName name="solver_pre" localSheetId="6" hidden="1">0.000001</definedName>
    <definedName name="solver_pre" localSheetId="4" hidden="1">0.000001</definedName>
    <definedName name="solver_rbv" localSheetId="6" hidden="1">2</definedName>
    <definedName name="solver_rbv" localSheetId="4" hidden="1">1</definedName>
    <definedName name="solver_rel1" localSheetId="6" hidden="1">1</definedName>
    <definedName name="solver_rel10" localSheetId="6" hidden="1">1</definedName>
    <definedName name="solver_rel11" localSheetId="6" hidden="1">1</definedName>
    <definedName name="solver_rel12" localSheetId="6" hidden="1">1</definedName>
    <definedName name="solver_rel13" localSheetId="6" hidden="1">1</definedName>
    <definedName name="solver_rel14" localSheetId="6" hidden="1">1</definedName>
    <definedName name="solver_rel15" localSheetId="6" hidden="1">1</definedName>
    <definedName name="solver_rel16" localSheetId="6" hidden="1">1</definedName>
    <definedName name="solver_rel17" localSheetId="6" hidden="1">1</definedName>
    <definedName name="solver_rel18" localSheetId="6" hidden="1">1</definedName>
    <definedName name="solver_rel19" localSheetId="6" hidden="1">1</definedName>
    <definedName name="solver_rel2" localSheetId="6" hidden="1">3</definedName>
    <definedName name="solver_rel20" localSheetId="6" hidden="1">3</definedName>
    <definedName name="solver_rel3" localSheetId="6" hidden="1">3</definedName>
    <definedName name="solver_rel4" localSheetId="6" hidden="1">3</definedName>
    <definedName name="solver_rel5" localSheetId="6" hidden="1">3</definedName>
    <definedName name="solver_rel6" localSheetId="6" hidden="1">1</definedName>
    <definedName name="solver_rel7" localSheetId="6" hidden="1">1</definedName>
    <definedName name="solver_rel8" localSheetId="6" hidden="1">1</definedName>
    <definedName name="solver_rel9" localSheetId="6" hidden="1">1</definedName>
    <definedName name="solver_rhs1" localSheetId="6" hidden="1">0.998</definedName>
    <definedName name="solver_rhs10" localSheetId="6" hidden="1">0.1</definedName>
    <definedName name="solver_rhs11" localSheetId="6" hidden="1">0.1</definedName>
    <definedName name="solver_rhs12" localSheetId="6" hidden="1">0.1</definedName>
    <definedName name="solver_rhs13" localSheetId="6" hidden="1">0.1</definedName>
    <definedName name="solver_rhs14" localSheetId="6" hidden="1">0.1</definedName>
    <definedName name="solver_rhs15" localSheetId="6" hidden="1">0.1</definedName>
    <definedName name="solver_rhs16" localSheetId="6" hidden="1">0.1</definedName>
    <definedName name="solver_rhs17" localSheetId="6" hidden="1">0.1</definedName>
    <definedName name="solver_rhs18" localSheetId="6" hidden="1">0.1</definedName>
    <definedName name="solver_rhs19" localSheetId="6" hidden="1">0.1</definedName>
    <definedName name="solver_rhs2" localSheetId="6" hidden="1">0</definedName>
    <definedName name="solver_rhs20" localSheetId="6" hidden="1">0.04</definedName>
    <definedName name="solver_rhs3" localSheetId="6" hidden="1">0</definedName>
    <definedName name="solver_rhs4" localSheetId="6" hidden="1">0</definedName>
    <definedName name="solver_rhs5" localSheetId="6" hidden="1">0</definedName>
    <definedName name="solver_rhs6" localSheetId="6" hidden="1">0.1</definedName>
    <definedName name="solver_rhs7" localSheetId="6" hidden="1">0.1</definedName>
    <definedName name="solver_rhs8" localSheetId="6" hidden="1">0.1</definedName>
    <definedName name="solver_rhs9" localSheetId="6" hidden="1">0.1</definedName>
    <definedName name="solver_rlx" localSheetId="6" hidden="1">2</definedName>
    <definedName name="solver_rlx" localSheetId="4" hidden="1">2</definedName>
    <definedName name="solver_rsd" localSheetId="6" hidden="1">0</definedName>
    <definedName name="solver_rsd" localSheetId="4" hidden="1">0</definedName>
    <definedName name="solver_scl" localSheetId="6" hidden="1">1</definedName>
    <definedName name="solver_scl" localSheetId="4" hidden="1">1</definedName>
    <definedName name="solver_sho" localSheetId="6" hidden="1">2</definedName>
    <definedName name="solver_sho" localSheetId="4" hidden="1">2</definedName>
    <definedName name="solver_ssz" localSheetId="6" hidden="1">100</definedName>
    <definedName name="solver_ssz" localSheetId="4" hidden="1">100</definedName>
    <definedName name="solver_tim" localSheetId="6" hidden="1">2147483647</definedName>
    <definedName name="solver_tim" localSheetId="4" hidden="1">2147483647</definedName>
    <definedName name="solver_tol" localSheetId="6" hidden="1">0.01</definedName>
    <definedName name="solver_tol" localSheetId="4" hidden="1">0.01</definedName>
    <definedName name="solver_typ" localSheetId="6" hidden="1">2</definedName>
    <definedName name="solver_typ" localSheetId="4" hidden="1">2</definedName>
    <definedName name="solver_val" localSheetId="6" hidden="1">0</definedName>
    <definedName name="solver_val" localSheetId="4" hidden="1">0</definedName>
    <definedName name="solver_ver" localSheetId="6" hidden="1">3</definedName>
    <definedName name="solver_ver" localSheetId="4" hidden="1">3</definedName>
    <definedName name="Sum_of_Errors">'Prony Fit'!$L$52</definedName>
    <definedName name="Sum_of_gs">'Prony Fit'!$C$19</definedName>
    <definedName name="T0" localSheetId="4">'Shifted plus WLF Best Fit'!$W$47</definedName>
    <definedName name="T0">'Shifted plus WLF Universal'!$W$44</definedName>
    <definedName name="Tau">'Prony Fit'!$D$4:$D$17</definedName>
    <definedName name="x_10">'Prony Fit'!$B$13</definedName>
    <definedName name="x_11">'Prony Fit'!$B$14</definedName>
    <definedName name="x_12">'Prony Fit'!$B$15</definedName>
    <definedName name="x_13">'Prony Fit'!$B$16</definedName>
    <definedName name="x_14">'Prony Fit'!$B$17</definedName>
    <definedName name="x_2">'Prony Fit'!$B$5</definedName>
    <definedName name="x_3">'Prony Fit'!$B$6</definedName>
    <definedName name="x_4">'Prony Fit'!$B$7</definedName>
    <definedName name="x_5">'Prony Fit'!$B$8</definedName>
    <definedName name="x_6">'Prony Fit'!$B$9</definedName>
    <definedName name="x_7">'Prony Fit'!$B$10</definedName>
    <definedName name="x_8">'Prony Fit'!$B$11</definedName>
    <definedName name="x_9">'Prony Fit'!$B$12</definedName>
  </definedNames>
  <calcPr calcId="145621"/>
</workbook>
</file>

<file path=xl/calcChain.xml><?xml version="1.0" encoding="utf-8"?>
<calcChain xmlns="http://schemas.openxmlformats.org/spreadsheetml/2006/main">
  <c r="H183" i="7" l="1"/>
  <c r="H182" i="7"/>
  <c r="H181" i="7"/>
  <c r="H180" i="7"/>
  <c r="H179" i="7"/>
  <c r="H178" i="7"/>
  <c r="H177" i="7"/>
  <c r="H176" i="7"/>
  <c r="H175" i="7"/>
  <c r="H174" i="7"/>
  <c r="H173" i="7"/>
  <c r="H172" i="7"/>
  <c r="H171" i="7"/>
  <c r="H170" i="7"/>
  <c r="H169" i="7"/>
  <c r="H168" i="7"/>
  <c r="H167" i="7"/>
  <c r="H166" i="7"/>
  <c r="H165" i="7"/>
  <c r="H164" i="7"/>
  <c r="H163" i="7"/>
  <c r="H162" i="7"/>
  <c r="H161" i="7"/>
  <c r="H160" i="7"/>
  <c r="H159" i="7"/>
  <c r="H158" i="7"/>
  <c r="H157" i="7"/>
  <c r="H156" i="7"/>
  <c r="H155" i="7"/>
  <c r="H154" i="7"/>
  <c r="H153" i="7"/>
  <c r="H152" i="7"/>
  <c r="H151" i="7"/>
  <c r="H150" i="7"/>
  <c r="H149" i="7"/>
  <c r="H148" i="7"/>
  <c r="H147" i="7"/>
  <c r="H146" i="7"/>
  <c r="H145" i="7"/>
  <c r="H144" i="7"/>
  <c r="H143" i="7"/>
  <c r="H142" i="7"/>
  <c r="H141" i="7"/>
  <c r="H140" i="7"/>
  <c r="H139" i="7"/>
  <c r="H138" i="7"/>
  <c r="H137" i="7"/>
  <c r="H136" i="7"/>
  <c r="H135" i="7"/>
  <c r="H134" i="7"/>
  <c r="H133" i="7"/>
  <c r="H132" i="7"/>
  <c r="H131" i="7"/>
  <c r="H130" i="7"/>
  <c r="H129" i="7"/>
  <c r="H128" i="7"/>
  <c r="H127" i="7"/>
  <c r="H126" i="7"/>
  <c r="H125" i="7"/>
  <c r="H124" i="7"/>
  <c r="H123" i="7"/>
  <c r="H122" i="7"/>
  <c r="H121" i="7"/>
  <c r="H120" i="7"/>
  <c r="H119" i="7"/>
  <c r="H118" i="7"/>
  <c r="H117" i="7"/>
  <c r="H116" i="7"/>
  <c r="H115" i="7"/>
  <c r="H114" i="7"/>
  <c r="H113" i="7"/>
  <c r="H112" i="7"/>
  <c r="H111" i="7"/>
  <c r="H110" i="7"/>
  <c r="H109" i="7"/>
  <c r="H108" i="7"/>
  <c r="H107" i="7"/>
  <c r="H106" i="7"/>
  <c r="H105" i="7"/>
  <c r="H104" i="7"/>
  <c r="H103" i="7"/>
  <c r="H102" i="7"/>
  <c r="H101" i="7"/>
  <c r="H100" i="7"/>
  <c r="H99" i="7"/>
  <c r="H98" i="7"/>
  <c r="H97" i="7"/>
  <c r="H96" i="7"/>
  <c r="H95" i="7"/>
  <c r="H94" i="7"/>
  <c r="H93" i="7"/>
  <c r="H92" i="7"/>
  <c r="H91" i="7"/>
  <c r="H90" i="7"/>
  <c r="H89" i="7"/>
  <c r="H88" i="7"/>
  <c r="H87" i="7"/>
  <c r="H86" i="7"/>
  <c r="H85" i="7"/>
  <c r="H84" i="7"/>
  <c r="H83" i="7"/>
  <c r="H82" i="7"/>
  <c r="H81" i="7"/>
  <c r="H80" i="7"/>
  <c r="H79" i="7"/>
  <c r="H78" i="7"/>
  <c r="H77" i="7"/>
  <c r="H76" i="7"/>
  <c r="H75" i="7"/>
  <c r="H74" i="7"/>
  <c r="H73" i="7"/>
  <c r="H72" i="7"/>
  <c r="H71" i="7"/>
  <c r="H70" i="7"/>
  <c r="H69" i="7"/>
  <c r="H68" i="7"/>
  <c r="H67" i="7"/>
  <c r="H66" i="7"/>
  <c r="H65" i="7"/>
  <c r="H64" i="7"/>
  <c r="H63" i="7"/>
  <c r="H62" i="7"/>
  <c r="H61" i="7"/>
  <c r="H60" i="7"/>
  <c r="H59" i="7"/>
  <c r="H58" i="7"/>
  <c r="H57" i="7"/>
  <c r="H56" i="7"/>
  <c r="H55" i="7"/>
  <c r="H54" i="7"/>
  <c r="H53" i="7"/>
  <c r="H52" i="7"/>
  <c r="H51" i="7"/>
  <c r="H50" i="7"/>
  <c r="H49" i="7"/>
  <c r="H48" i="7"/>
  <c r="H47" i="7"/>
  <c r="H46" i="7"/>
  <c r="H45" i="7"/>
  <c r="H44" i="7"/>
  <c r="H43" i="7"/>
  <c r="H42" i="7"/>
  <c r="H41" i="7"/>
  <c r="H40" i="7"/>
  <c r="H39" i="7"/>
  <c r="H38" i="7"/>
  <c r="H37" i="7"/>
  <c r="H36" i="7"/>
  <c r="H35" i="7"/>
  <c r="H34" i="7"/>
  <c r="H33" i="7"/>
  <c r="H32" i="7"/>
  <c r="H31" i="7"/>
  <c r="H30" i="7"/>
  <c r="H29" i="7"/>
  <c r="H28" i="7"/>
  <c r="H27" i="7"/>
  <c r="H26" i="7"/>
  <c r="H25" i="7"/>
  <c r="H24" i="7"/>
  <c r="H23" i="7"/>
  <c r="H22" i="7"/>
  <c r="H21" i="7"/>
  <c r="H20" i="7"/>
  <c r="H19" i="7"/>
  <c r="H18" i="7"/>
  <c r="H17" i="7"/>
  <c r="H16" i="7"/>
  <c r="H15" i="7"/>
  <c r="H14" i="7"/>
  <c r="H13" i="7"/>
  <c r="H12" i="7"/>
  <c r="H11" i="7"/>
  <c r="H10" i="7"/>
  <c r="H9" i="7"/>
  <c r="H8" i="7"/>
  <c r="H7" i="7"/>
  <c r="H6" i="7"/>
  <c r="H5" i="7"/>
  <c r="H4" i="7"/>
  <c r="H3" i="7"/>
  <c r="J12" i="8" l="1" a="1"/>
  <c r="J4" i="8" a="1"/>
  <c r="Q15" i="8" l="1"/>
  <c r="Q14" i="8"/>
  <c r="E48" i="8" l="1"/>
  <c r="E47" i="8"/>
  <c r="E46" i="8"/>
  <c r="E45" i="8"/>
  <c r="E44" i="8"/>
  <c r="E43" i="8"/>
  <c r="E42" i="8"/>
  <c r="E41" i="8"/>
  <c r="E40" i="8"/>
  <c r="E39" i="8"/>
  <c r="E38" i="8"/>
  <c r="E37" i="8"/>
  <c r="E36" i="8"/>
  <c r="E35" i="8"/>
  <c r="E34" i="8"/>
  <c r="E33" i="8"/>
  <c r="E32" i="8"/>
  <c r="E31" i="8"/>
  <c r="E30" i="8"/>
  <c r="E29" i="8"/>
  <c r="E28" i="8"/>
  <c r="E27" i="8"/>
  <c r="E26" i="8"/>
  <c r="E25" i="8"/>
  <c r="E24" i="8"/>
  <c r="D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4" i="8"/>
  <c r="A165" i="7" l="1"/>
  <c r="I181" i="7" s="1"/>
  <c r="J181" i="7" s="1"/>
  <c r="A146" i="7"/>
  <c r="I161" i="7" s="1"/>
  <c r="J161" i="7" s="1"/>
  <c r="A127" i="7"/>
  <c r="I134" i="7" s="1"/>
  <c r="J134" i="7" s="1"/>
  <c r="A108" i="7"/>
  <c r="I113" i="7" s="1"/>
  <c r="J113" i="7" s="1"/>
  <c r="A89" i="7"/>
  <c r="I103" i="7" s="1"/>
  <c r="J103" i="7" s="1"/>
  <c r="A70" i="7"/>
  <c r="I83" i="7" s="1"/>
  <c r="J83" i="7" s="1"/>
  <c r="I59" i="7"/>
  <c r="J59" i="7" s="1"/>
  <c r="A51" i="7"/>
  <c r="I64" i="7" s="1"/>
  <c r="J64" i="7" s="1"/>
  <c r="X42" i="7"/>
  <c r="X41" i="7"/>
  <c r="X40" i="7"/>
  <c r="W40" i="7"/>
  <c r="X39" i="7"/>
  <c r="W39" i="7"/>
  <c r="X38" i="7"/>
  <c r="W38" i="7"/>
  <c r="X37" i="7"/>
  <c r="W37" i="7"/>
  <c r="X36" i="7"/>
  <c r="W36" i="7"/>
  <c r="X35" i="7"/>
  <c r="W35" i="7"/>
  <c r="X34" i="7"/>
  <c r="W34" i="7"/>
  <c r="X33" i="7"/>
  <c r="W33" i="7"/>
  <c r="X32" i="7"/>
  <c r="W32" i="7"/>
  <c r="X31" i="7"/>
  <c r="X30" i="7"/>
  <c r="A27" i="7"/>
  <c r="I47" i="7" s="1"/>
  <c r="J47" i="7" s="1"/>
  <c r="A3" i="7"/>
  <c r="I3" i="7" s="1"/>
  <c r="X41" i="6"/>
  <c r="X40" i="6"/>
  <c r="X30" i="6"/>
  <c r="X29" i="6"/>
  <c r="X39" i="6"/>
  <c r="X38" i="6"/>
  <c r="X37" i="6"/>
  <c r="X36" i="6"/>
  <c r="X35" i="6"/>
  <c r="X34" i="6"/>
  <c r="X33" i="6"/>
  <c r="X32" i="6"/>
  <c r="X31" i="6"/>
  <c r="I15" i="7" l="1"/>
  <c r="J15" i="7" s="1"/>
  <c r="I8" i="7"/>
  <c r="J8" i="7" s="1"/>
  <c r="I22" i="7"/>
  <c r="J22" i="7" s="1"/>
  <c r="I30" i="7"/>
  <c r="J30" i="7" s="1"/>
  <c r="I39" i="7"/>
  <c r="J39" i="7" s="1"/>
  <c r="Y39" i="7"/>
  <c r="I52" i="7"/>
  <c r="J52" i="7" s="1"/>
  <c r="I67" i="7"/>
  <c r="J67" i="7" s="1"/>
  <c r="I182" i="7"/>
  <c r="J182" i="7" s="1"/>
  <c r="I7" i="7"/>
  <c r="J7" i="7" s="1"/>
  <c r="I23" i="7"/>
  <c r="J23" i="7" s="1"/>
  <c r="I36" i="7"/>
  <c r="J36" i="7" s="1"/>
  <c r="I48" i="7"/>
  <c r="J48" i="7" s="1"/>
  <c r="I54" i="7"/>
  <c r="J54" i="7" s="1"/>
  <c r="I68" i="7"/>
  <c r="J68" i="7" s="1"/>
  <c r="I121" i="7"/>
  <c r="J121" i="7" s="1"/>
  <c r="I159" i="7"/>
  <c r="J159" i="7" s="1"/>
  <c r="I29" i="7"/>
  <c r="J29" i="7" s="1"/>
  <c r="I60" i="7"/>
  <c r="J60" i="7" s="1"/>
  <c r="I144" i="7"/>
  <c r="J144" i="7" s="1"/>
  <c r="I166" i="7"/>
  <c r="J166" i="7" s="1"/>
  <c r="I49" i="7"/>
  <c r="J49" i="7" s="1"/>
  <c r="I160" i="7"/>
  <c r="J160" i="7" s="1"/>
  <c r="I173" i="7"/>
  <c r="J173" i="7" s="1"/>
  <c r="Y33" i="7"/>
  <c r="I91" i="7"/>
  <c r="J91" i="7" s="1"/>
  <c r="I107" i="7"/>
  <c r="J107" i="7" s="1"/>
  <c r="I31" i="7"/>
  <c r="J31" i="7" s="1"/>
  <c r="I46" i="7"/>
  <c r="J46" i="7" s="1"/>
  <c r="I55" i="7"/>
  <c r="J55" i="7" s="1"/>
  <c r="I63" i="7"/>
  <c r="J63" i="7" s="1"/>
  <c r="I95" i="7"/>
  <c r="J95" i="7" s="1"/>
  <c r="I128" i="7"/>
  <c r="J128" i="7" s="1"/>
  <c r="I151" i="7"/>
  <c r="J151" i="7" s="1"/>
  <c r="I174" i="7"/>
  <c r="J174" i="7" s="1"/>
  <c r="Y36" i="7"/>
  <c r="I11" i="7"/>
  <c r="J11" i="7" s="1"/>
  <c r="J3" i="7"/>
  <c r="I16" i="7"/>
  <c r="J16" i="7" s="1"/>
  <c r="I28" i="7"/>
  <c r="J28" i="7" s="1"/>
  <c r="I34" i="7"/>
  <c r="J34" i="7" s="1"/>
  <c r="I37" i="7"/>
  <c r="J37" i="7" s="1"/>
  <c r="Y37" i="7"/>
  <c r="I42" i="7"/>
  <c r="J42" i="7" s="1"/>
  <c r="I51" i="7"/>
  <c r="J51" i="7" s="1"/>
  <c r="I56" i="7"/>
  <c r="J56" i="7" s="1"/>
  <c r="I65" i="7"/>
  <c r="J65" i="7" s="1"/>
  <c r="I99" i="7"/>
  <c r="J99" i="7" s="1"/>
  <c r="I136" i="7"/>
  <c r="J136" i="7" s="1"/>
  <c r="I152" i="7"/>
  <c r="J152" i="7" s="1"/>
  <c r="I165" i="7"/>
  <c r="J165" i="7" s="1"/>
  <c r="Y34" i="7"/>
  <c r="Y38" i="7"/>
  <c r="Y32" i="7"/>
  <c r="I24" i="7"/>
  <c r="J24" i="7" s="1"/>
  <c r="I75" i="7"/>
  <c r="J75" i="7" s="1"/>
  <c r="I19" i="7"/>
  <c r="J19" i="7" s="1"/>
  <c r="I38" i="7"/>
  <c r="J38" i="7" s="1"/>
  <c r="I44" i="7"/>
  <c r="J44" i="7" s="1"/>
  <c r="I178" i="7"/>
  <c r="J178" i="7" s="1"/>
  <c r="Y40" i="7"/>
  <c r="I4" i="7"/>
  <c r="J4" i="7" s="1"/>
  <c r="I12" i="7"/>
  <c r="J12" i="7" s="1"/>
  <c r="I6" i="7"/>
  <c r="J6" i="7" s="1"/>
  <c r="I20" i="7"/>
  <c r="J20" i="7" s="1"/>
  <c r="I27" i="7"/>
  <c r="J27" i="7" s="1"/>
  <c r="I33" i="7"/>
  <c r="J33" i="7" s="1"/>
  <c r="I41" i="7"/>
  <c r="J41" i="7" s="1"/>
  <c r="I45" i="7"/>
  <c r="J45" i="7" s="1"/>
  <c r="I106" i="7"/>
  <c r="J106" i="7" s="1"/>
  <c r="I179" i="7"/>
  <c r="J179" i="7" s="1"/>
  <c r="I100" i="7"/>
  <c r="J100" i="7" s="1"/>
  <c r="I126" i="7"/>
  <c r="J126" i="7" s="1"/>
  <c r="I167" i="7"/>
  <c r="J167" i="7" s="1"/>
  <c r="I175" i="7"/>
  <c r="J175" i="7" s="1"/>
  <c r="I17" i="7"/>
  <c r="J17" i="7" s="1"/>
  <c r="I50" i="7"/>
  <c r="J50" i="7" s="1"/>
  <c r="I101" i="7"/>
  <c r="J101" i="7" s="1"/>
  <c r="I131" i="7"/>
  <c r="J131" i="7" s="1"/>
  <c r="I139" i="7"/>
  <c r="J139" i="7" s="1"/>
  <c r="I32" i="7"/>
  <c r="J32" i="7" s="1"/>
  <c r="I35" i="7"/>
  <c r="J35" i="7" s="1"/>
  <c r="I71" i="7"/>
  <c r="J71" i="7" s="1"/>
  <c r="I79" i="7"/>
  <c r="J79" i="7" s="1"/>
  <c r="I87" i="7"/>
  <c r="J87" i="7" s="1"/>
  <c r="I132" i="7"/>
  <c r="J132" i="7" s="1"/>
  <c r="I140" i="7"/>
  <c r="J140" i="7" s="1"/>
  <c r="I169" i="7"/>
  <c r="J169" i="7" s="1"/>
  <c r="I177" i="7"/>
  <c r="J177" i="7" s="1"/>
  <c r="I88" i="7"/>
  <c r="J88" i="7" s="1"/>
  <c r="I76" i="7"/>
  <c r="J76" i="7" s="1"/>
  <c r="I77" i="7"/>
  <c r="J77" i="7" s="1"/>
  <c r="I18" i="7"/>
  <c r="J18" i="7" s="1"/>
  <c r="I123" i="7"/>
  <c r="J123" i="7" s="1"/>
  <c r="I13" i="7"/>
  <c r="J13" i="7" s="1"/>
  <c r="I61" i="7"/>
  <c r="J61" i="7" s="1"/>
  <c r="I84" i="7"/>
  <c r="J84" i="7" s="1"/>
  <c r="I96" i="7"/>
  <c r="J96" i="7" s="1"/>
  <c r="I108" i="7"/>
  <c r="J108" i="7" s="1"/>
  <c r="I124" i="7"/>
  <c r="J124" i="7" s="1"/>
  <c r="I154" i="7"/>
  <c r="J154" i="7" s="1"/>
  <c r="I14" i="7"/>
  <c r="J14" i="7" s="1"/>
  <c r="I97" i="7"/>
  <c r="J97" i="7" s="1"/>
  <c r="I109" i="7"/>
  <c r="J109" i="7" s="1"/>
  <c r="I125" i="7"/>
  <c r="J125" i="7" s="1"/>
  <c r="I163" i="7"/>
  <c r="J163" i="7" s="1"/>
  <c r="I9" i="7"/>
  <c r="J9" i="7" s="1"/>
  <c r="I148" i="7"/>
  <c r="J148" i="7" s="1"/>
  <c r="I82" i="7"/>
  <c r="J82" i="7" s="1"/>
  <c r="I70" i="7"/>
  <c r="J70" i="7" s="1"/>
  <c r="I66" i="7"/>
  <c r="J66" i="7" s="1"/>
  <c r="I89" i="7"/>
  <c r="J89" i="7" s="1"/>
  <c r="I115" i="7"/>
  <c r="J115" i="7" s="1"/>
  <c r="I78" i="7"/>
  <c r="J78" i="7" s="1"/>
  <c r="I116" i="7"/>
  <c r="J116" i="7" s="1"/>
  <c r="I146" i="7"/>
  <c r="J146" i="7" s="1"/>
  <c r="I162" i="7"/>
  <c r="J162" i="7" s="1"/>
  <c r="I62" i="7"/>
  <c r="J62" i="7" s="1"/>
  <c r="I72" i="7"/>
  <c r="J72" i="7" s="1"/>
  <c r="I85" i="7"/>
  <c r="J85" i="7" s="1"/>
  <c r="I117" i="7"/>
  <c r="J117" i="7" s="1"/>
  <c r="I147" i="7"/>
  <c r="J147" i="7" s="1"/>
  <c r="I155" i="7"/>
  <c r="J155" i="7" s="1"/>
  <c r="I25" i="7"/>
  <c r="J25" i="7" s="1"/>
  <c r="I57" i="7"/>
  <c r="J57" i="7" s="1"/>
  <c r="I73" i="7"/>
  <c r="J73" i="7" s="1"/>
  <c r="I86" i="7"/>
  <c r="J86" i="7" s="1"/>
  <c r="I104" i="7"/>
  <c r="J104" i="7" s="1"/>
  <c r="I156" i="7"/>
  <c r="J156" i="7" s="1"/>
  <c r="I164" i="7"/>
  <c r="J164" i="7" s="1"/>
  <c r="I10" i="7"/>
  <c r="J10" i="7" s="1"/>
  <c r="I26" i="7"/>
  <c r="J26" i="7" s="1"/>
  <c r="I58" i="7"/>
  <c r="J58" i="7" s="1"/>
  <c r="I74" i="7"/>
  <c r="J74" i="7" s="1"/>
  <c r="I80" i="7"/>
  <c r="J80" i="7" s="1"/>
  <c r="I92" i="7"/>
  <c r="J92" i="7" s="1"/>
  <c r="I105" i="7"/>
  <c r="J105" i="7" s="1"/>
  <c r="I111" i="7"/>
  <c r="J111" i="7" s="1"/>
  <c r="I119" i="7"/>
  <c r="J119" i="7" s="1"/>
  <c r="I180" i="7"/>
  <c r="J180" i="7" s="1"/>
  <c r="I170" i="7"/>
  <c r="J170" i="7" s="1"/>
  <c r="I183" i="7"/>
  <c r="J183" i="7" s="1"/>
  <c r="I5" i="7"/>
  <c r="J5" i="7" s="1"/>
  <c r="I21" i="7"/>
  <c r="J21" i="7" s="1"/>
  <c r="I40" i="7"/>
  <c r="J40" i="7" s="1"/>
  <c r="I43" i="7"/>
  <c r="J43" i="7" s="1"/>
  <c r="I53" i="7"/>
  <c r="J53" i="7" s="1"/>
  <c r="I69" i="7"/>
  <c r="J69" i="7" s="1"/>
  <c r="I81" i="7"/>
  <c r="J81" i="7" s="1"/>
  <c r="I93" i="7"/>
  <c r="J93" i="7" s="1"/>
  <c r="I112" i="7"/>
  <c r="J112" i="7" s="1"/>
  <c r="I120" i="7"/>
  <c r="J120" i="7" s="1"/>
  <c r="I127" i="7"/>
  <c r="J127" i="7" s="1"/>
  <c r="I135" i="7"/>
  <c r="J135" i="7" s="1"/>
  <c r="I143" i="7"/>
  <c r="J143" i="7" s="1"/>
  <c r="I150" i="7"/>
  <c r="J150" i="7" s="1"/>
  <c r="I158" i="7"/>
  <c r="J158" i="7" s="1"/>
  <c r="I171" i="7"/>
  <c r="J171" i="7" s="1"/>
  <c r="I130" i="7"/>
  <c r="J130" i="7" s="1"/>
  <c r="I142" i="7"/>
  <c r="J142" i="7" s="1"/>
  <c r="I138" i="7"/>
  <c r="J138" i="7" s="1"/>
  <c r="I90" i="7"/>
  <c r="J90" i="7" s="1"/>
  <c r="I94" i="7"/>
  <c r="J94" i="7" s="1"/>
  <c r="I98" i="7"/>
  <c r="J98" i="7" s="1"/>
  <c r="I102" i="7"/>
  <c r="J102" i="7" s="1"/>
  <c r="I129" i="7"/>
  <c r="J129" i="7" s="1"/>
  <c r="I133" i="7"/>
  <c r="J133" i="7" s="1"/>
  <c r="I137" i="7"/>
  <c r="J137" i="7" s="1"/>
  <c r="I141" i="7"/>
  <c r="J141" i="7" s="1"/>
  <c r="I145" i="7"/>
  <c r="J145" i="7" s="1"/>
  <c r="I168" i="7"/>
  <c r="J168" i="7" s="1"/>
  <c r="I172" i="7"/>
  <c r="J172" i="7" s="1"/>
  <c r="I176" i="7"/>
  <c r="J176" i="7" s="1"/>
  <c r="I110" i="7"/>
  <c r="J110" i="7" s="1"/>
  <c r="I114" i="7"/>
  <c r="J114" i="7" s="1"/>
  <c r="I118" i="7"/>
  <c r="J118" i="7" s="1"/>
  <c r="I122" i="7"/>
  <c r="J122" i="7" s="1"/>
  <c r="I149" i="7"/>
  <c r="J149" i="7" s="1"/>
  <c r="I153" i="7"/>
  <c r="J153" i="7" s="1"/>
  <c r="I157" i="7"/>
  <c r="J157" i="7" s="1"/>
  <c r="Y43" i="7" l="1"/>
  <c r="W39" i="6" l="1"/>
  <c r="W38" i="6"/>
  <c r="W37" i="6"/>
  <c r="W36" i="6"/>
  <c r="W35" i="6"/>
  <c r="W34" i="6"/>
  <c r="W33" i="6"/>
  <c r="W32" i="6"/>
  <c r="W31" i="6"/>
  <c r="H183" i="6" l="1"/>
  <c r="H182" i="6"/>
  <c r="H181" i="6"/>
  <c r="H180" i="6"/>
  <c r="H179" i="6"/>
  <c r="H178" i="6"/>
  <c r="I178" i="6" s="1"/>
  <c r="H177" i="6"/>
  <c r="H176" i="6"/>
  <c r="H175" i="6"/>
  <c r="H174" i="6"/>
  <c r="H173" i="6"/>
  <c r="H172" i="6"/>
  <c r="H171" i="6"/>
  <c r="H170" i="6"/>
  <c r="I170" i="6" s="1"/>
  <c r="H169" i="6"/>
  <c r="H168" i="6"/>
  <c r="H167" i="6"/>
  <c r="H166" i="6"/>
  <c r="H165" i="6"/>
  <c r="A165" i="6"/>
  <c r="I180" i="6" s="1"/>
  <c r="H164" i="6"/>
  <c r="H163" i="6"/>
  <c r="I163" i="6" s="1"/>
  <c r="H162" i="6"/>
  <c r="H161" i="6"/>
  <c r="H160" i="6"/>
  <c r="H159" i="6"/>
  <c r="H158" i="6"/>
  <c r="H157" i="6"/>
  <c r="H156" i="6"/>
  <c r="H155" i="6"/>
  <c r="I155" i="6" s="1"/>
  <c r="H154" i="6"/>
  <c r="H153" i="6"/>
  <c r="H152" i="6"/>
  <c r="H151" i="6"/>
  <c r="H150" i="6"/>
  <c r="H149" i="6"/>
  <c r="H148" i="6"/>
  <c r="H147" i="6"/>
  <c r="I147" i="6" s="1"/>
  <c r="H146" i="6"/>
  <c r="A146" i="6"/>
  <c r="H145" i="6"/>
  <c r="H144" i="6"/>
  <c r="H143" i="6"/>
  <c r="H142" i="6"/>
  <c r="H141" i="6"/>
  <c r="H140" i="6"/>
  <c r="I140" i="6" s="1"/>
  <c r="H139" i="6"/>
  <c r="H138" i="6"/>
  <c r="H137" i="6"/>
  <c r="H136" i="6"/>
  <c r="H135" i="6"/>
  <c r="H134" i="6"/>
  <c r="H133" i="6"/>
  <c r="I133" i="6" s="1"/>
  <c r="H132" i="6"/>
  <c r="H131" i="6"/>
  <c r="H130" i="6"/>
  <c r="H129" i="6"/>
  <c r="H128" i="6"/>
  <c r="I128" i="6" s="1"/>
  <c r="H127" i="6"/>
  <c r="A127" i="6"/>
  <c r="H126" i="6"/>
  <c r="H125" i="6"/>
  <c r="H124" i="6"/>
  <c r="H123" i="6"/>
  <c r="H122" i="6"/>
  <c r="I122" i="6" s="1"/>
  <c r="H121" i="6"/>
  <c r="H120" i="6"/>
  <c r="H119" i="6"/>
  <c r="H118" i="6"/>
  <c r="H117" i="6"/>
  <c r="H116" i="6"/>
  <c r="H115" i="6"/>
  <c r="H114" i="6"/>
  <c r="H113" i="6"/>
  <c r="H112" i="6"/>
  <c r="H111" i="6"/>
  <c r="H110" i="6"/>
  <c r="I110" i="6" s="1"/>
  <c r="H109" i="6"/>
  <c r="H108" i="6"/>
  <c r="A108" i="6"/>
  <c r="H107" i="6"/>
  <c r="H106" i="6"/>
  <c r="H105" i="6"/>
  <c r="H104" i="6"/>
  <c r="H103" i="6"/>
  <c r="H102" i="6"/>
  <c r="H101" i="6"/>
  <c r="H100" i="6"/>
  <c r="H99" i="6"/>
  <c r="H98" i="6"/>
  <c r="H97" i="6"/>
  <c r="H96" i="6"/>
  <c r="H95" i="6"/>
  <c r="H94" i="6"/>
  <c r="H93" i="6"/>
  <c r="H92" i="6"/>
  <c r="H91" i="6"/>
  <c r="H90" i="6"/>
  <c r="H89" i="6"/>
  <c r="A89" i="6"/>
  <c r="H88" i="6"/>
  <c r="H87" i="6"/>
  <c r="H86" i="6"/>
  <c r="H85" i="6"/>
  <c r="H84" i="6"/>
  <c r="H83" i="6"/>
  <c r="I83" i="6" s="1"/>
  <c r="H82" i="6"/>
  <c r="I82" i="6" s="1"/>
  <c r="H81" i="6"/>
  <c r="H80" i="6"/>
  <c r="H79" i="6"/>
  <c r="I79" i="6" s="1"/>
  <c r="H78" i="6"/>
  <c r="H77" i="6"/>
  <c r="H76" i="6"/>
  <c r="H75" i="6"/>
  <c r="H74" i="6"/>
  <c r="H73" i="6"/>
  <c r="H72" i="6"/>
  <c r="H71" i="6"/>
  <c r="H70" i="6"/>
  <c r="I70" i="6" s="1"/>
  <c r="A70" i="6"/>
  <c r="H69" i="6"/>
  <c r="H68" i="6"/>
  <c r="H67" i="6"/>
  <c r="H66" i="6"/>
  <c r="H65" i="6"/>
  <c r="H64" i="6"/>
  <c r="H63" i="6"/>
  <c r="I63" i="6" s="1"/>
  <c r="H62" i="6"/>
  <c r="H61" i="6"/>
  <c r="H60" i="6"/>
  <c r="H59" i="6"/>
  <c r="I59" i="6" s="1"/>
  <c r="H58" i="6"/>
  <c r="H57" i="6"/>
  <c r="H56" i="6"/>
  <c r="H55" i="6"/>
  <c r="H54" i="6"/>
  <c r="H53" i="6"/>
  <c r="H52" i="6"/>
  <c r="H51" i="6"/>
  <c r="I51" i="6" s="1"/>
  <c r="A51" i="6"/>
  <c r="H50" i="6"/>
  <c r="H49" i="6"/>
  <c r="H48" i="6"/>
  <c r="H47" i="6"/>
  <c r="H46" i="6"/>
  <c r="H45" i="6"/>
  <c r="H44" i="6"/>
  <c r="H43" i="6"/>
  <c r="H42" i="6"/>
  <c r="H41" i="6"/>
  <c r="H40" i="6"/>
  <c r="H39" i="6"/>
  <c r="H38" i="6"/>
  <c r="H37" i="6"/>
  <c r="H36" i="6"/>
  <c r="H35" i="6"/>
  <c r="H34" i="6"/>
  <c r="H33" i="6"/>
  <c r="H32" i="6"/>
  <c r="H31" i="6"/>
  <c r="H30" i="6"/>
  <c r="H29" i="6"/>
  <c r="H28" i="6"/>
  <c r="H27" i="6"/>
  <c r="A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H4" i="6"/>
  <c r="H3" i="6"/>
  <c r="A3" i="6"/>
  <c r="A165" i="5"/>
  <c r="A146" i="5"/>
  <c r="A127" i="5"/>
  <c r="A108" i="5"/>
  <c r="A89" i="5"/>
  <c r="A70" i="5"/>
  <c r="A51" i="5"/>
  <c r="A27" i="5"/>
  <c r="A3" i="5"/>
  <c r="I3" i="5" s="1"/>
  <c r="H183" i="5"/>
  <c r="I183" i="5" s="1"/>
  <c r="H182" i="5"/>
  <c r="I182" i="5" s="1"/>
  <c r="H181" i="5"/>
  <c r="I181" i="5" s="1"/>
  <c r="H180" i="5"/>
  <c r="I180" i="5" s="1"/>
  <c r="H179" i="5"/>
  <c r="I179" i="5" s="1"/>
  <c r="H178" i="5"/>
  <c r="I178" i="5" s="1"/>
  <c r="H177" i="5"/>
  <c r="I177" i="5" s="1"/>
  <c r="H176" i="5"/>
  <c r="I176" i="5" s="1"/>
  <c r="H175" i="5"/>
  <c r="I175" i="5" s="1"/>
  <c r="H174" i="5"/>
  <c r="I174" i="5" s="1"/>
  <c r="H173" i="5"/>
  <c r="I173" i="5" s="1"/>
  <c r="H172" i="5"/>
  <c r="I172" i="5" s="1"/>
  <c r="H171" i="5"/>
  <c r="I171" i="5" s="1"/>
  <c r="H170" i="5"/>
  <c r="I170" i="5" s="1"/>
  <c r="H169" i="5"/>
  <c r="I169" i="5" s="1"/>
  <c r="H168" i="5"/>
  <c r="I168" i="5" s="1"/>
  <c r="H167" i="5"/>
  <c r="I167" i="5" s="1"/>
  <c r="H166" i="5"/>
  <c r="I166" i="5" s="1"/>
  <c r="H165" i="5"/>
  <c r="I165" i="5" s="1"/>
  <c r="H164" i="5"/>
  <c r="I164" i="5" s="1"/>
  <c r="H163" i="5"/>
  <c r="I163" i="5" s="1"/>
  <c r="H162" i="5"/>
  <c r="I162" i="5" s="1"/>
  <c r="H161" i="5"/>
  <c r="I161" i="5" s="1"/>
  <c r="H160" i="5"/>
  <c r="I160" i="5" s="1"/>
  <c r="H159" i="5"/>
  <c r="I159" i="5" s="1"/>
  <c r="H158" i="5"/>
  <c r="I158" i="5" s="1"/>
  <c r="H157" i="5"/>
  <c r="I157" i="5" s="1"/>
  <c r="H156" i="5"/>
  <c r="I156" i="5" s="1"/>
  <c r="H155" i="5"/>
  <c r="I155" i="5" s="1"/>
  <c r="H154" i="5"/>
  <c r="I154" i="5" s="1"/>
  <c r="H153" i="5"/>
  <c r="I153" i="5" s="1"/>
  <c r="H152" i="5"/>
  <c r="I152" i="5" s="1"/>
  <c r="H151" i="5"/>
  <c r="I151" i="5" s="1"/>
  <c r="H150" i="5"/>
  <c r="I150" i="5" s="1"/>
  <c r="H149" i="5"/>
  <c r="I149" i="5" s="1"/>
  <c r="H148" i="5"/>
  <c r="I148" i="5" s="1"/>
  <c r="H147" i="5"/>
  <c r="I147" i="5" s="1"/>
  <c r="H146" i="5"/>
  <c r="I146" i="5" s="1"/>
  <c r="H145" i="5"/>
  <c r="I145" i="5" s="1"/>
  <c r="H144" i="5"/>
  <c r="I144" i="5" s="1"/>
  <c r="H143" i="5"/>
  <c r="I143" i="5" s="1"/>
  <c r="H142" i="5"/>
  <c r="I142" i="5" s="1"/>
  <c r="H141" i="5"/>
  <c r="I141" i="5" s="1"/>
  <c r="H140" i="5"/>
  <c r="I140" i="5" s="1"/>
  <c r="H139" i="5"/>
  <c r="I139" i="5" s="1"/>
  <c r="H138" i="5"/>
  <c r="I138" i="5" s="1"/>
  <c r="H137" i="5"/>
  <c r="I137" i="5" s="1"/>
  <c r="H136" i="5"/>
  <c r="I136" i="5" s="1"/>
  <c r="H135" i="5"/>
  <c r="I135" i="5" s="1"/>
  <c r="H134" i="5"/>
  <c r="I134" i="5" s="1"/>
  <c r="H133" i="5"/>
  <c r="I133" i="5" s="1"/>
  <c r="H132" i="5"/>
  <c r="I132" i="5" s="1"/>
  <c r="H131" i="5"/>
  <c r="I131" i="5" s="1"/>
  <c r="H130" i="5"/>
  <c r="I130" i="5" s="1"/>
  <c r="H129" i="5"/>
  <c r="I129" i="5" s="1"/>
  <c r="H128" i="5"/>
  <c r="I128" i="5" s="1"/>
  <c r="H127" i="5"/>
  <c r="I127" i="5" s="1"/>
  <c r="H126" i="5"/>
  <c r="I126" i="5" s="1"/>
  <c r="H125" i="5"/>
  <c r="I125" i="5" s="1"/>
  <c r="H124" i="5"/>
  <c r="I124" i="5" s="1"/>
  <c r="H123" i="5"/>
  <c r="I123" i="5" s="1"/>
  <c r="H122" i="5"/>
  <c r="I122" i="5" s="1"/>
  <c r="H121" i="5"/>
  <c r="I121" i="5" s="1"/>
  <c r="H120" i="5"/>
  <c r="I120" i="5" s="1"/>
  <c r="H119" i="5"/>
  <c r="I119" i="5" s="1"/>
  <c r="H118" i="5"/>
  <c r="I118" i="5" s="1"/>
  <c r="H117" i="5"/>
  <c r="I117" i="5" s="1"/>
  <c r="H116" i="5"/>
  <c r="I116" i="5" s="1"/>
  <c r="H115" i="5"/>
  <c r="I115" i="5" s="1"/>
  <c r="H114" i="5"/>
  <c r="I114" i="5" s="1"/>
  <c r="H113" i="5"/>
  <c r="I113" i="5" s="1"/>
  <c r="H112" i="5"/>
  <c r="I112" i="5" s="1"/>
  <c r="H111" i="5"/>
  <c r="I111" i="5" s="1"/>
  <c r="H110" i="5"/>
  <c r="I110" i="5" s="1"/>
  <c r="H109" i="5"/>
  <c r="I109" i="5" s="1"/>
  <c r="H108" i="5"/>
  <c r="I108" i="5" s="1"/>
  <c r="H107" i="5"/>
  <c r="I107" i="5" s="1"/>
  <c r="H106" i="5"/>
  <c r="I106" i="5" s="1"/>
  <c r="H105" i="5"/>
  <c r="I105" i="5" s="1"/>
  <c r="H104" i="5"/>
  <c r="I104" i="5" s="1"/>
  <c r="H103" i="5"/>
  <c r="I103" i="5" s="1"/>
  <c r="H102" i="5"/>
  <c r="I102" i="5" s="1"/>
  <c r="H101" i="5"/>
  <c r="I101" i="5" s="1"/>
  <c r="H100" i="5"/>
  <c r="I100" i="5" s="1"/>
  <c r="H99" i="5"/>
  <c r="I99" i="5" s="1"/>
  <c r="H98" i="5"/>
  <c r="I98" i="5" s="1"/>
  <c r="H97" i="5"/>
  <c r="I97" i="5" s="1"/>
  <c r="H96" i="5"/>
  <c r="I96" i="5" s="1"/>
  <c r="H95" i="5"/>
  <c r="I95" i="5" s="1"/>
  <c r="H94" i="5"/>
  <c r="I94" i="5" s="1"/>
  <c r="H93" i="5"/>
  <c r="I93" i="5" s="1"/>
  <c r="H92" i="5"/>
  <c r="I92" i="5" s="1"/>
  <c r="H91" i="5"/>
  <c r="I91" i="5" s="1"/>
  <c r="H90" i="5"/>
  <c r="I90" i="5" s="1"/>
  <c r="H89" i="5"/>
  <c r="I89" i="5" s="1"/>
  <c r="H88" i="5"/>
  <c r="I88" i="5" s="1"/>
  <c r="H87" i="5"/>
  <c r="I87" i="5" s="1"/>
  <c r="H86" i="5"/>
  <c r="I86" i="5" s="1"/>
  <c r="H85" i="5"/>
  <c r="I85" i="5" s="1"/>
  <c r="H84" i="5"/>
  <c r="I84" i="5" s="1"/>
  <c r="H83" i="5"/>
  <c r="I83" i="5" s="1"/>
  <c r="H82" i="5"/>
  <c r="I82" i="5" s="1"/>
  <c r="H81" i="5"/>
  <c r="I81" i="5" s="1"/>
  <c r="H80" i="5"/>
  <c r="I80" i="5" s="1"/>
  <c r="H79" i="5"/>
  <c r="I79" i="5" s="1"/>
  <c r="H78" i="5"/>
  <c r="I78" i="5" s="1"/>
  <c r="H77" i="5"/>
  <c r="I77" i="5" s="1"/>
  <c r="H76" i="5"/>
  <c r="I76" i="5" s="1"/>
  <c r="H75" i="5"/>
  <c r="I75" i="5" s="1"/>
  <c r="H74" i="5"/>
  <c r="I74" i="5" s="1"/>
  <c r="H73" i="5"/>
  <c r="I73" i="5" s="1"/>
  <c r="H72" i="5"/>
  <c r="I72" i="5" s="1"/>
  <c r="H71" i="5"/>
  <c r="I71" i="5" s="1"/>
  <c r="H70" i="5"/>
  <c r="I70" i="5" s="1"/>
  <c r="H69" i="5"/>
  <c r="H68" i="5"/>
  <c r="I68" i="5" s="1"/>
  <c r="H67" i="5"/>
  <c r="H66" i="5"/>
  <c r="I66" i="5" s="1"/>
  <c r="H65" i="5"/>
  <c r="I65" i="5" s="1"/>
  <c r="H64" i="5"/>
  <c r="I64" i="5" s="1"/>
  <c r="H63" i="5"/>
  <c r="H62" i="5"/>
  <c r="I62" i="5" s="1"/>
  <c r="H61" i="5"/>
  <c r="I61" i="5" s="1"/>
  <c r="H60" i="5"/>
  <c r="I60" i="5" s="1"/>
  <c r="H59" i="5"/>
  <c r="H58" i="5"/>
  <c r="I58" i="5" s="1"/>
  <c r="H57" i="5"/>
  <c r="I57" i="5" s="1"/>
  <c r="H56" i="5"/>
  <c r="I56" i="5" s="1"/>
  <c r="H55" i="5"/>
  <c r="H54" i="5"/>
  <c r="I54" i="5" s="1"/>
  <c r="H53" i="5"/>
  <c r="I53" i="5" s="1"/>
  <c r="H52" i="5"/>
  <c r="I52" i="5" s="1"/>
  <c r="H51" i="5"/>
  <c r="H50" i="5"/>
  <c r="I50" i="5" s="1"/>
  <c r="H49" i="5"/>
  <c r="I49" i="5" s="1"/>
  <c r="H48" i="5"/>
  <c r="I48" i="5" s="1"/>
  <c r="H47" i="5"/>
  <c r="I47" i="5" s="1"/>
  <c r="H46" i="5"/>
  <c r="I46" i="5" s="1"/>
  <c r="H45" i="5"/>
  <c r="I45" i="5" s="1"/>
  <c r="H44" i="5"/>
  <c r="I44" i="5" s="1"/>
  <c r="H43" i="5"/>
  <c r="I43" i="5" s="1"/>
  <c r="H42" i="5"/>
  <c r="I42" i="5" s="1"/>
  <c r="H41" i="5"/>
  <c r="I41" i="5" s="1"/>
  <c r="H40" i="5"/>
  <c r="I40" i="5" s="1"/>
  <c r="H39" i="5"/>
  <c r="I39" i="5" s="1"/>
  <c r="H38" i="5"/>
  <c r="I38" i="5" s="1"/>
  <c r="H37" i="5"/>
  <c r="I37" i="5" s="1"/>
  <c r="H36" i="5"/>
  <c r="I36" i="5" s="1"/>
  <c r="H35" i="5"/>
  <c r="I35" i="5" s="1"/>
  <c r="H34" i="5"/>
  <c r="I34" i="5" s="1"/>
  <c r="H33" i="5"/>
  <c r="I33" i="5" s="1"/>
  <c r="H32" i="5"/>
  <c r="I32" i="5" s="1"/>
  <c r="H31" i="5"/>
  <c r="I31" i="5" s="1"/>
  <c r="H30" i="5"/>
  <c r="I30" i="5" s="1"/>
  <c r="H29" i="5"/>
  <c r="I29" i="5" s="1"/>
  <c r="H28" i="5"/>
  <c r="I28" i="5" s="1"/>
  <c r="H27" i="5"/>
  <c r="I27" i="5" s="1"/>
  <c r="H26" i="5"/>
  <c r="H25" i="5"/>
  <c r="H24" i="5"/>
  <c r="H23" i="5"/>
  <c r="H22" i="5"/>
  <c r="H21" i="5"/>
  <c r="I20" i="5"/>
  <c r="H20" i="5"/>
  <c r="H19" i="5"/>
  <c r="H18" i="5"/>
  <c r="I18" i="5" s="1"/>
  <c r="I17" i="5"/>
  <c r="H17" i="5"/>
  <c r="H16" i="5"/>
  <c r="H15" i="5"/>
  <c r="I15" i="5" s="1"/>
  <c r="H14" i="5"/>
  <c r="I14" i="5" s="1"/>
  <c r="H13" i="5"/>
  <c r="H12" i="5"/>
  <c r="H11" i="5"/>
  <c r="I11" i="5" s="1"/>
  <c r="H10" i="5"/>
  <c r="I10" i="5" s="1"/>
  <c r="H9" i="5"/>
  <c r="H8" i="5"/>
  <c r="H7" i="5"/>
  <c r="I7" i="5" s="1"/>
  <c r="H6" i="5"/>
  <c r="I6" i="5" s="1"/>
  <c r="H5" i="5"/>
  <c r="H4" i="5"/>
  <c r="I4" i="5" s="1"/>
  <c r="H3" i="5"/>
  <c r="I21" i="5" l="1"/>
  <c r="I12" i="5"/>
  <c r="I16" i="5"/>
  <c r="I22" i="5"/>
  <c r="I5" i="5"/>
  <c r="I9" i="5"/>
  <c r="I23" i="5"/>
  <c r="I25" i="5"/>
  <c r="I26" i="5"/>
  <c r="I51" i="5"/>
  <c r="I55" i="5"/>
  <c r="I59" i="5"/>
  <c r="I63" i="5"/>
  <c r="I67" i="5"/>
  <c r="I69" i="5"/>
  <c r="I8" i="6"/>
  <c r="I87" i="6"/>
  <c r="I102" i="6"/>
  <c r="I145" i="6"/>
  <c r="I24" i="5"/>
  <c r="I75" i="6"/>
  <c r="I12" i="6"/>
  <c r="I54" i="6"/>
  <c r="I61" i="6"/>
  <c r="I80" i="6"/>
  <c r="I76" i="6"/>
  <c r="I141" i="6"/>
  <c r="I134" i="6"/>
  <c r="I55" i="6"/>
  <c r="I74" i="6"/>
  <c r="I64" i="6"/>
  <c r="I71" i="6"/>
  <c r="I88" i="6"/>
  <c r="I58" i="6"/>
  <c r="I127" i="6"/>
  <c r="I142" i="6"/>
  <c r="I65" i="6"/>
  <c r="I84" i="6"/>
  <c r="I90" i="6"/>
  <c r="I98" i="6"/>
  <c r="I143" i="6"/>
  <c r="I66" i="6"/>
  <c r="I135" i="6"/>
  <c r="I52" i="6"/>
  <c r="I72" i="6"/>
  <c r="I85" i="6"/>
  <c r="I129" i="6"/>
  <c r="I136" i="6"/>
  <c r="I53" i="6"/>
  <c r="I60" i="6"/>
  <c r="I67" i="6"/>
  <c r="I86" i="6"/>
  <c r="I119" i="6"/>
  <c r="I137" i="6"/>
  <c r="I78" i="6"/>
  <c r="I92" i="6"/>
  <c r="I99" i="6"/>
  <c r="I106" i="6"/>
  <c r="I162" i="6"/>
  <c r="I93" i="6"/>
  <c r="I100" i="6"/>
  <c r="I103" i="6"/>
  <c r="I116" i="6"/>
  <c r="I37" i="6"/>
  <c r="I104" i="6"/>
  <c r="I81" i="6"/>
  <c r="I97" i="6"/>
  <c r="I124" i="6"/>
  <c r="I130" i="6"/>
  <c r="I77" i="6"/>
  <c r="I105" i="6"/>
  <c r="I131" i="6"/>
  <c r="I144" i="6"/>
  <c r="I73" i="6"/>
  <c r="I91" i="6"/>
  <c r="I132" i="6"/>
  <c r="I138" i="6"/>
  <c r="I34" i="6"/>
  <c r="I39" i="6"/>
  <c r="I48" i="6"/>
  <c r="I29" i="6"/>
  <c r="I43" i="6"/>
  <c r="I30" i="6"/>
  <c r="I21" i="6"/>
  <c r="I7" i="6"/>
  <c r="I13" i="6"/>
  <c r="I26" i="6"/>
  <c r="I14" i="6"/>
  <c r="I20" i="6"/>
  <c r="I15" i="6"/>
  <c r="I3" i="6"/>
  <c r="I9" i="6"/>
  <c r="I22" i="6"/>
  <c r="I16" i="6"/>
  <c r="I4" i="6"/>
  <c r="I10" i="6"/>
  <c r="I23" i="6"/>
  <c r="I11" i="6"/>
  <c r="I17" i="6"/>
  <c r="I5" i="6"/>
  <c r="I18" i="6"/>
  <c r="I24" i="6"/>
  <c r="I6" i="6"/>
  <c r="I19" i="6"/>
  <c r="I25" i="6"/>
  <c r="I33" i="6"/>
  <c r="I38" i="6"/>
  <c r="I47" i="6"/>
  <c r="I35" i="6"/>
  <c r="I44" i="6"/>
  <c r="I49" i="6"/>
  <c r="I31" i="6"/>
  <c r="I40" i="6"/>
  <c r="I27" i="6"/>
  <c r="I36" i="6"/>
  <c r="I45" i="6"/>
  <c r="I50" i="6"/>
  <c r="I32" i="6"/>
  <c r="I41" i="6"/>
  <c r="I46" i="6"/>
  <c r="I28" i="6"/>
  <c r="I42" i="6"/>
  <c r="I56" i="6"/>
  <c r="I62" i="6"/>
  <c r="I68" i="6"/>
  <c r="I57" i="6"/>
  <c r="I69" i="6"/>
  <c r="I169" i="6"/>
  <c r="I177" i="6"/>
  <c r="I171" i="6"/>
  <c r="I179" i="6"/>
  <c r="I165" i="6"/>
  <c r="I173" i="6"/>
  <c r="I181" i="6"/>
  <c r="I166" i="6"/>
  <c r="I174" i="6"/>
  <c r="I182" i="6"/>
  <c r="I167" i="6"/>
  <c r="I175" i="6"/>
  <c r="I183" i="6"/>
  <c r="I151" i="6"/>
  <c r="I159" i="6"/>
  <c r="I139" i="6"/>
  <c r="I118" i="6"/>
  <c r="I112" i="6"/>
  <c r="I120" i="6"/>
  <c r="I126" i="6"/>
  <c r="I108" i="6"/>
  <c r="I114" i="6"/>
  <c r="I94" i="6"/>
  <c r="I101" i="6"/>
  <c r="I107" i="6"/>
  <c r="I89" i="6"/>
  <c r="I95" i="6"/>
  <c r="I96" i="6"/>
  <c r="I115" i="6"/>
  <c r="I123" i="6"/>
  <c r="I109" i="6"/>
  <c r="I113" i="6"/>
  <c r="I117" i="6"/>
  <c r="I121" i="6"/>
  <c r="I125" i="6"/>
  <c r="I148" i="6"/>
  <c r="I152" i="6"/>
  <c r="I156" i="6"/>
  <c r="I160" i="6"/>
  <c r="I164" i="6"/>
  <c r="I168" i="6"/>
  <c r="I172" i="6"/>
  <c r="I176" i="6"/>
  <c r="I149" i="6"/>
  <c r="I153" i="6"/>
  <c r="I157" i="6"/>
  <c r="I161" i="6"/>
  <c r="I111" i="6"/>
  <c r="I146" i="6"/>
  <c r="I150" i="6"/>
  <c r="I154" i="6"/>
  <c r="I158" i="6"/>
  <c r="I8" i="5"/>
  <c r="I13" i="5"/>
  <c r="I19" i="5"/>
  <c r="Q10" i="8" l="1"/>
  <c r="Q5" i="8" l="1"/>
  <c r="Q13" i="8"/>
  <c r="Q8" i="8"/>
  <c r="Q12" i="8"/>
  <c r="Q11" i="8"/>
  <c r="Q6" i="8"/>
  <c r="Q7" i="8"/>
  <c r="Q9" i="8"/>
  <c r="Q4" i="8"/>
  <c r="K9" i="8" l="1" a="1"/>
  <c r="K13" i="8" a="1"/>
  <c r="K24" i="8" a="1"/>
  <c r="K25" i="8" a="1"/>
  <c r="K31" i="8" a="1"/>
  <c r="K35" i="8" a="1"/>
  <c r="K34" i="8" a="1"/>
  <c r="K17" i="8" a="1"/>
  <c r="K4" i="8" a="1"/>
  <c r="K41" i="8" a="1"/>
  <c r="K43" i="8" a="1"/>
  <c r="K23" i="8" a="1"/>
  <c r="K22" i="8" a="1"/>
  <c r="K48" i="8" a="1"/>
  <c r="K32" i="8" a="1"/>
  <c r="K40" i="8" a="1"/>
  <c r="K47" i="8" a="1"/>
  <c r="K11" i="8" a="1"/>
  <c r="K27" i="8" a="1"/>
  <c r="K33" i="8" a="1"/>
  <c r="K26" i="8" a="1"/>
  <c r="K42" i="8" a="1"/>
  <c r="K10" i="8" a="1"/>
  <c r="K39" i="8" a="1"/>
  <c r="K28" i="8" a="1"/>
  <c r="K46" i="8" a="1"/>
  <c r="K5" i="8" a="1"/>
  <c r="K44" i="8" a="1"/>
  <c r="K29" i="8" a="1"/>
  <c r="K30" i="8" a="1"/>
  <c r="K12" i="8" a="1"/>
  <c r="K37" i="8" a="1"/>
  <c r="K7" i="8" a="1"/>
  <c r="K15" i="8" a="1"/>
  <c r="K38" i="8" a="1"/>
  <c r="K20" i="8" a="1"/>
  <c r="K16" i="8" a="1"/>
  <c r="K18" i="8" a="1"/>
  <c r="K6" i="8" a="1"/>
  <c r="K8" i="8" a="1"/>
  <c r="K36" i="8" a="1"/>
  <c r="K21" i="8" a="1"/>
  <c r="K19" i="8" a="1"/>
  <c r="K45" i="8" a="1"/>
  <c r="K14" i="8" a="1"/>
  <c r="K12" i="8" l="1"/>
  <c r="M12" i="8" s="1"/>
  <c r="K10" i="8"/>
  <c r="M10" i="8" s="1"/>
  <c r="K6" i="8"/>
  <c r="M6" i="8" s="1"/>
  <c r="K32" i="8"/>
  <c r="M32" i="8" s="1"/>
  <c r="K18" i="8"/>
  <c r="M18" i="8" s="1"/>
  <c r="K30" i="8"/>
  <c r="M30" i="8" s="1"/>
  <c r="K42" i="8"/>
  <c r="M42" i="8" s="1"/>
  <c r="K48" i="8"/>
  <c r="K34" i="8"/>
  <c r="M34" i="8" s="1"/>
  <c r="K14" i="8"/>
  <c r="M14" i="8" s="1"/>
  <c r="K16" i="8"/>
  <c r="M16" i="8" s="1"/>
  <c r="K29" i="8"/>
  <c r="M29" i="8" s="1"/>
  <c r="K26" i="8"/>
  <c r="M26" i="8" s="1"/>
  <c r="C19" i="8"/>
  <c r="K35" i="8"/>
  <c r="M35" i="8" s="1"/>
  <c r="K44" i="8"/>
  <c r="M44" i="8" s="1"/>
  <c r="K31" i="8"/>
  <c r="M31" i="8" s="1"/>
  <c r="K5" i="8"/>
  <c r="K23" i="8"/>
  <c r="M23" i="8" s="1"/>
  <c r="K25" i="8"/>
  <c r="M25" i="8" s="1"/>
  <c r="K21" i="8"/>
  <c r="M21" i="8" s="1"/>
  <c r="K15" i="8"/>
  <c r="M15" i="8" s="1"/>
  <c r="K46" i="8"/>
  <c r="M46" i="8" s="1"/>
  <c r="K11" i="8"/>
  <c r="M11" i="8" s="1"/>
  <c r="K43" i="8"/>
  <c r="M43" i="8" s="1"/>
  <c r="K24" i="8"/>
  <c r="M24" i="8" s="1"/>
  <c r="K45" i="8"/>
  <c r="M45" i="8" s="1"/>
  <c r="K33" i="8"/>
  <c r="M33" i="8" s="1"/>
  <c r="K19" i="8"/>
  <c r="M19" i="8" s="1"/>
  <c r="K27" i="8"/>
  <c r="M27" i="8" s="1"/>
  <c r="K7" i="8"/>
  <c r="M7" i="8" s="1"/>
  <c r="K28" i="8"/>
  <c r="M28" i="8" s="1"/>
  <c r="K47" i="8"/>
  <c r="K41" i="8"/>
  <c r="M41" i="8" s="1"/>
  <c r="K13" i="8"/>
  <c r="M13" i="8" s="1"/>
  <c r="K17" i="8"/>
  <c r="M17" i="8" s="1"/>
  <c r="K20" i="8"/>
  <c r="M20" i="8" s="1"/>
  <c r="K22" i="8"/>
  <c r="M22" i="8" s="1"/>
  <c r="K38" i="8"/>
  <c r="M38" i="8" s="1"/>
  <c r="K36" i="8"/>
  <c r="M36" i="8" s="1"/>
  <c r="K8" i="8"/>
  <c r="M8" i="8" s="1"/>
  <c r="K37" i="8"/>
  <c r="M37" i="8" s="1"/>
  <c r="K39" i="8"/>
  <c r="M39" i="8" s="1"/>
  <c r="K40" i="8"/>
  <c r="M40" i="8" s="1"/>
  <c r="K4" i="8"/>
  <c r="K9" i="8"/>
  <c r="M9" i="8" s="1"/>
  <c r="J45" i="8" a="1"/>
  <c r="J37" i="8" a="1"/>
  <c r="J5" i="8" a="1"/>
  <c r="J19" i="8" a="1"/>
  <c r="J18" i="8" a="1"/>
  <c r="J48" i="8" a="1"/>
  <c r="J17" i="8" a="1"/>
  <c r="J29" i="8" l="1" a="1"/>
  <c r="J4" i="8"/>
  <c r="AA4" i="8" s="1"/>
  <c r="J12" i="8"/>
  <c r="L12" i="8" s="1"/>
  <c r="M50" i="8"/>
  <c r="J19" i="8"/>
  <c r="L19" i="8" s="1"/>
  <c r="J10" i="8" a="1"/>
  <c r="J10" i="8" s="1"/>
  <c r="L10" i="8" s="1"/>
  <c r="J14" i="8" a="1"/>
  <c r="J27" i="8" a="1"/>
  <c r="J21" i="8" a="1"/>
  <c r="J21" i="8" s="1"/>
  <c r="L21" i="8" s="1"/>
  <c r="J26" i="8" a="1"/>
  <c r="J26" i="8" s="1"/>
  <c r="L26" i="8" s="1"/>
  <c r="J11" i="8" a="1"/>
  <c r="J42" i="8" a="1"/>
  <c r="J42" i="8" s="1"/>
  <c r="L42" i="8" s="1"/>
  <c r="J31" i="8" a="1"/>
  <c r="J31" i="8" s="1"/>
  <c r="L31" i="8" s="1"/>
  <c r="J47" i="8" a="1"/>
  <c r="J34" i="8" a="1"/>
  <c r="J9" i="8" a="1"/>
  <c r="J30" i="8" a="1"/>
  <c r="J30" i="8" s="1"/>
  <c r="L30" i="8" s="1"/>
  <c r="J6" i="8" a="1"/>
  <c r="J6" i="8" s="1"/>
  <c r="L6" i="8" s="1"/>
  <c r="J25" i="8" a="1"/>
  <c r="J25" i="8" s="1"/>
  <c r="L25" i="8" s="1"/>
  <c r="J23" i="8" a="1"/>
  <c r="J23" i="8" s="1"/>
  <c r="L23" i="8" s="1"/>
  <c r="J43" i="8" a="1"/>
  <c r="J43" i="8" s="1"/>
  <c r="L43" i="8" s="1"/>
  <c r="J38" i="8" a="1"/>
  <c r="J38" i="8" s="1"/>
  <c r="L38" i="8" s="1"/>
  <c r="J7" i="8" a="1"/>
  <c r="J7" i="8" s="1"/>
  <c r="L7" i="8" s="1"/>
  <c r="J16" i="8" a="1"/>
  <c r="J16" i="8" s="1"/>
  <c r="L16" i="8" s="1"/>
  <c r="J33" i="8" a="1"/>
  <c r="J33" i="8" s="1"/>
  <c r="L33" i="8" s="1"/>
  <c r="J24" i="8" a="1"/>
  <c r="J24" i="8" s="1"/>
  <c r="L24" i="8" s="1"/>
  <c r="J13" i="8" a="1"/>
  <c r="J13" i="8" s="1"/>
  <c r="L13" i="8" s="1"/>
  <c r="J46" i="8" a="1"/>
  <c r="J46" i="8" s="1"/>
  <c r="L46" i="8" s="1"/>
  <c r="J15" i="8" a="1"/>
  <c r="J15" i="8" s="1"/>
  <c r="L15" i="8" s="1"/>
  <c r="J8" i="8" a="1"/>
  <c r="J8" i="8" s="1"/>
  <c r="L8" i="8" s="1"/>
  <c r="J41" i="8" a="1"/>
  <c r="J41" i="8" s="1"/>
  <c r="L41" i="8" s="1"/>
  <c r="J32" i="8" a="1"/>
  <c r="J32" i="8" s="1"/>
  <c r="L32" i="8" s="1"/>
  <c r="J22" i="8" a="1"/>
  <c r="J22" i="8" s="1"/>
  <c r="L22" i="8" s="1"/>
  <c r="J28" i="8" a="1"/>
  <c r="J28" i="8" s="1"/>
  <c r="L28" i="8" s="1"/>
  <c r="J20" i="8" a="1"/>
  <c r="J20" i="8" s="1"/>
  <c r="L20" i="8" s="1"/>
  <c r="J36" i="8" a="1"/>
  <c r="J36" i="8" s="1"/>
  <c r="L36" i="8" s="1"/>
  <c r="J44" i="8" a="1"/>
  <c r="J44" i="8" s="1"/>
  <c r="L44" i="8" s="1"/>
  <c r="J40" i="8" a="1"/>
  <c r="J40" i="8" s="1"/>
  <c r="L40" i="8" s="1"/>
  <c r="J39" i="8" a="1"/>
  <c r="J39" i="8" s="1"/>
  <c r="L39" i="8" s="1"/>
  <c r="J35" i="8" a="1"/>
  <c r="J35" i="8" s="1"/>
  <c r="L35" i="8" s="1"/>
  <c r="J29" i="8"/>
  <c r="L29" i="8" s="1"/>
  <c r="J17" i="8"/>
  <c r="L17" i="8" s="1"/>
  <c r="J27" i="8"/>
  <c r="L27" i="8" s="1"/>
  <c r="J47" i="8"/>
  <c r="AA44" i="8" s="1"/>
  <c r="J5" i="8"/>
  <c r="AA5" i="8" s="1"/>
  <c r="J11" i="8"/>
  <c r="L11" i="8" s="1"/>
  <c r="J37" i="8"/>
  <c r="L37" i="8" s="1"/>
  <c r="J48" i="8"/>
  <c r="AA45" i="8" s="1"/>
  <c r="J18" i="8"/>
  <c r="L18" i="8" s="1"/>
  <c r="J14" i="8"/>
  <c r="L14" i="8" s="1"/>
  <c r="J45" i="8"/>
  <c r="L45" i="8" s="1"/>
  <c r="J34" i="8"/>
  <c r="L34" i="8" s="1"/>
  <c r="J9" i="8"/>
  <c r="L9" i="8" s="1"/>
  <c r="AA19" i="8" l="1"/>
  <c r="AA10" i="8"/>
  <c r="AA21" i="8"/>
  <c r="AA42" i="8"/>
  <c r="AA39" i="8"/>
  <c r="AA40" i="8"/>
  <c r="AA27" i="8"/>
  <c r="AA14" i="8"/>
  <c r="AA35" i="8"/>
  <c r="AA36" i="8"/>
  <c r="AA29" i="8"/>
  <c r="AA25" i="8"/>
  <c r="AA13" i="8"/>
  <c r="AA26" i="8"/>
  <c r="AA11" i="8"/>
  <c r="AA6" i="8"/>
  <c r="AA22" i="8"/>
  <c r="AA17" i="8"/>
  <c r="AA24" i="8"/>
  <c r="AA23" i="8"/>
  <c r="AA16" i="8"/>
  <c r="AA18" i="8"/>
  <c r="AA37" i="8"/>
  <c r="AA41" i="8"/>
  <c r="AA33" i="8"/>
  <c r="AA30" i="8"/>
  <c r="AA15" i="8"/>
  <c r="L50" i="8"/>
  <c r="L52" i="8" s="1"/>
  <c r="AA34" i="8"/>
  <c r="AA7" i="8"/>
  <c r="AA28" i="8"/>
  <c r="AA38" i="8"/>
  <c r="AA31" i="8"/>
  <c r="AA43" i="8"/>
  <c r="AA8" i="8"/>
  <c r="AA9" i="8"/>
  <c r="AA20" i="8"/>
  <c r="AA12" i="8"/>
  <c r="AA32" i="8"/>
</calcChain>
</file>

<file path=xl/comments1.xml><?xml version="1.0" encoding="utf-8"?>
<comments xmlns="http://schemas.openxmlformats.org/spreadsheetml/2006/main">
  <authors>
    <author>Author</author>
  </authors>
  <commentList>
    <comment ref="P3" author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column K from previous sheet</t>
        </r>
      </text>
    </comment>
    <comment ref="Q3" author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column D from previous sheet</t>
        </r>
      </text>
    </comment>
    <comment ref="T3" author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column K from previous sheet</t>
        </r>
      </text>
    </comment>
    <comment ref="U3" author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column D from previous sheet</t>
        </r>
      </text>
    </comment>
  </commentList>
</comments>
</file>

<file path=xl/connections.xml><?xml version="1.0" encoding="utf-8"?>
<connections xmlns="http://schemas.openxmlformats.org/spreadsheetml/2006/main">
  <connection id="1" name="Hyper_Prony_75_SSD" type="6" refreshedVersion="4" background="1" saveData="1">
    <textPr codePage="437" sourceFile="C:\Materials\MCalibration_v331\David Jack_Baylor\PVC\Abaqus Model_SSD\Hyper_Prony_75_SSD.rpt" space="1" consecutive="1">
      <textFields count="4">
        <textField/>
        <textField/>
        <textField/>
        <textField/>
      </textFields>
    </textPr>
  </connection>
  <connection id="2" name="Hyper_Prony_75_SSD1" type="6" refreshedVersion="4" background="1" saveData="1">
    <textPr codePage="437" sourceFile="C:\Materials\MCalibration_v331\David Jack_Baylor\PVC\Abaqus Model_SSD\Hyper_Prony_75_SSD.rpt" space="1" consecutive="1">
      <textFields count="4">
        <textField/>
        <textField/>
        <textField/>
        <textField/>
      </textFields>
    </textPr>
  </connection>
  <connection id="3" name="Prony_TRS_DMA_PVC_100" type="6" refreshedVersion="4" background="1" saveData="1">
    <textPr codePage="437" sourceFile="C:\Materials\MCalibration_v331\David Jack_Baylor\PVC\Hyper_Prony_TRS\Abaqus_Template\new\Prony_TRS_DMA_PVC_100.txt" comma="1">
      <textFields count="2">
        <textField/>
        <textField/>
      </textFields>
    </textPr>
  </connection>
  <connection id="4" name="Prony_TRS_DMA_PVC_60" type="6" refreshedVersion="4" background="1" saveData="1">
    <textPr codePage="437" sourceFile="C:\Materials\MCalibration_v331\David Jack_Baylor\PVC\Hyper_Prony_TRS\Abaqus_Template\new\Prony_TRS_DMA_PVC_60.txt" comma="1">
      <textFields count="5">
        <textField/>
        <textField/>
        <textField/>
        <textField/>
        <textField/>
      </textFields>
    </textPr>
  </connection>
  <connection id="5" name="Prony_TRS_DMA_PVC_65" type="6" refreshedVersion="4" background="1" saveData="1">
    <textPr codePage="437" sourceFile="C:\Materials\MCalibration_v331\David Jack_Baylor\PVC\Hyper_Prony_TRS\Abaqus_Template\new\Prony_TRS_DMA_PVC_65.txt" comma="1">
      <textFields count="2">
        <textField/>
        <textField/>
      </textFields>
    </textPr>
  </connection>
  <connection id="6" name="Prony_TRS_DMA_PVC_70" type="6" refreshedVersion="4" background="1" saveData="1">
    <textPr codePage="437" sourceFile="C:\Materials\MCalibration_v331\David Jack_Baylor\PVC\Hyper_Prony_TRS\Abaqus_Template\new\Prony_TRS_DMA_PVC_70.txt" comma="1">
      <textFields count="2">
        <textField/>
        <textField/>
      </textFields>
    </textPr>
  </connection>
  <connection id="7" name="Prony_TRS_DMA_PVC_75" type="6" refreshedVersion="4" background="1" saveData="1">
    <textPr codePage="437" sourceFile="C:\Materials\MCalibration_v331\David Jack_Baylor\PVC\Hyper_Prony_TRS\Abaqus_Template\new\Prony_TRS_DMA_PVC_75.txt" comma="1">
      <textFields count="2">
        <textField/>
        <textField/>
      </textFields>
    </textPr>
  </connection>
  <connection id="8" name="Prony_TRS_DMA_PVC_80" type="6" refreshedVersion="4" background="1" saveData="1">
    <textPr codePage="437" sourceFile="C:\Materials\MCalibration_v331\David Jack_Baylor\PVC\Hyper_Prony_TRS\Abaqus_Template\new\Prony_TRS_DMA_PVC_80.txt" comma="1">
      <textFields count="2">
        <textField/>
        <textField/>
      </textFields>
    </textPr>
  </connection>
  <connection id="9" name="Prony_TRS_DMA_PVC_85" type="6" refreshedVersion="4" background="1" saveData="1">
    <textPr codePage="437" sourceFile="C:\Materials\MCalibration_v331\David Jack_Baylor\PVC\Hyper_Prony_TRS\Abaqus_Template\new\Prony_TRS_DMA_PVC_85.txt" comma="1">
      <textFields count="2">
        <textField/>
        <textField/>
      </textFields>
    </textPr>
  </connection>
  <connection id="10" name="Prony_TRS_DMA_PVC_90" type="6" refreshedVersion="4" background="1" saveData="1">
    <textPr codePage="437" sourceFile="C:\Materials\MCalibration_v331\David Jack_Baylor\PVC\Hyper_Prony_TRS\Abaqus_Template\new\Prony_TRS_DMA_PVC_90.txt" comma="1">
      <textFields count="2">
        <textField/>
        <textField/>
      </textFields>
    </textPr>
  </connection>
  <connection id="11" name="Prony_TRS_DMA_PVC_95" type="6" refreshedVersion="4" background="1" saveData="1">
    <textPr codePage="437" sourceFile="C:\Materials\MCalibration_v331\David Jack_Baylor\PVC\Hyper_Prony_TRS\Abaqus_Template\new\Prony_TRS_DMA_PVC_95.txt" comma="1">
      <textFields count="2">
        <textField/>
        <textField/>
      </textFields>
    </textPr>
  </connection>
  <connection id="12" name="Prony_TRS_DMA_PVC_Master" type="6" refreshedVersion="4" background="1" saveData="1">
    <textPr codePage="437" sourceFile="C:\Materials\MCalibration_v331\David Jack_Baylor\PVC\Hyper_Prony_TRS\Abaqus_Template\new\Prony_TRS_DMA_PVC_Master.txt" comma="1">
      <textFields count="2">
        <textField/>
        <textField/>
      </textFields>
    </textPr>
  </connection>
  <connection id="13" name="PVC_Combined_no_header" type="6" refreshedVersion="4" background="1" saveData="1">
    <textPr codePage="437" sourceFile="C:\Tod\MCalibration_v260\David Jack_Baylor\PVC\PVC_Combined_no_header.txt">
      <textFields count="18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4" name="PVC_Combined_no_header11" type="6" refreshedVersion="4" background="1" saveData="1">
    <textPr codePage="437" sourceFile="C:\Tod\MCalibration_v260\David Jack_Baylor\PVC\PVC_Combined_no_header.txt">
      <textFields count="18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5" name="PVC_Combined_no_header111" type="6" refreshedVersion="4" background="1" saveData="1">
    <textPr codePage="437" sourceFile="C:\Tod\MCalibration_v260\David Jack_Baylor\PVC\PVC_Combined_no_header.txt">
      <textFields count="18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6" name="PVC_Combined_no_header1111" type="6" refreshedVersion="4" background="1" saveData="1">
    <textPr codePage="437" sourceFile="C:\Tod\MCalibration_v260\David Jack_Baylor\PVC\PVC_Combined_no_header.txt">
      <textFields count="18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<sst xmlns="http://schemas.openxmlformats.org/spreadsheetml/2006/main" count="535" uniqueCount="213">
  <si>
    <t>Time (min)</t>
  </si>
  <si>
    <t>Temp C</t>
  </si>
  <si>
    <t>S. Mod MPa</t>
  </si>
  <si>
    <t>Loss</t>
  </si>
  <si>
    <t>Stress</t>
  </si>
  <si>
    <t>Tan Delta</t>
  </si>
  <si>
    <t>Freq Hz</t>
  </si>
  <si>
    <t>Freq (Hz)</t>
  </si>
  <si>
    <t>Loss Mod</t>
  </si>
  <si>
    <t>log(Freq)</t>
  </si>
  <si>
    <t>Temp</t>
  </si>
  <si>
    <t>Shift</t>
  </si>
  <si>
    <t>WLF</t>
  </si>
  <si>
    <t>C1=</t>
  </si>
  <si>
    <t>C2=</t>
  </si>
  <si>
    <t>T0=</t>
  </si>
  <si>
    <t>Error</t>
  </si>
  <si>
    <t>C1 = 17.4 and C2 = 51.6 are called the "Universal Constants"</t>
  </si>
  <si>
    <t>shifted</t>
  </si>
  <si>
    <t xml:space="preserve">shifted </t>
  </si>
  <si>
    <t>Prony Guess</t>
  </si>
  <si>
    <t>Original Test Data</t>
  </si>
  <si>
    <t>Calculated from Prony</t>
  </si>
  <si>
    <t>Prony series sum</t>
  </si>
  <si>
    <t>i</t>
  </si>
  <si>
    <t>x_i</t>
  </si>
  <si>
    <t>g_i</t>
  </si>
  <si>
    <t>tau_i</t>
  </si>
  <si>
    <t>Freq. (rad/sec.)</t>
  </si>
  <si>
    <t>Freq. (Hz)</t>
  </si>
  <si>
    <t>Storage Modulus</t>
  </si>
  <si>
    <t>Loss Modulus</t>
  </si>
  <si>
    <t>time</t>
  </si>
  <si>
    <t>rel. modulus</t>
  </si>
  <si>
    <t>Error Sum</t>
  </si>
  <si>
    <t>Weights</t>
  </si>
  <si>
    <t>Sum_of_Errors</t>
  </si>
  <si>
    <t>Dr. Force (N)</t>
  </si>
  <si>
    <t>Amp (um)</t>
  </si>
  <si>
    <t>Strain (%)</t>
  </si>
  <si>
    <t>Disp (um)</t>
  </si>
  <si>
    <t>St. Force (N)</t>
  </si>
  <si>
    <t>Pos  (mm)</t>
  </si>
  <si>
    <t>Stiffness (N/m)</t>
  </si>
  <si>
    <t>Hand</t>
  </si>
  <si>
    <t>Freq.</t>
  </si>
  <si>
    <t>Storage</t>
  </si>
  <si>
    <t>Modulus</t>
  </si>
  <si>
    <t>Shifted</t>
  </si>
  <si>
    <t>Note:  This is columns K and D from the previous sheet, then sort by Freq (low to high), then decimate to reduce the number of data points.</t>
  </si>
  <si>
    <t>NOT Decimated</t>
  </si>
  <si>
    <t>Decimated</t>
  </si>
  <si>
    <t>Loss_Mod</t>
  </si>
  <si>
    <t>Storage_Mod</t>
  </si>
  <si>
    <t>Frequency</t>
  </si>
  <si>
    <t>(Hz)</t>
  </si>
  <si>
    <t>Load case 1</t>
  </si>
  <si>
    <t xml:space="preserve"> dynamic test 1 of 41: E'</t>
  </si>
  <si>
    <t xml:space="preserve"> E''</t>
  </si>
  <si>
    <t xml:space="preserve"> dynamic test 2 of 41: E'</t>
  </si>
  <si>
    <t xml:space="preserve"> dynamic test 3 of 41: E'</t>
  </si>
  <si>
    <t xml:space="preserve"> dynamic test 4 of 41: E'</t>
  </si>
  <si>
    <t xml:space="preserve"> dynamic test 5 of 41: E'</t>
  </si>
  <si>
    <t xml:space="preserve"> dynamic test 6 of 41: E'</t>
  </si>
  <si>
    <t xml:space="preserve"> dynamic test 7 of 41: E'</t>
  </si>
  <si>
    <t xml:space="preserve"> dynamic test 8 of 41: E'</t>
  </si>
  <si>
    <t xml:space="preserve"> dynamic test 9 of 41: E'</t>
  </si>
  <si>
    <t xml:space="preserve"> dynamic test 10 of 41: E'</t>
  </si>
  <si>
    <t xml:space="preserve"> dynamic test 11 of 41: E'</t>
  </si>
  <si>
    <t xml:space="preserve"> dynamic test 12 of 41: E'</t>
  </si>
  <si>
    <t xml:space="preserve"> dynamic test 13 of 41: E'</t>
  </si>
  <si>
    <t xml:space="preserve"> dynamic test 14 of 41: E'</t>
  </si>
  <si>
    <t xml:space="preserve"> dynamic test 15 of 41: E'</t>
  </si>
  <si>
    <t xml:space="preserve"> dynamic test 16 of 41: E'</t>
  </si>
  <si>
    <t xml:space="preserve"> dynamic test 17 of 41: E'</t>
  </si>
  <si>
    <t xml:space="preserve"> dynamic test 18 of 41: E'</t>
  </si>
  <si>
    <t xml:space="preserve"> dynamic test 19 of 41: E'</t>
  </si>
  <si>
    <t xml:space="preserve"> dynamic test 20 of 41: E'</t>
  </si>
  <si>
    <t xml:space="preserve"> dynamic test 21 of 41: E'</t>
  </si>
  <si>
    <t xml:space="preserve"> dynamic test 22 of 41: E'</t>
  </si>
  <si>
    <t xml:space="preserve"> dynamic test 23 of 41: E'</t>
  </si>
  <si>
    <t xml:space="preserve"> dynamic test 24 of 41: E'</t>
  </si>
  <si>
    <t xml:space="preserve"> dynamic test 25 of 41: E'</t>
  </si>
  <si>
    <t xml:space="preserve"> dynamic test 26 of 41: E'</t>
  </si>
  <si>
    <t xml:space="preserve"> dynamic test 27 of 41: E'</t>
  </si>
  <si>
    <t xml:space="preserve"> dynamic test 28 of 41: E'</t>
  </si>
  <si>
    <t xml:space="preserve"> dynamic test 29 of 41: E'</t>
  </si>
  <si>
    <t xml:space="preserve"> dynamic test 30 of 41: E'</t>
  </si>
  <si>
    <t xml:space="preserve"> dynamic test 31 of 41: E'</t>
  </si>
  <si>
    <t xml:space="preserve"> dynamic test 32 of 41: E'</t>
  </si>
  <si>
    <t xml:space="preserve"> dynamic test 33 of 41: E'</t>
  </si>
  <si>
    <t xml:space="preserve"> dynamic test 34 of 41: E'</t>
  </si>
  <si>
    <t xml:space="preserve"> dynamic test 35 of 41: E'</t>
  </si>
  <si>
    <t xml:space="preserve"> dynamic test 36 of 41: E'</t>
  </si>
  <si>
    <t xml:space="preserve"> dynamic test 37 of 41: E'</t>
  </si>
  <si>
    <t xml:space="preserve"> dynamic test 38 of 41: E'</t>
  </si>
  <si>
    <t xml:space="preserve"> dynamic test 39 of 41: E'</t>
  </si>
  <si>
    <t xml:space="preserve"> dynamic test 40 of 41: E'</t>
  </si>
  <si>
    <t xml:space="preserve"> dynamic test 41 of 41: E'</t>
  </si>
  <si>
    <t>E_0=</t>
  </si>
  <si>
    <t>E_inf=</t>
  </si>
  <si>
    <t>E Range</t>
  </si>
  <si>
    <t>Es</t>
  </si>
  <si>
    <t>El</t>
  </si>
  <si>
    <t xml:space="preserve">Es Error </t>
  </si>
  <si>
    <t>El Error</t>
  </si>
  <si>
    <t>Sum_of_gs</t>
  </si>
  <si>
    <t>% Load Case Name: PVC_60</t>
  </si>
  <si>
    <t xml:space="preserve"> E' (MPa)</t>
  </si>
  <si>
    <t xml:space="preserve"> E'' (MPa)</t>
  </si>
  <si>
    <t>% Load Case Name: PVC_65</t>
  </si>
  <si>
    <t>% Load Case Name: PVC_70</t>
  </si>
  <si>
    <t>% Load Case Name: PVC_75</t>
  </si>
  <si>
    <t>% Load Case Name: PVC_80</t>
  </si>
  <si>
    <t>% Load Case Name: PVC_85</t>
  </si>
  <si>
    <t>% Load Case Name: PVC_90</t>
  </si>
  <si>
    <t>% Load Case Name: PVC_95</t>
  </si>
  <si>
    <t>% Load Case Name: PVC_100</t>
  </si>
  <si>
    <t>% Load Case Name: PVC_Master</t>
  </si>
  <si>
    <t>% Column 1: freqency (rad/s)</t>
  </si>
  <si>
    <t>% Column 2: Storage Modulus</t>
  </si>
  <si>
    <t>% Column 3: Loss Modulus</t>
  </si>
  <si>
    <t>The Abaqus SSD analysis is good for validating the Prony series parameters for the Master Curve</t>
  </si>
  <si>
    <t>*HEADING</t>
  </si>
  <si>
    <t>*PREPRINT,ECHO=NO,MODEL=YES</t>
  </si>
  <si>
    <t>**</t>
  </si>
  <si>
    <t>**Nodal data for the uniaxial test</t>
  </si>
  <si>
    <t>*NODE, Nset=NALL</t>
  </si>
  <si>
    <t>501, 5.450000, 6.643300, 0.000000</t>
  </si>
  <si>
    <t>502, 6.450000, 6.643300, 0.000000</t>
  </si>
  <si>
    <t>503, 6.450000, 7.643300, 0.000000</t>
  </si>
  <si>
    <t>504, 5.450000, 7.643300, 0.000000</t>
  </si>
  <si>
    <t>505, 5.450000, 6.643300, 1.000000</t>
  </si>
  <si>
    <t>506, 6.450000, 6.643300, 1.000000</t>
  </si>
  <si>
    <t>507, 6.450000, 7.643300, 1.000000</t>
  </si>
  <si>
    <t>508, 5.450000, 7.643300, 1.000000</t>
  </si>
  <si>
    <t>*NSET, NSET=UNIAXIALLOAD</t>
  </si>
  <si>
    <t>505,</t>
  </si>
  <si>
    <t>*NSET, NSET=UNIAXIALLOAD_0</t>
  </si>
  <si>
    <t>*NSET, NSET=UNIAXIALEQN1_0</t>
  </si>
  <si>
    <t>506, 507, 508</t>
  </si>
  <si>
    <t>*ELEMENT, ELSET=UNIT_CUBE, TYPE=C3D8RH</t>
  </si>
  <si>
    <t>*EQUATION</t>
  </si>
  <si>
    <t>UNIAXIALEQN1_0, 3, 1, UNIAXIALLOAD_0, 3, -1</t>
  </si>
  <si>
    <t>**Section definitions</t>
  </si>
  <si>
    <t>*SOLID SECTION, ELSET=UNIT_CUBE, MATERIAL=Hyper-Visco-TRS</t>
  </si>
  <si>
    <t>**Material definition</t>
  </si>
  <si>
    <t>*MATERIAL, NAME=Hyper-Visco-TRS</t>
  </si>
  <si>
    <t>*DENSITY</t>
  </si>
  <si>
    <t>1.1e-20,</t>
  </si>
  <si>
    <t>*hyperelastic, NeoHooke, moduli=instantaneous</t>
  </si>
  <si>
    <t>** E0 = 2400 MPa, C10=E/6</t>
  </si>
  <si>
    <t xml:space="preserve"> 400.0, 0.0</t>
  </si>
  <si>
    <t>*viscoelastic, freq=Prony</t>
  </si>
  <si>
    <t>0.129718, 0,</t>
  </si>
  <si>
    <t>0.061878, 0,</t>
  </si>
  <si>
    <t>0.126819, 0,</t>
  </si>
  <si>
    <t>0.106301, 0,</t>
  </si>
  <si>
    <t>0.142345, 0,</t>
  </si>
  <si>
    <t>0.125563, 0,</t>
  </si>
  <si>
    <t>0.13042, 0,</t>
  </si>
  <si>
    <t>0.104886, 0,</t>
  </si>
  <si>
    <t>0.049972, 0,</t>
  </si>
  <si>
    <t>0.012487, 0,</t>
  </si>
  <si>
    <t>0.003626, 0,</t>
  </si>
  <si>
    <t>0.001352, 0,</t>
  </si>
  <si>
    <t>0.000753, 0,</t>
  </si>
  <si>
    <t>0.001067, 0,</t>
  </si>
  <si>
    <t>*TRS, Definition=WLF</t>
  </si>
  <si>
    <t>75, 10.98, 40.76</t>
  </si>
  <si>
    <t>*Initial Conditions, Type=Temperature</t>
  </si>
  <si>
    <t>NALL, 75</t>
  </si>
  <si>
    <t>*******************************************</t>
  </si>
  <si>
    <t xml:space="preserve">** </t>
  </si>
  <si>
    <t>*STEP,INC=500</t>
  </si>
  <si>
    <t>*STEADY STATE DYNAMIC,DIRECT</t>
  </si>
  <si>
    <t>1.e-7,1.e+10,300</t>
  </si>
  <si>
    <t>**Boundary definition for UNIAXIAL test</t>
  </si>
  <si>
    <t>*BOUNDARY</t>
  </si>
  <si>
    <t>UNIAXIALLOAD,1</t>
  </si>
  <si>
    <t>UNIAXIALLOAD,3,3,1.0</t>
  </si>
  <si>
    <t>501,1,3</t>
  </si>
  <si>
    <t>502,3</t>
  </si>
  <si>
    <t>503,3</t>
  </si>
  <si>
    <t>504,1</t>
  </si>
  <si>
    <t>504,3</t>
  </si>
  <si>
    <t>508,1</t>
  </si>
  <si>
    <t>*OUTPUT,FIELD,var=preselect</t>
  </si>
  <si>
    <t>*OUTPUT,HISTORY</t>
  </si>
  <si>
    <t>*NODE OUTPUT,NSET=UNIAXIALLOAD</t>
  </si>
  <si>
    <t>U3, RF3</t>
  </si>
  <si>
    <t>*END STEP</t>
  </si>
  <si>
    <t>*****************************</t>
  </si>
  <si>
    <t>MCalibration version 3.3.1 calculates storage &amp; loss moduli by running *Visco harmonically excited analyses at every discrete frequency</t>
  </si>
  <si>
    <t>This data was output from Mcal to .txt files and then imported into this Excel file</t>
  </si>
  <si>
    <t xml:space="preserve">Abaqus Visco runs managed by Mcalibration (Run Once), E' and E'' calculated by MCalibration from time histories  </t>
  </si>
  <si>
    <t>501,501,502,503,504,505,506,507,508</t>
  </si>
  <si>
    <t>Temp = 60 C</t>
  </si>
  <si>
    <t>Mod. (Mpa)</t>
  </si>
  <si>
    <t>Mod (Mpa)</t>
  </si>
  <si>
    <t>Temp = 65 C</t>
  </si>
  <si>
    <t>Temp = 70 C</t>
  </si>
  <si>
    <t>Temp = 75 C</t>
  </si>
  <si>
    <t>Temp = 80 C</t>
  </si>
  <si>
    <t>Temp = 85 C</t>
  </si>
  <si>
    <t>Temp = 90 C</t>
  </si>
  <si>
    <t>Temp = 95 C</t>
  </si>
  <si>
    <t>Temp = 100 C</t>
  </si>
  <si>
    <t xml:space="preserve"> (Hz)</t>
  </si>
  <si>
    <t>Temp (C)</t>
  </si>
  <si>
    <t>Freq</t>
  </si>
  <si>
    <t>Mod (MPa)</t>
  </si>
  <si>
    <t>ERROR SUM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</si>
</sst>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.0000"/>
    <numFmt numFmtId="166" formatCode="0.000"/>
    <numFmt numFmtId="167" formatCode="0.0000000E+00"/>
    <numFmt numFmtId="168" formatCode="0.0E+00"/>
    <numFmt numFmtId="169" formatCode="0.00000"/>
    <numFmt numFmtId="170" formatCode="0.000000"/>
    <numFmt numFmtId="171" formatCode="0.0000000"/>
    <numFmt numFmtId="172" formatCode="0.00000000"/>
    <numFmt numFmtId="173" formatCode="0.0000E+00"/>
    <numFmt numFmtId="174" formatCode="0.000E+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8"/>
      <color indexed="81"/>
      <name val="Tahoma"/>
      <family val="2"/>
    </font>
    <font>
      <b/>
      <sz val="8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/>
    <xf numFmtId="11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164" fontId="0" fillId="0" borderId="0" xfId="0" applyNumberFormat="1"/>
    <xf numFmtId="165" fontId="0" fillId="0" borderId="0" xfId="0" applyNumberFormat="1"/>
    <xf numFmtId="167" fontId="0" fillId="0" borderId="0" xfId="0" applyNumberFormat="1"/>
    <xf numFmtId="167" fontId="2" fillId="0" borderId="0" xfId="0" applyNumberFormat="1" applyFont="1" applyAlignment="1"/>
    <xf numFmtId="0" fontId="2" fillId="0" borderId="0" xfId="0" applyFont="1" applyAlignment="1"/>
    <xf numFmtId="0" fontId="3" fillId="0" borderId="0" xfId="0" applyFont="1" applyFill="1" applyBorder="1"/>
    <xf numFmtId="0" fontId="0" fillId="0" borderId="0" xfId="0" applyFill="1" applyBorder="1"/>
    <xf numFmtId="0" fontId="1" fillId="0" borderId="0" xfId="0" applyFont="1"/>
    <xf numFmtId="0" fontId="0" fillId="0" borderId="0" xfId="0" applyAlignment="1">
      <alignment wrapText="1"/>
    </xf>
    <xf numFmtId="0" fontId="0" fillId="0" borderId="4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167" fontId="0" fillId="0" borderId="0" xfId="0" applyNumberFormat="1" applyAlignment="1">
      <alignment horizontal="center"/>
    </xf>
    <xf numFmtId="167" fontId="0" fillId="0" borderId="0" xfId="0" applyNumberFormat="1" applyFill="1" applyBorder="1" applyAlignment="1">
      <alignment horizontal="center"/>
    </xf>
    <xf numFmtId="167" fontId="0" fillId="0" borderId="0" xfId="0" applyNumberFormat="1" applyFill="1" applyBorder="1"/>
    <xf numFmtId="49" fontId="0" fillId="0" borderId="0" xfId="0" applyNumberFormat="1" applyAlignment="1">
      <alignment wrapText="1"/>
    </xf>
    <xf numFmtId="168" fontId="0" fillId="0" borderId="0" xfId="0" applyNumberFormat="1"/>
    <xf numFmtId="168" fontId="0" fillId="2" borderId="4" xfId="0" applyNumberFormat="1" applyFill="1" applyBorder="1" applyAlignment="1">
      <alignment horizontal="right" wrapText="1"/>
    </xf>
    <xf numFmtId="0" fontId="0" fillId="2" borderId="0" xfId="0" applyFill="1" applyBorder="1" applyAlignment="1">
      <alignment horizontal="center" wrapText="1"/>
    </xf>
    <xf numFmtId="0" fontId="0" fillId="2" borderId="5" xfId="0" applyFill="1" applyBorder="1" applyAlignment="1">
      <alignment horizontal="center" wrapText="1"/>
    </xf>
    <xf numFmtId="0" fontId="0" fillId="2" borderId="0" xfId="0" applyFill="1" applyAlignment="1">
      <alignment horizontal="center"/>
    </xf>
    <xf numFmtId="166" fontId="0" fillId="2" borderId="0" xfId="0" applyNumberFormat="1" applyFill="1" applyAlignment="1">
      <alignment horizontal="center"/>
    </xf>
    <xf numFmtId="169" fontId="0" fillId="2" borderId="0" xfId="0" applyNumberFormat="1" applyFill="1" applyBorder="1" applyAlignment="1">
      <alignment horizontal="center"/>
    </xf>
    <xf numFmtId="0" fontId="0" fillId="0" borderId="0" xfId="0" applyFill="1"/>
    <xf numFmtId="11" fontId="0" fillId="0" borderId="0" xfId="0" applyNumberFormat="1" applyFill="1" applyBorder="1"/>
    <xf numFmtId="11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9" fontId="0" fillId="0" borderId="0" xfId="0" applyNumberFormat="1" applyFill="1" applyBorder="1" applyAlignment="1">
      <alignment horizontal="center"/>
    </xf>
    <xf numFmtId="11" fontId="0" fillId="0" borderId="0" xfId="0" applyNumberFormat="1" applyFill="1"/>
    <xf numFmtId="165" fontId="1" fillId="0" borderId="0" xfId="0" applyNumberFormat="1" applyFont="1"/>
    <xf numFmtId="167" fontId="0" fillId="0" borderId="0" xfId="0" applyNumberFormat="1" applyAlignment="1">
      <alignment horizontal="right"/>
    </xf>
    <xf numFmtId="11" fontId="0" fillId="2" borderId="0" xfId="0" applyNumberFormat="1" applyFill="1"/>
    <xf numFmtId="168" fontId="0" fillId="2" borderId="0" xfId="0" applyNumberFormat="1" applyFill="1" applyBorder="1"/>
    <xf numFmtId="166" fontId="0" fillId="2" borderId="0" xfId="0" applyNumberFormat="1" applyFill="1" applyBorder="1" applyAlignment="1">
      <alignment horizontal="center"/>
    </xf>
    <xf numFmtId="11" fontId="0" fillId="2" borderId="0" xfId="0" applyNumberFormat="1" applyFill="1" applyBorder="1"/>
    <xf numFmtId="0" fontId="0" fillId="2" borderId="0" xfId="0" applyFill="1"/>
    <xf numFmtId="16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9" fontId="0" fillId="0" borderId="0" xfId="0" applyNumberFormat="1"/>
    <xf numFmtId="0" fontId="0" fillId="0" borderId="0" xfId="0" applyAlignment="1">
      <alignment horizontal="center"/>
    </xf>
    <xf numFmtId="170" fontId="0" fillId="0" borderId="0" xfId="0" applyNumberFormat="1"/>
    <xf numFmtId="0" fontId="0" fillId="0" borderId="0" xfId="0" applyAlignment="1">
      <alignment horizontal="center"/>
    </xf>
    <xf numFmtId="169" fontId="0" fillId="0" borderId="0" xfId="0" applyNumberFormat="1" applyBorder="1"/>
    <xf numFmtId="169" fontId="0" fillId="0" borderId="7" xfId="0" applyNumberFormat="1" applyBorder="1"/>
    <xf numFmtId="170" fontId="0" fillId="0" borderId="0" xfId="0" applyNumberFormat="1" applyBorder="1"/>
    <xf numFmtId="171" fontId="0" fillId="0" borderId="0" xfId="0" applyNumberFormat="1" applyBorder="1"/>
    <xf numFmtId="172" fontId="0" fillId="0" borderId="0" xfId="0" applyNumberFormat="1" applyBorder="1"/>
    <xf numFmtId="3" fontId="0" fillId="0" borderId="0" xfId="0" applyNumberFormat="1"/>
    <xf numFmtId="173" fontId="0" fillId="0" borderId="0" xfId="0" applyNumberFormat="1"/>
    <xf numFmtId="173" fontId="0" fillId="0" borderId="4" xfId="0" applyNumberFormat="1" applyBorder="1"/>
    <xf numFmtId="173" fontId="0" fillId="0" borderId="6" xfId="0" applyNumberFormat="1" applyBorder="1"/>
    <xf numFmtId="0" fontId="0" fillId="0" borderId="0" xfId="0" applyAlignment="1">
      <alignment horizontal="center"/>
    </xf>
    <xf numFmtId="49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166" fontId="0" fillId="0" borderId="0" xfId="0" applyNumberFormat="1"/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166" fontId="0" fillId="0" borderId="11" xfId="0" applyNumberFormat="1" applyBorder="1"/>
    <xf numFmtId="166" fontId="0" fillId="0" borderId="12" xfId="0" applyNumberFormat="1" applyBorder="1"/>
    <xf numFmtId="166" fontId="0" fillId="0" borderId="13" xfId="0" applyNumberFormat="1" applyBorder="1"/>
    <xf numFmtId="166" fontId="0" fillId="0" borderId="14" xfId="0" applyNumberFormat="1" applyBorder="1"/>
    <xf numFmtId="0" fontId="0" fillId="0" borderId="11" xfId="0" applyBorder="1"/>
    <xf numFmtId="0" fontId="0" fillId="0" borderId="12" xfId="0" applyBorder="1"/>
    <xf numFmtId="170" fontId="0" fillId="0" borderId="11" xfId="0" applyNumberFormat="1" applyBorder="1"/>
    <xf numFmtId="170" fontId="0" fillId="0" borderId="12" xfId="0" applyNumberFormat="1" applyBorder="1"/>
    <xf numFmtId="170" fontId="0" fillId="0" borderId="13" xfId="0" applyNumberFormat="1" applyBorder="1"/>
    <xf numFmtId="170" fontId="0" fillId="0" borderId="14" xfId="0" applyNumberFormat="1" applyBorder="1"/>
    <xf numFmtId="0" fontId="0" fillId="0" borderId="9" xfId="0" applyBorder="1" applyAlignment="1"/>
    <xf numFmtId="0" fontId="0" fillId="0" borderId="10" xfId="0" applyBorder="1" applyAlignment="1"/>
    <xf numFmtId="0" fontId="0" fillId="0" borderId="0" xfId="0" applyAlignment="1">
      <alignment horizontal="center"/>
    </xf>
    <xf numFmtId="165" fontId="0" fillId="0" borderId="0" xfId="0" applyNumberFormat="1" applyFill="1" applyBorder="1"/>
    <xf numFmtId="165" fontId="0" fillId="0" borderId="5" xfId="0" applyNumberFormat="1" applyBorder="1"/>
    <xf numFmtId="165" fontId="0" fillId="0" borderId="8" xfId="0" applyNumberFormat="1" applyBorder="1"/>
    <xf numFmtId="174" fontId="0" fillId="0" borderId="0" xfId="0" applyNumberFormat="1"/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DMA</a:t>
            </a:r>
            <a:r>
              <a:rPr lang="en-US" baseline="0"/>
              <a:t> Raw Test Data, Storage Modulus</a:t>
            </a:r>
            <a:endParaRPr lang="en-US"/>
          </a:p>
        </c:rich>
      </c:tx>
      <c:layout>
        <c:manualLayout>
          <c:xMode val="edge"/>
          <c:yMode val="edge"/>
          <c:x val="0.26811226635344615"/>
          <c:y val="8.8008790715326676E-2"/>
        </c:manualLayout>
      </c:layout>
      <c:overlay val="1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60 C</c:v>
          </c:tx>
          <c:spPr>
            <a:ln w="28575">
              <a:noFill/>
            </a:ln>
          </c:spPr>
          <c:marker>
            <c:symbol val="diamond"/>
            <c:size val="4"/>
          </c:marker>
          <c:xVal>
            <c:numRef>
              <c:f>'Raw Test Data'!$H$3:$H$26</c:f>
              <c:numCache>
                <c:formatCode>0.00</c:formatCode>
                <c:ptCount val="24"/>
                <c:pt idx="0">
                  <c:v>9.9999990000000007E-3</c:v>
                </c:pt>
                <c:pt idx="1">
                  <c:v>0.02</c:v>
                </c:pt>
                <c:pt idx="2">
                  <c:v>0.03</c:v>
                </c:pt>
                <c:pt idx="3">
                  <c:v>0.05</c:v>
                </c:pt>
                <c:pt idx="4">
                  <c:v>7.0000000000000007E-2</c:v>
                </c:pt>
                <c:pt idx="5">
                  <c:v>0.1</c:v>
                </c:pt>
                <c:pt idx="6">
                  <c:v>0.15</c:v>
                </c:pt>
                <c:pt idx="7">
                  <c:v>0.22</c:v>
                </c:pt>
                <c:pt idx="8">
                  <c:v>0.32</c:v>
                </c:pt>
                <c:pt idx="9">
                  <c:v>0.46</c:v>
                </c:pt>
                <c:pt idx="10">
                  <c:v>0.68</c:v>
                </c:pt>
                <c:pt idx="11">
                  <c:v>1</c:v>
                </c:pt>
                <c:pt idx="12">
                  <c:v>1.5</c:v>
                </c:pt>
                <c:pt idx="13">
                  <c:v>2.2000000000000002</c:v>
                </c:pt>
                <c:pt idx="14">
                  <c:v>3.2</c:v>
                </c:pt>
                <c:pt idx="15">
                  <c:v>4.5999999999999996</c:v>
                </c:pt>
                <c:pt idx="16">
                  <c:v>6.8</c:v>
                </c:pt>
                <c:pt idx="17">
                  <c:v>10</c:v>
                </c:pt>
                <c:pt idx="18">
                  <c:v>14.6</c:v>
                </c:pt>
                <c:pt idx="19">
                  <c:v>21.5</c:v>
                </c:pt>
                <c:pt idx="20">
                  <c:v>31.6</c:v>
                </c:pt>
                <c:pt idx="21">
                  <c:v>46.4</c:v>
                </c:pt>
                <c:pt idx="22">
                  <c:v>68</c:v>
                </c:pt>
                <c:pt idx="23">
                  <c:v>100</c:v>
                </c:pt>
              </c:numCache>
            </c:numRef>
          </c:xVal>
          <c:yVal>
            <c:numRef>
              <c:f>'Raw Test Data'!$D$3:$D$26</c:f>
              <c:numCache>
                <c:formatCode>0.0000</c:formatCode>
                <c:ptCount val="24"/>
                <c:pt idx="0">
                  <c:v>1296.5440000000001</c:v>
                </c:pt>
                <c:pt idx="1">
                  <c:v>1411.3869999999999</c:v>
                </c:pt>
                <c:pt idx="2">
                  <c:v>1475.1959999999999</c:v>
                </c:pt>
                <c:pt idx="3">
                  <c:v>1538.9570000000001</c:v>
                </c:pt>
                <c:pt idx="4">
                  <c:v>1585.059</c:v>
                </c:pt>
                <c:pt idx="5">
                  <c:v>1625.829</c:v>
                </c:pt>
                <c:pt idx="6">
                  <c:v>1666.5039999999999</c:v>
                </c:pt>
                <c:pt idx="7">
                  <c:v>1706.336</c:v>
                </c:pt>
                <c:pt idx="8">
                  <c:v>1742.52</c:v>
                </c:pt>
                <c:pt idx="9">
                  <c:v>1776.425</c:v>
                </c:pt>
                <c:pt idx="10">
                  <c:v>1812.4</c:v>
                </c:pt>
                <c:pt idx="11">
                  <c:v>1845.133</c:v>
                </c:pt>
                <c:pt idx="12">
                  <c:v>1877.809</c:v>
                </c:pt>
                <c:pt idx="13">
                  <c:v>1908.6690000000001</c:v>
                </c:pt>
                <c:pt idx="14">
                  <c:v>1938.134</c:v>
                </c:pt>
                <c:pt idx="15">
                  <c:v>1966.98</c:v>
                </c:pt>
                <c:pt idx="16">
                  <c:v>1997.537</c:v>
                </c:pt>
                <c:pt idx="17">
                  <c:v>2027.748</c:v>
                </c:pt>
                <c:pt idx="18">
                  <c:v>2056.576</c:v>
                </c:pt>
                <c:pt idx="19">
                  <c:v>2086.8580000000002</c:v>
                </c:pt>
                <c:pt idx="20">
                  <c:v>2117.4920000000002</c:v>
                </c:pt>
                <c:pt idx="21">
                  <c:v>2145.627</c:v>
                </c:pt>
                <c:pt idx="22">
                  <c:v>2173.4160000000002</c:v>
                </c:pt>
                <c:pt idx="23">
                  <c:v>2180.3760000000002</c:v>
                </c:pt>
              </c:numCache>
            </c:numRef>
          </c:yVal>
          <c:smooth val="0"/>
        </c:ser>
        <c:ser>
          <c:idx val="1"/>
          <c:order val="1"/>
          <c:tx>
            <c:v>65 C</c:v>
          </c:tx>
          <c:spPr>
            <a:ln w="28575">
              <a:noFill/>
            </a:ln>
          </c:spPr>
          <c:marker>
            <c:symbol val="square"/>
            <c:size val="4"/>
          </c:marker>
          <c:xVal>
            <c:numRef>
              <c:f>'Raw Test Data'!$H$28:$H$51</c:f>
              <c:numCache>
                <c:formatCode>0.00</c:formatCode>
                <c:ptCount val="24"/>
                <c:pt idx="0">
                  <c:v>9.9999990000000007E-3</c:v>
                </c:pt>
                <c:pt idx="1">
                  <c:v>0.02</c:v>
                </c:pt>
                <c:pt idx="2">
                  <c:v>0.03</c:v>
                </c:pt>
                <c:pt idx="3">
                  <c:v>0.05</c:v>
                </c:pt>
                <c:pt idx="4">
                  <c:v>7.0000000000000007E-2</c:v>
                </c:pt>
                <c:pt idx="5">
                  <c:v>0.1</c:v>
                </c:pt>
                <c:pt idx="6">
                  <c:v>0.15</c:v>
                </c:pt>
                <c:pt idx="7">
                  <c:v>0.22</c:v>
                </c:pt>
                <c:pt idx="8">
                  <c:v>0.32</c:v>
                </c:pt>
                <c:pt idx="9">
                  <c:v>0.46</c:v>
                </c:pt>
                <c:pt idx="10">
                  <c:v>0.68</c:v>
                </c:pt>
                <c:pt idx="11">
                  <c:v>1</c:v>
                </c:pt>
                <c:pt idx="12">
                  <c:v>1.5</c:v>
                </c:pt>
                <c:pt idx="13">
                  <c:v>2.2000000000000002</c:v>
                </c:pt>
                <c:pt idx="14">
                  <c:v>3.2</c:v>
                </c:pt>
                <c:pt idx="15">
                  <c:v>4.5999999999999996</c:v>
                </c:pt>
                <c:pt idx="16">
                  <c:v>6.8</c:v>
                </c:pt>
                <c:pt idx="17">
                  <c:v>10</c:v>
                </c:pt>
                <c:pt idx="18">
                  <c:v>14.6</c:v>
                </c:pt>
                <c:pt idx="19">
                  <c:v>21.5</c:v>
                </c:pt>
                <c:pt idx="20">
                  <c:v>31.6</c:v>
                </c:pt>
                <c:pt idx="21">
                  <c:v>46.4</c:v>
                </c:pt>
                <c:pt idx="22">
                  <c:v>68</c:v>
                </c:pt>
                <c:pt idx="23">
                  <c:v>100</c:v>
                </c:pt>
              </c:numCache>
            </c:numRef>
          </c:xVal>
          <c:yVal>
            <c:numRef>
              <c:f>'Raw Test Data'!$D$28:$D$51</c:f>
              <c:numCache>
                <c:formatCode>0.0000</c:formatCode>
                <c:ptCount val="24"/>
                <c:pt idx="0">
                  <c:v>691.05809999999997</c:v>
                </c:pt>
                <c:pt idx="1">
                  <c:v>807.14599999999996</c:v>
                </c:pt>
                <c:pt idx="2">
                  <c:v>874.48</c:v>
                </c:pt>
                <c:pt idx="3">
                  <c:v>952.33579999999995</c:v>
                </c:pt>
                <c:pt idx="4">
                  <c:v>1003.414</c:v>
                </c:pt>
                <c:pt idx="5">
                  <c:v>1054.4970000000001</c:v>
                </c:pt>
                <c:pt idx="6">
                  <c:v>1110.02</c:v>
                </c:pt>
                <c:pt idx="7">
                  <c:v>1160.9829999999999</c:v>
                </c:pt>
                <c:pt idx="8">
                  <c:v>1210.2940000000001</c:v>
                </c:pt>
                <c:pt idx="9">
                  <c:v>1256.43</c:v>
                </c:pt>
                <c:pt idx="10">
                  <c:v>1304.481</c:v>
                </c:pt>
                <c:pt idx="11">
                  <c:v>1348.5419999999999</c:v>
                </c:pt>
                <c:pt idx="12">
                  <c:v>1395.328</c:v>
                </c:pt>
                <c:pt idx="13">
                  <c:v>1438.5450000000001</c:v>
                </c:pt>
                <c:pt idx="14">
                  <c:v>1480.018</c:v>
                </c:pt>
                <c:pt idx="15">
                  <c:v>1520.3389999999999</c:v>
                </c:pt>
                <c:pt idx="16">
                  <c:v>1562.296</c:v>
                </c:pt>
                <c:pt idx="17">
                  <c:v>1603.7</c:v>
                </c:pt>
                <c:pt idx="18">
                  <c:v>1643.249</c:v>
                </c:pt>
                <c:pt idx="19">
                  <c:v>1684.2809999999999</c:v>
                </c:pt>
                <c:pt idx="20">
                  <c:v>1724.9110000000001</c:v>
                </c:pt>
                <c:pt idx="21">
                  <c:v>1761.61</c:v>
                </c:pt>
                <c:pt idx="22">
                  <c:v>1801.5840000000001</c:v>
                </c:pt>
                <c:pt idx="23">
                  <c:v>1822.0229999999999</c:v>
                </c:pt>
              </c:numCache>
            </c:numRef>
          </c:yVal>
          <c:smooth val="0"/>
        </c:ser>
        <c:ser>
          <c:idx val="2"/>
          <c:order val="2"/>
          <c:tx>
            <c:v>70 C</c:v>
          </c:tx>
          <c:spPr>
            <a:ln w="28575">
              <a:noFill/>
            </a:ln>
          </c:spPr>
          <c:marker>
            <c:symbol val="diamond"/>
            <c:size val="4"/>
          </c:marker>
          <c:xVal>
            <c:numRef>
              <c:f>'Raw Test Data'!$H$53:$H$71</c:f>
              <c:numCache>
                <c:formatCode>0.00</c:formatCode>
                <c:ptCount val="19"/>
                <c:pt idx="0">
                  <c:v>0.1</c:v>
                </c:pt>
                <c:pt idx="1">
                  <c:v>0.15</c:v>
                </c:pt>
                <c:pt idx="2">
                  <c:v>0.22</c:v>
                </c:pt>
                <c:pt idx="3">
                  <c:v>0.32</c:v>
                </c:pt>
                <c:pt idx="4">
                  <c:v>0.46</c:v>
                </c:pt>
                <c:pt idx="5">
                  <c:v>0.68</c:v>
                </c:pt>
                <c:pt idx="6">
                  <c:v>1</c:v>
                </c:pt>
                <c:pt idx="7">
                  <c:v>1.5</c:v>
                </c:pt>
                <c:pt idx="8">
                  <c:v>2.2000000000000002</c:v>
                </c:pt>
                <c:pt idx="9">
                  <c:v>3.2</c:v>
                </c:pt>
                <c:pt idx="10">
                  <c:v>4.5999999999999996</c:v>
                </c:pt>
                <c:pt idx="11">
                  <c:v>6.8</c:v>
                </c:pt>
                <c:pt idx="12">
                  <c:v>10</c:v>
                </c:pt>
                <c:pt idx="13">
                  <c:v>14.6</c:v>
                </c:pt>
                <c:pt idx="14">
                  <c:v>21.5</c:v>
                </c:pt>
                <c:pt idx="15">
                  <c:v>31.6</c:v>
                </c:pt>
                <c:pt idx="16">
                  <c:v>46.4</c:v>
                </c:pt>
                <c:pt idx="17">
                  <c:v>68</c:v>
                </c:pt>
                <c:pt idx="18">
                  <c:v>100</c:v>
                </c:pt>
              </c:numCache>
            </c:numRef>
          </c:xVal>
          <c:yVal>
            <c:numRef>
              <c:f>'Raw Test Data'!$D$53:$D$71</c:f>
              <c:numCache>
                <c:formatCode>0.0000</c:formatCode>
                <c:ptCount val="19"/>
                <c:pt idx="0">
                  <c:v>493.78960000000001</c:v>
                </c:pt>
                <c:pt idx="1">
                  <c:v>473.6807</c:v>
                </c:pt>
                <c:pt idx="2">
                  <c:v>489.50259999999997</c:v>
                </c:pt>
                <c:pt idx="3">
                  <c:v>534.02890000000002</c:v>
                </c:pt>
                <c:pt idx="4">
                  <c:v>577.97180000000003</c:v>
                </c:pt>
                <c:pt idx="5">
                  <c:v>625.17610000000002</c:v>
                </c:pt>
                <c:pt idx="6">
                  <c:v>673.65089999999998</c:v>
                </c:pt>
                <c:pt idx="7">
                  <c:v>723.61030000000005</c:v>
                </c:pt>
                <c:pt idx="8">
                  <c:v>768.02189999999996</c:v>
                </c:pt>
                <c:pt idx="9">
                  <c:v>811.76710000000003</c:v>
                </c:pt>
                <c:pt idx="10">
                  <c:v>854.01580000000001</c:v>
                </c:pt>
                <c:pt idx="11">
                  <c:v>898.55489999999998</c:v>
                </c:pt>
                <c:pt idx="12">
                  <c:v>944.40710000000001</c:v>
                </c:pt>
                <c:pt idx="13">
                  <c:v>985.64469999999994</c:v>
                </c:pt>
                <c:pt idx="14">
                  <c:v>1029.2239999999999</c:v>
                </c:pt>
                <c:pt idx="15">
                  <c:v>1069.7850000000001</c:v>
                </c:pt>
                <c:pt idx="16">
                  <c:v>1106.345</c:v>
                </c:pt>
                <c:pt idx="17">
                  <c:v>1149.43</c:v>
                </c:pt>
                <c:pt idx="18">
                  <c:v>1178.6010000000001</c:v>
                </c:pt>
              </c:numCache>
            </c:numRef>
          </c:yVal>
          <c:smooth val="0"/>
        </c:ser>
        <c:ser>
          <c:idx val="3"/>
          <c:order val="3"/>
          <c:tx>
            <c:v>75 C</c:v>
          </c:tx>
          <c:spPr>
            <a:ln w="28575">
              <a:noFill/>
            </a:ln>
          </c:spPr>
          <c:marker>
            <c:symbol val="diamond"/>
            <c:size val="4"/>
          </c:marker>
          <c:xVal>
            <c:numRef>
              <c:f>'Raw Test Data'!$H$72:$H$90</c:f>
              <c:numCache>
                <c:formatCode>0.00</c:formatCode>
                <c:ptCount val="19"/>
                <c:pt idx="0">
                  <c:v>0.1</c:v>
                </c:pt>
                <c:pt idx="1">
                  <c:v>0.15</c:v>
                </c:pt>
                <c:pt idx="2">
                  <c:v>0.22</c:v>
                </c:pt>
                <c:pt idx="3">
                  <c:v>0.32</c:v>
                </c:pt>
                <c:pt idx="4">
                  <c:v>0.46</c:v>
                </c:pt>
                <c:pt idx="5">
                  <c:v>0.68</c:v>
                </c:pt>
                <c:pt idx="6">
                  <c:v>1</c:v>
                </c:pt>
                <c:pt idx="7">
                  <c:v>1.5</c:v>
                </c:pt>
                <c:pt idx="8">
                  <c:v>2.2000000000000002</c:v>
                </c:pt>
                <c:pt idx="9">
                  <c:v>3.2</c:v>
                </c:pt>
                <c:pt idx="10">
                  <c:v>4.5999999999999996</c:v>
                </c:pt>
                <c:pt idx="11">
                  <c:v>6.8</c:v>
                </c:pt>
                <c:pt idx="12">
                  <c:v>10</c:v>
                </c:pt>
                <c:pt idx="13">
                  <c:v>14.6</c:v>
                </c:pt>
                <c:pt idx="14">
                  <c:v>21.5</c:v>
                </c:pt>
                <c:pt idx="15">
                  <c:v>31.6</c:v>
                </c:pt>
                <c:pt idx="16">
                  <c:v>46.4</c:v>
                </c:pt>
                <c:pt idx="17">
                  <c:v>68</c:v>
                </c:pt>
                <c:pt idx="18">
                  <c:v>100</c:v>
                </c:pt>
              </c:numCache>
            </c:numRef>
          </c:xVal>
          <c:yVal>
            <c:numRef>
              <c:f>'Raw Test Data'!$D$72:$D$90</c:f>
              <c:numCache>
                <c:formatCode>0.0000</c:formatCode>
                <c:ptCount val="19"/>
                <c:pt idx="0">
                  <c:v>93.074820000000003</c:v>
                </c:pt>
                <c:pt idx="1">
                  <c:v>109.4228</c:v>
                </c:pt>
                <c:pt idx="2">
                  <c:v>128.88489999999999</c:v>
                </c:pt>
                <c:pt idx="3">
                  <c:v>154.1653</c:v>
                </c:pt>
                <c:pt idx="4">
                  <c:v>182.3681</c:v>
                </c:pt>
                <c:pt idx="5">
                  <c:v>215.51169999999999</c:v>
                </c:pt>
                <c:pt idx="6">
                  <c:v>249.88120000000001</c:v>
                </c:pt>
                <c:pt idx="7">
                  <c:v>288.8802</c:v>
                </c:pt>
                <c:pt idx="8">
                  <c:v>328.45100000000002</c:v>
                </c:pt>
                <c:pt idx="9">
                  <c:v>369.19830000000002</c:v>
                </c:pt>
                <c:pt idx="10">
                  <c:v>410.37830000000002</c:v>
                </c:pt>
                <c:pt idx="11">
                  <c:v>456.12299999999999</c:v>
                </c:pt>
                <c:pt idx="12">
                  <c:v>502.37459999999999</c:v>
                </c:pt>
                <c:pt idx="13">
                  <c:v>548.73760000000004</c:v>
                </c:pt>
                <c:pt idx="14">
                  <c:v>596.5068</c:v>
                </c:pt>
                <c:pt idx="15">
                  <c:v>643.90800000000002</c:v>
                </c:pt>
                <c:pt idx="16">
                  <c:v>687.67489999999998</c:v>
                </c:pt>
                <c:pt idx="17">
                  <c:v>732.81979999999999</c:v>
                </c:pt>
                <c:pt idx="18">
                  <c:v>768.28710000000001</c:v>
                </c:pt>
              </c:numCache>
            </c:numRef>
          </c:yVal>
          <c:smooth val="0"/>
        </c:ser>
        <c:ser>
          <c:idx val="4"/>
          <c:order val="4"/>
          <c:tx>
            <c:v>80 C</c:v>
          </c:tx>
          <c:spPr>
            <a:ln w="28575">
              <a:noFill/>
            </a:ln>
          </c:spPr>
          <c:marker>
            <c:symbol val="square"/>
            <c:size val="4"/>
          </c:marker>
          <c:xVal>
            <c:numRef>
              <c:f>'Raw Test Data'!$H$91:$H$109</c:f>
              <c:numCache>
                <c:formatCode>0.00</c:formatCode>
                <c:ptCount val="19"/>
                <c:pt idx="0">
                  <c:v>0.1</c:v>
                </c:pt>
                <c:pt idx="1">
                  <c:v>0.15</c:v>
                </c:pt>
                <c:pt idx="2">
                  <c:v>0.22</c:v>
                </c:pt>
                <c:pt idx="3">
                  <c:v>0.32</c:v>
                </c:pt>
                <c:pt idx="4">
                  <c:v>0.46</c:v>
                </c:pt>
                <c:pt idx="5">
                  <c:v>0.68</c:v>
                </c:pt>
                <c:pt idx="6">
                  <c:v>1</c:v>
                </c:pt>
                <c:pt idx="7">
                  <c:v>1.5</c:v>
                </c:pt>
                <c:pt idx="8">
                  <c:v>2.2000000000000002</c:v>
                </c:pt>
                <c:pt idx="9">
                  <c:v>3.2</c:v>
                </c:pt>
                <c:pt idx="10">
                  <c:v>4.5999999999999996</c:v>
                </c:pt>
                <c:pt idx="11">
                  <c:v>6.8</c:v>
                </c:pt>
                <c:pt idx="12">
                  <c:v>10</c:v>
                </c:pt>
                <c:pt idx="13">
                  <c:v>14.6</c:v>
                </c:pt>
                <c:pt idx="14">
                  <c:v>21.5</c:v>
                </c:pt>
                <c:pt idx="15">
                  <c:v>31.6</c:v>
                </c:pt>
                <c:pt idx="16">
                  <c:v>46.4</c:v>
                </c:pt>
                <c:pt idx="17">
                  <c:v>68</c:v>
                </c:pt>
                <c:pt idx="18">
                  <c:v>100</c:v>
                </c:pt>
              </c:numCache>
            </c:numRef>
          </c:xVal>
          <c:yVal>
            <c:numRef>
              <c:f>'Raw Test Data'!$D$91:$D$109</c:f>
              <c:numCache>
                <c:formatCode>0.0000</c:formatCode>
                <c:ptCount val="19"/>
                <c:pt idx="0">
                  <c:v>26.106940000000002</c:v>
                </c:pt>
                <c:pt idx="1">
                  <c:v>29.332159999999998</c:v>
                </c:pt>
                <c:pt idx="2">
                  <c:v>34.350360000000002</c:v>
                </c:pt>
                <c:pt idx="3">
                  <c:v>41.194580000000002</c:v>
                </c:pt>
                <c:pt idx="4">
                  <c:v>49.47898</c:v>
                </c:pt>
                <c:pt idx="5">
                  <c:v>60.372979999999998</c:v>
                </c:pt>
                <c:pt idx="6">
                  <c:v>72.675399999999996</c:v>
                </c:pt>
                <c:pt idx="7">
                  <c:v>88.307119999999998</c:v>
                </c:pt>
                <c:pt idx="8">
                  <c:v>106.28270000000001</c:v>
                </c:pt>
                <c:pt idx="9">
                  <c:v>126.8644</c:v>
                </c:pt>
                <c:pt idx="10">
                  <c:v>149.83449999999999</c:v>
                </c:pt>
                <c:pt idx="11">
                  <c:v>178.0198</c:v>
                </c:pt>
                <c:pt idx="12">
                  <c:v>209.11369999999999</c:v>
                </c:pt>
                <c:pt idx="13">
                  <c:v>242.95</c:v>
                </c:pt>
                <c:pt idx="14">
                  <c:v>280.86399999999998</c:v>
                </c:pt>
                <c:pt idx="15">
                  <c:v>322.17790000000002</c:v>
                </c:pt>
                <c:pt idx="16">
                  <c:v>362.35820000000001</c:v>
                </c:pt>
                <c:pt idx="17">
                  <c:v>408.33089999999999</c:v>
                </c:pt>
                <c:pt idx="18">
                  <c:v>450.32170000000002</c:v>
                </c:pt>
              </c:numCache>
            </c:numRef>
          </c:yVal>
          <c:smooth val="0"/>
        </c:ser>
        <c:ser>
          <c:idx val="5"/>
          <c:order val="5"/>
          <c:tx>
            <c:v>85 C</c:v>
          </c:tx>
          <c:spPr>
            <a:ln w="28575">
              <a:noFill/>
            </a:ln>
          </c:spPr>
          <c:marker>
            <c:symbol val="circle"/>
            <c:size val="4"/>
          </c:marker>
          <c:xVal>
            <c:numRef>
              <c:f>'Raw Test Data'!$H$110:$H$128</c:f>
              <c:numCache>
                <c:formatCode>0.00</c:formatCode>
                <c:ptCount val="19"/>
                <c:pt idx="0">
                  <c:v>0.1</c:v>
                </c:pt>
                <c:pt idx="1">
                  <c:v>0.15</c:v>
                </c:pt>
                <c:pt idx="2">
                  <c:v>0.22</c:v>
                </c:pt>
                <c:pt idx="3">
                  <c:v>0.32</c:v>
                </c:pt>
                <c:pt idx="4">
                  <c:v>0.46</c:v>
                </c:pt>
                <c:pt idx="5">
                  <c:v>0.68</c:v>
                </c:pt>
                <c:pt idx="6">
                  <c:v>1</c:v>
                </c:pt>
                <c:pt idx="7">
                  <c:v>1.5</c:v>
                </c:pt>
                <c:pt idx="8">
                  <c:v>2.2000000000000002</c:v>
                </c:pt>
                <c:pt idx="9">
                  <c:v>3.2</c:v>
                </c:pt>
                <c:pt idx="10">
                  <c:v>4.5999999999999996</c:v>
                </c:pt>
                <c:pt idx="11">
                  <c:v>6.8</c:v>
                </c:pt>
                <c:pt idx="12">
                  <c:v>10</c:v>
                </c:pt>
                <c:pt idx="13">
                  <c:v>14.6</c:v>
                </c:pt>
                <c:pt idx="14">
                  <c:v>21.5</c:v>
                </c:pt>
                <c:pt idx="15">
                  <c:v>31.6</c:v>
                </c:pt>
                <c:pt idx="16">
                  <c:v>46.4</c:v>
                </c:pt>
                <c:pt idx="17">
                  <c:v>68</c:v>
                </c:pt>
                <c:pt idx="18">
                  <c:v>100</c:v>
                </c:pt>
              </c:numCache>
            </c:numRef>
          </c:xVal>
          <c:yVal>
            <c:numRef>
              <c:f>'Raw Test Data'!$D$110:$D$128</c:f>
              <c:numCache>
                <c:formatCode>0.0000</c:formatCode>
                <c:ptCount val="19"/>
                <c:pt idx="0">
                  <c:v>15.760260000000001</c:v>
                </c:pt>
                <c:pt idx="1">
                  <c:v>16.85425</c:v>
                </c:pt>
                <c:pt idx="2">
                  <c:v>18.297920000000001</c:v>
                </c:pt>
                <c:pt idx="3">
                  <c:v>20.205469999999998</c:v>
                </c:pt>
                <c:pt idx="4">
                  <c:v>22.499320000000001</c:v>
                </c:pt>
                <c:pt idx="5">
                  <c:v>25.484500000000001</c:v>
                </c:pt>
                <c:pt idx="6">
                  <c:v>28.851299999999998</c:v>
                </c:pt>
                <c:pt idx="7">
                  <c:v>33.267859999999999</c:v>
                </c:pt>
                <c:pt idx="8">
                  <c:v>38.645040000000002</c:v>
                </c:pt>
                <c:pt idx="9">
                  <c:v>45.243940000000002</c:v>
                </c:pt>
                <c:pt idx="10">
                  <c:v>53.181100000000001</c:v>
                </c:pt>
                <c:pt idx="11">
                  <c:v>71.378810000000001</c:v>
                </c:pt>
                <c:pt idx="12">
                  <c:v>83.854939999999999</c:v>
                </c:pt>
                <c:pt idx="13">
                  <c:v>97.681889999999996</c:v>
                </c:pt>
                <c:pt idx="14">
                  <c:v>116.0951</c:v>
                </c:pt>
                <c:pt idx="15">
                  <c:v>137.6859</c:v>
                </c:pt>
                <c:pt idx="16">
                  <c:v>159.84639999999999</c:v>
                </c:pt>
                <c:pt idx="17">
                  <c:v>192.13980000000001</c:v>
                </c:pt>
                <c:pt idx="18">
                  <c:v>219.71180000000001</c:v>
                </c:pt>
              </c:numCache>
            </c:numRef>
          </c:yVal>
          <c:smooth val="0"/>
        </c:ser>
        <c:ser>
          <c:idx val="6"/>
          <c:order val="6"/>
          <c:tx>
            <c:v>90 C</c:v>
          </c:tx>
          <c:spPr>
            <a:ln w="28575">
              <a:noFill/>
            </a:ln>
          </c:spPr>
          <c:marker>
            <c:symbol val="diamond"/>
            <c:size val="4"/>
          </c:marker>
          <c:xVal>
            <c:numRef>
              <c:f>'Raw Test Data'!$H$129:$H$147</c:f>
              <c:numCache>
                <c:formatCode>0.00</c:formatCode>
                <c:ptCount val="19"/>
                <c:pt idx="0">
                  <c:v>0.1</c:v>
                </c:pt>
                <c:pt idx="1">
                  <c:v>0.15</c:v>
                </c:pt>
                <c:pt idx="2">
                  <c:v>0.22</c:v>
                </c:pt>
                <c:pt idx="3">
                  <c:v>0.32</c:v>
                </c:pt>
                <c:pt idx="4">
                  <c:v>0.46</c:v>
                </c:pt>
                <c:pt idx="5">
                  <c:v>0.68</c:v>
                </c:pt>
                <c:pt idx="6">
                  <c:v>1</c:v>
                </c:pt>
                <c:pt idx="7">
                  <c:v>1.5</c:v>
                </c:pt>
                <c:pt idx="8">
                  <c:v>2.2000000000000002</c:v>
                </c:pt>
                <c:pt idx="9">
                  <c:v>3.2</c:v>
                </c:pt>
                <c:pt idx="10">
                  <c:v>4.5999999999999996</c:v>
                </c:pt>
                <c:pt idx="11">
                  <c:v>6.8</c:v>
                </c:pt>
                <c:pt idx="12">
                  <c:v>10</c:v>
                </c:pt>
                <c:pt idx="13">
                  <c:v>14.6</c:v>
                </c:pt>
                <c:pt idx="14">
                  <c:v>21.5</c:v>
                </c:pt>
                <c:pt idx="15">
                  <c:v>31.6</c:v>
                </c:pt>
                <c:pt idx="16">
                  <c:v>46.4</c:v>
                </c:pt>
                <c:pt idx="17">
                  <c:v>68</c:v>
                </c:pt>
                <c:pt idx="18">
                  <c:v>100</c:v>
                </c:pt>
              </c:numCache>
            </c:numRef>
          </c:xVal>
          <c:yVal>
            <c:numRef>
              <c:f>'Raw Test Data'!$D$129:$D$147</c:f>
              <c:numCache>
                <c:formatCode>0.0000</c:formatCode>
                <c:ptCount val="19"/>
                <c:pt idx="0">
                  <c:v>12.72977</c:v>
                </c:pt>
                <c:pt idx="1">
                  <c:v>13.23512</c:v>
                </c:pt>
                <c:pt idx="2">
                  <c:v>13.8683</c:v>
                </c:pt>
                <c:pt idx="3">
                  <c:v>14.694319999999999</c:v>
                </c:pt>
                <c:pt idx="4">
                  <c:v>15.627800000000001</c:v>
                </c:pt>
                <c:pt idx="5">
                  <c:v>16.794060000000002</c:v>
                </c:pt>
                <c:pt idx="6">
                  <c:v>18.04196</c:v>
                </c:pt>
                <c:pt idx="7">
                  <c:v>19.574839999999998</c:v>
                </c:pt>
                <c:pt idx="8">
                  <c:v>21.40222</c:v>
                </c:pt>
                <c:pt idx="9">
                  <c:v>23.618490000000001</c:v>
                </c:pt>
                <c:pt idx="10">
                  <c:v>26.281099999999999</c:v>
                </c:pt>
                <c:pt idx="11">
                  <c:v>29.867999999999999</c:v>
                </c:pt>
                <c:pt idx="12">
                  <c:v>34.3065</c:v>
                </c:pt>
                <c:pt idx="13">
                  <c:v>39.740299999999998</c:v>
                </c:pt>
                <c:pt idx="14">
                  <c:v>47.036020000000001</c:v>
                </c:pt>
                <c:pt idx="15">
                  <c:v>56.865499999999997</c:v>
                </c:pt>
                <c:pt idx="16">
                  <c:v>66.214699999999993</c:v>
                </c:pt>
                <c:pt idx="17">
                  <c:v>82.694180000000003</c:v>
                </c:pt>
                <c:pt idx="18">
                  <c:v>93.186419999999998</c:v>
                </c:pt>
              </c:numCache>
            </c:numRef>
          </c:yVal>
          <c:smooth val="0"/>
        </c:ser>
        <c:ser>
          <c:idx val="7"/>
          <c:order val="7"/>
          <c:tx>
            <c:v>95 C</c:v>
          </c:tx>
          <c:spPr>
            <a:ln w="28575">
              <a:noFill/>
            </a:ln>
          </c:spPr>
          <c:marker>
            <c:symbol val="square"/>
            <c:size val="4"/>
          </c:marker>
          <c:xVal>
            <c:numRef>
              <c:f>'Raw Test Data'!$H$148:$H$166</c:f>
              <c:numCache>
                <c:formatCode>0.00</c:formatCode>
                <c:ptCount val="19"/>
                <c:pt idx="0">
                  <c:v>0.1</c:v>
                </c:pt>
                <c:pt idx="1">
                  <c:v>0.15</c:v>
                </c:pt>
                <c:pt idx="2">
                  <c:v>0.22</c:v>
                </c:pt>
                <c:pt idx="3">
                  <c:v>0.32</c:v>
                </c:pt>
                <c:pt idx="4">
                  <c:v>0.46</c:v>
                </c:pt>
                <c:pt idx="5">
                  <c:v>0.68</c:v>
                </c:pt>
                <c:pt idx="6">
                  <c:v>1</c:v>
                </c:pt>
                <c:pt idx="7">
                  <c:v>1.5</c:v>
                </c:pt>
                <c:pt idx="8">
                  <c:v>2.2000000000000002</c:v>
                </c:pt>
                <c:pt idx="9">
                  <c:v>3.2</c:v>
                </c:pt>
                <c:pt idx="10">
                  <c:v>4.5999999999999996</c:v>
                </c:pt>
                <c:pt idx="11">
                  <c:v>6.8</c:v>
                </c:pt>
                <c:pt idx="12">
                  <c:v>10</c:v>
                </c:pt>
                <c:pt idx="13">
                  <c:v>14.6</c:v>
                </c:pt>
                <c:pt idx="14">
                  <c:v>21.5</c:v>
                </c:pt>
                <c:pt idx="15">
                  <c:v>31.6</c:v>
                </c:pt>
                <c:pt idx="16">
                  <c:v>46.4</c:v>
                </c:pt>
                <c:pt idx="17">
                  <c:v>68</c:v>
                </c:pt>
                <c:pt idx="18">
                  <c:v>100</c:v>
                </c:pt>
              </c:numCache>
            </c:numRef>
          </c:xVal>
          <c:yVal>
            <c:numRef>
              <c:f>'Raw Test Data'!$D$148:$D$166</c:f>
              <c:numCache>
                <c:formatCode>0.0000</c:formatCode>
                <c:ptCount val="19"/>
                <c:pt idx="0">
                  <c:v>10.840529999999999</c:v>
                </c:pt>
                <c:pt idx="1">
                  <c:v>11.172079999999999</c:v>
                </c:pt>
                <c:pt idx="2">
                  <c:v>11.54082</c:v>
                </c:pt>
                <c:pt idx="3">
                  <c:v>12.055260000000001</c:v>
                </c:pt>
                <c:pt idx="4">
                  <c:v>12.625249999999999</c:v>
                </c:pt>
                <c:pt idx="5">
                  <c:v>13.29208</c:v>
                </c:pt>
                <c:pt idx="6">
                  <c:v>13.949859999999999</c:v>
                </c:pt>
                <c:pt idx="7">
                  <c:v>14.71692</c:v>
                </c:pt>
                <c:pt idx="8">
                  <c:v>15.57686</c:v>
                </c:pt>
                <c:pt idx="9">
                  <c:v>16.568660000000001</c:v>
                </c:pt>
                <c:pt idx="10">
                  <c:v>17.71621</c:v>
                </c:pt>
                <c:pt idx="11">
                  <c:v>19.217590000000001</c:v>
                </c:pt>
                <c:pt idx="12">
                  <c:v>21.028659999999999</c:v>
                </c:pt>
                <c:pt idx="13">
                  <c:v>23.16968</c:v>
                </c:pt>
                <c:pt idx="14">
                  <c:v>26.229649999999999</c:v>
                </c:pt>
                <c:pt idx="15">
                  <c:v>30.73208</c:v>
                </c:pt>
                <c:pt idx="16">
                  <c:v>33.46902</c:v>
                </c:pt>
                <c:pt idx="17">
                  <c:v>41.88494</c:v>
                </c:pt>
                <c:pt idx="18">
                  <c:v>42.713520000000003</c:v>
                </c:pt>
              </c:numCache>
            </c:numRef>
          </c:yVal>
          <c:smooth val="0"/>
        </c:ser>
        <c:ser>
          <c:idx val="8"/>
          <c:order val="8"/>
          <c:tx>
            <c:v>100 C</c:v>
          </c:tx>
          <c:spPr>
            <a:ln w="28575">
              <a:noFill/>
            </a:ln>
          </c:spPr>
          <c:marker>
            <c:symbol val="square"/>
            <c:size val="4"/>
          </c:marker>
          <c:xVal>
            <c:numRef>
              <c:f>'Raw Test Data'!$H$167:$H$185</c:f>
              <c:numCache>
                <c:formatCode>0.00</c:formatCode>
                <c:ptCount val="19"/>
                <c:pt idx="0">
                  <c:v>0.1</c:v>
                </c:pt>
                <c:pt idx="1">
                  <c:v>0.15</c:v>
                </c:pt>
                <c:pt idx="2">
                  <c:v>0.22</c:v>
                </c:pt>
                <c:pt idx="3">
                  <c:v>0.32</c:v>
                </c:pt>
                <c:pt idx="4">
                  <c:v>0.46</c:v>
                </c:pt>
                <c:pt idx="5">
                  <c:v>0.68</c:v>
                </c:pt>
                <c:pt idx="6">
                  <c:v>1</c:v>
                </c:pt>
                <c:pt idx="7">
                  <c:v>1.5</c:v>
                </c:pt>
                <c:pt idx="8">
                  <c:v>2.2000000000000002</c:v>
                </c:pt>
                <c:pt idx="9">
                  <c:v>3.2</c:v>
                </c:pt>
                <c:pt idx="10">
                  <c:v>4.5999999999999996</c:v>
                </c:pt>
                <c:pt idx="11">
                  <c:v>6.8</c:v>
                </c:pt>
                <c:pt idx="12">
                  <c:v>10</c:v>
                </c:pt>
                <c:pt idx="13">
                  <c:v>14.6</c:v>
                </c:pt>
                <c:pt idx="14">
                  <c:v>21.5</c:v>
                </c:pt>
                <c:pt idx="15">
                  <c:v>31.6</c:v>
                </c:pt>
                <c:pt idx="16">
                  <c:v>46.4</c:v>
                </c:pt>
                <c:pt idx="17">
                  <c:v>68</c:v>
                </c:pt>
                <c:pt idx="18">
                  <c:v>100</c:v>
                </c:pt>
              </c:numCache>
            </c:numRef>
          </c:xVal>
          <c:yVal>
            <c:numRef>
              <c:f>'Raw Test Data'!$D$167:$D$185</c:f>
              <c:numCache>
                <c:formatCode>0.0000</c:formatCode>
                <c:ptCount val="19"/>
                <c:pt idx="0">
                  <c:v>9.2533480000000008</c:v>
                </c:pt>
                <c:pt idx="1">
                  <c:v>9.5517459999999996</c:v>
                </c:pt>
                <c:pt idx="2">
                  <c:v>9.8949809999999996</c:v>
                </c:pt>
                <c:pt idx="3">
                  <c:v>10.31288</c:v>
                </c:pt>
                <c:pt idx="4">
                  <c:v>10.75249</c:v>
                </c:pt>
                <c:pt idx="5">
                  <c:v>11.24316</c:v>
                </c:pt>
                <c:pt idx="6">
                  <c:v>11.70074</c:v>
                </c:pt>
                <c:pt idx="7">
                  <c:v>12.21129</c:v>
                </c:pt>
                <c:pt idx="8">
                  <c:v>12.753500000000001</c:v>
                </c:pt>
                <c:pt idx="9">
                  <c:v>13.34796</c:v>
                </c:pt>
                <c:pt idx="10">
                  <c:v>14.00217</c:v>
                </c:pt>
                <c:pt idx="11">
                  <c:v>14.81527</c:v>
                </c:pt>
                <c:pt idx="12">
                  <c:v>15.74677</c:v>
                </c:pt>
                <c:pt idx="13">
                  <c:v>16.791910000000001</c:v>
                </c:pt>
                <c:pt idx="14">
                  <c:v>18.40692</c:v>
                </c:pt>
                <c:pt idx="15">
                  <c:v>21.012599999999999</c:v>
                </c:pt>
                <c:pt idx="16">
                  <c:v>21.310020000000002</c:v>
                </c:pt>
                <c:pt idx="17">
                  <c:v>26.674689999999998</c:v>
                </c:pt>
                <c:pt idx="18">
                  <c:v>23.490760000000002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656000"/>
        <c:axId val="138662272"/>
      </c:scatterChart>
      <c:valAx>
        <c:axId val="138656000"/>
        <c:scaling>
          <c:logBase val="10"/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Frequency (Hz)</a:t>
                </a:r>
              </a:p>
            </c:rich>
          </c:tx>
          <c:layout/>
          <c:overlay val="0"/>
        </c:title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138662272"/>
        <c:crosses val="autoZero"/>
        <c:crossBetween val="midCat"/>
      </c:valAx>
      <c:valAx>
        <c:axId val="138662272"/>
        <c:scaling>
          <c:logBase val="10"/>
          <c:orientation val="minMax"/>
          <c:min val="7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en-US" sz="1400"/>
                  <a:t>Storage Modulus, E'</a:t>
                </a:r>
                <a:r>
                  <a:rPr lang="en-US" sz="1400" baseline="0"/>
                  <a:t> </a:t>
                </a:r>
                <a:r>
                  <a:rPr lang="en-US" sz="1400"/>
                  <a:t> (Mpa)</a:t>
                </a:r>
              </a:p>
            </c:rich>
          </c:tx>
          <c:layout/>
          <c:overlay val="0"/>
        </c:title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138656000"/>
        <c:crossesAt val="1.0000000000000002E-2"/>
        <c:crossBetween val="midCat"/>
      </c:valAx>
    </c:plotArea>
    <c:legend>
      <c:legendPos val="r"/>
      <c:layout/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2.7380258406925654E-2"/>
          <c:y val="2.6703391664759039E-2"/>
          <c:w val="0.83316860254346659"/>
          <c:h val="0.89393716449535965"/>
        </c:manualLayout>
      </c:layout>
      <c:scatterChart>
        <c:scatterStyle val="lineMarker"/>
        <c:varyColors val="0"/>
        <c:ser>
          <c:idx val="0"/>
          <c:order val="0"/>
          <c:tx>
            <c:v>60 C</c:v>
          </c:tx>
          <c:spPr>
            <a:ln w="28575">
              <a:noFill/>
            </a:ln>
          </c:spPr>
          <c:marker>
            <c:symbol val="diamond"/>
            <c:size val="4"/>
          </c:marker>
          <c:xVal>
            <c:numRef>
              <c:f>'Raw Test Data'!$H$3:$H$26</c:f>
              <c:numCache>
                <c:formatCode>0.00</c:formatCode>
                <c:ptCount val="24"/>
                <c:pt idx="0">
                  <c:v>9.9999990000000007E-3</c:v>
                </c:pt>
                <c:pt idx="1">
                  <c:v>0.02</c:v>
                </c:pt>
                <c:pt idx="2">
                  <c:v>0.03</c:v>
                </c:pt>
                <c:pt idx="3">
                  <c:v>0.05</c:v>
                </c:pt>
                <c:pt idx="4">
                  <c:v>7.0000000000000007E-2</c:v>
                </c:pt>
                <c:pt idx="5">
                  <c:v>0.1</c:v>
                </c:pt>
                <c:pt idx="6">
                  <c:v>0.15</c:v>
                </c:pt>
                <c:pt idx="7">
                  <c:v>0.22</c:v>
                </c:pt>
                <c:pt idx="8">
                  <c:v>0.32</c:v>
                </c:pt>
                <c:pt idx="9">
                  <c:v>0.46</c:v>
                </c:pt>
                <c:pt idx="10">
                  <c:v>0.68</c:v>
                </c:pt>
                <c:pt idx="11">
                  <c:v>1</c:v>
                </c:pt>
                <c:pt idx="12">
                  <c:v>1.5</c:v>
                </c:pt>
                <c:pt idx="13">
                  <c:v>2.2000000000000002</c:v>
                </c:pt>
                <c:pt idx="14">
                  <c:v>3.2</c:v>
                </c:pt>
                <c:pt idx="15">
                  <c:v>4.5999999999999996</c:v>
                </c:pt>
                <c:pt idx="16">
                  <c:v>6.8</c:v>
                </c:pt>
                <c:pt idx="17">
                  <c:v>10</c:v>
                </c:pt>
                <c:pt idx="18">
                  <c:v>14.6</c:v>
                </c:pt>
                <c:pt idx="19">
                  <c:v>21.5</c:v>
                </c:pt>
                <c:pt idx="20">
                  <c:v>31.6</c:v>
                </c:pt>
                <c:pt idx="21">
                  <c:v>46.4</c:v>
                </c:pt>
                <c:pt idx="22">
                  <c:v>68</c:v>
                </c:pt>
                <c:pt idx="23">
                  <c:v>100</c:v>
                </c:pt>
              </c:numCache>
            </c:numRef>
          </c:xVal>
          <c:yVal>
            <c:numRef>
              <c:f>'Raw Test Data'!$E$3:$E$26</c:f>
              <c:numCache>
                <c:formatCode>0.0000</c:formatCode>
                <c:ptCount val="24"/>
                <c:pt idx="0">
                  <c:v>237.77119999999999</c:v>
                </c:pt>
                <c:pt idx="1">
                  <c:v>210.5737</c:v>
                </c:pt>
                <c:pt idx="2">
                  <c:v>194.93559999999999</c:v>
                </c:pt>
                <c:pt idx="3">
                  <c:v>181.00720000000001</c:v>
                </c:pt>
                <c:pt idx="4">
                  <c:v>171.678</c:v>
                </c:pt>
                <c:pt idx="5">
                  <c:v>165.08750000000001</c:v>
                </c:pt>
                <c:pt idx="6">
                  <c:v>156.98939999999999</c:v>
                </c:pt>
                <c:pt idx="7">
                  <c:v>150.10900000000001</c:v>
                </c:pt>
                <c:pt idx="8">
                  <c:v>144.10390000000001</c:v>
                </c:pt>
                <c:pt idx="9">
                  <c:v>139.5181</c:v>
                </c:pt>
                <c:pt idx="10">
                  <c:v>135.33320000000001</c:v>
                </c:pt>
                <c:pt idx="11">
                  <c:v>132.15129999999999</c:v>
                </c:pt>
                <c:pt idx="12">
                  <c:v>129.7192</c:v>
                </c:pt>
                <c:pt idx="13">
                  <c:v>127.6752</c:v>
                </c:pt>
                <c:pt idx="14">
                  <c:v>126.1464</c:v>
                </c:pt>
                <c:pt idx="15">
                  <c:v>125.2085</c:v>
                </c:pt>
                <c:pt idx="16">
                  <c:v>124.25830000000001</c:v>
                </c:pt>
                <c:pt idx="17">
                  <c:v>123.883</c:v>
                </c:pt>
                <c:pt idx="18">
                  <c:v>124.0275</c:v>
                </c:pt>
                <c:pt idx="19">
                  <c:v>124.8627</c:v>
                </c:pt>
                <c:pt idx="20">
                  <c:v>125.6211</c:v>
                </c:pt>
                <c:pt idx="21">
                  <c:v>124.6859</c:v>
                </c:pt>
                <c:pt idx="22">
                  <c:v>125.4066</c:v>
                </c:pt>
                <c:pt idx="23">
                  <c:v>128.73769999999999</c:v>
                </c:pt>
              </c:numCache>
            </c:numRef>
          </c:yVal>
          <c:smooth val="0"/>
        </c:ser>
        <c:ser>
          <c:idx val="1"/>
          <c:order val="1"/>
          <c:tx>
            <c:v>65 C</c:v>
          </c:tx>
          <c:spPr>
            <a:ln w="28575">
              <a:noFill/>
            </a:ln>
          </c:spPr>
          <c:marker>
            <c:symbol val="square"/>
            <c:size val="4"/>
          </c:marker>
          <c:xVal>
            <c:numRef>
              <c:f>'Raw Test Data'!$H$28:$H$51</c:f>
              <c:numCache>
                <c:formatCode>0.00</c:formatCode>
                <c:ptCount val="24"/>
                <c:pt idx="0">
                  <c:v>9.9999990000000007E-3</c:v>
                </c:pt>
                <c:pt idx="1">
                  <c:v>0.02</c:v>
                </c:pt>
                <c:pt idx="2">
                  <c:v>0.03</c:v>
                </c:pt>
                <c:pt idx="3">
                  <c:v>0.05</c:v>
                </c:pt>
                <c:pt idx="4">
                  <c:v>7.0000000000000007E-2</c:v>
                </c:pt>
                <c:pt idx="5">
                  <c:v>0.1</c:v>
                </c:pt>
                <c:pt idx="6">
                  <c:v>0.15</c:v>
                </c:pt>
                <c:pt idx="7">
                  <c:v>0.22</c:v>
                </c:pt>
                <c:pt idx="8">
                  <c:v>0.32</c:v>
                </c:pt>
                <c:pt idx="9">
                  <c:v>0.46</c:v>
                </c:pt>
                <c:pt idx="10">
                  <c:v>0.68</c:v>
                </c:pt>
                <c:pt idx="11">
                  <c:v>1</c:v>
                </c:pt>
                <c:pt idx="12">
                  <c:v>1.5</c:v>
                </c:pt>
                <c:pt idx="13">
                  <c:v>2.2000000000000002</c:v>
                </c:pt>
                <c:pt idx="14">
                  <c:v>3.2</c:v>
                </c:pt>
                <c:pt idx="15">
                  <c:v>4.5999999999999996</c:v>
                </c:pt>
                <c:pt idx="16">
                  <c:v>6.8</c:v>
                </c:pt>
                <c:pt idx="17">
                  <c:v>10</c:v>
                </c:pt>
                <c:pt idx="18">
                  <c:v>14.6</c:v>
                </c:pt>
                <c:pt idx="19">
                  <c:v>21.5</c:v>
                </c:pt>
                <c:pt idx="20">
                  <c:v>31.6</c:v>
                </c:pt>
                <c:pt idx="21">
                  <c:v>46.4</c:v>
                </c:pt>
                <c:pt idx="22">
                  <c:v>68</c:v>
                </c:pt>
                <c:pt idx="23">
                  <c:v>100</c:v>
                </c:pt>
              </c:numCache>
            </c:numRef>
          </c:xVal>
          <c:yVal>
            <c:numRef>
              <c:f>'Raw Test Data'!$E$28:$E$51</c:f>
              <c:numCache>
                <c:formatCode>0.0000</c:formatCode>
                <c:ptCount val="24"/>
                <c:pt idx="0">
                  <c:v>247.21360000000001</c:v>
                </c:pt>
                <c:pt idx="1">
                  <c:v>243.7028</c:v>
                </c:pt>
                <c:pt idx="2">
                  <c:v>236.19890000000001</c:v>
                </c:pt>
                <c:pt idx="3">
                  <c:v>230.1482</c:v>
                </c:pt>
                <c:pt idx="4">
                  <c:v>224.62479999999999</c:v>
                </c:pt>
                <c:pt idx="5">
                  <c:v>219.5368</c:v>
                </c:pt>
                <c:pt idx="6">
                  <c:v>214.2122</c:v>
                </c:pt>
                <c:pt idx="7">
                  <c:v>208.65209999999999</c:v>
                </c:pt>
                <c:pt idx="8">
                  <c:v>203.24809999999999</c:v>
                </c:pt>
                <c:pt idx="9">
                  <c:v>198.69669999999999</c:v>
                </c:pt>
                <c:pt idx="10">
                  <c:v>193.91489999999999</c:v>
                </c:pt>
                <c:pt idx="11">
                  <c:v>189.76089999999999</c:v>
                </c:pt>
                <c:pt idx="12">
                  <c:v>186.58260000000001</c:v>
                </c:pt>
                <c:pt idx="13">
                  <c:v>183.15180000000001</c:v>
                </c:pt>
                <c:pt idx="14">
                  <c:v>179.56540000000001</c:v>
                </c:pt>
                <c:pt idx="15">
                  <c:v>177.8973</c:v>
                </c:pt>
                <c:pt idx="16">
                  <c:v>175.7621</c:v>
                </c:pt>
                <c:pt idx="17">
                  <c:v>174.24879999999999</c:v>
                </c:pt>
                <c:pt idx="18">
                  <c:v>172.90360000000001</c:v>
                </c:pt>
                <c:pt idx="19">
                  <c:v>172.41560000000001</c:v>
                </c:pt>
                <c:pt idx="20">
                  <c:v>171.94540000000001</c:v>
                </c:pt>
                <c:pt idx="21">
                  <c:v>170.9248</c:v>
                </c:pt>
                <c:pt idx="22">
                  <c:v>169.36510000000001</c:v>
                </c:pt>
                <c:pt idx="23">
                  <c:v>171.3306</c:v>
                </c:pt>
              </c:numCache>
            </c:numRef>
          </c:yVal>
          <c:smooth val="0"/>
        </c:ser>
        <c:ser>
          <c:idx val="2"/>
          <c:order val="2"/>
          <c:tx>
            <c:v>70 C</c:v>
          </c:tx>
          <c:spPr>
            <a:ln w="28575">
              <a:noFill/>
            </a:ln>
          </c:spPr>
          <c:marker>
            <c:symbol val="diamond"/>
            <c:size val="4"/>
          </c:marker>
          <c:xVal>
            <c:numRef>
              <c:f>'Raw Test Data'!$H$53:$H$71</c:f>
              <c:numCache>
                <c:formatCode>0.00</c:formatCode>
                <c:ptCount val="19"/>
                <c:pt idx="0">
                  <c:v>0.1</c:v>
                </c:pt>
                <c:pt idx="1">
                  <c:v>0.15</c:v>
                </c:pt>
                <c:pt idx="2">
                  <c:v>0.22</c:v>
                </c:pt>
                <c:pt idx="3">
                  <c:v>0.32</c:v>
                </c:pt>
                <c:pt idx="4">
                  <c:v>0.46</c:v>
                </c:pt>
                <c:pt idx="5">
                  <c:v>0.68</c:v>
                </c:pt>
                <c:pt idx="6">
                  <c:v>1</c:v>
                </c:pt>
                <c:pt idx="7">
                  <c:v>1.5</c:v>
                </c:pt>
                <c:pt idx="8">
                  <c:v>2.2000000000000002</c:v>
                </c:pt>
                <c:pt idx="9">
                  <c:v>3.2</c:v>
                </c:pt>
                <c:pt idx="10">
                  <c:v>4.5999999999999996</c:v>
                </c:pt>
                <c:pt idx="11">
                  <c:v>6.8</c:v>
                </c:pt>
                <c:pt idx="12">
                  <c:v>10</c:v>
                </c:pt>
                <c:pt idx="13">
                  <c:v>14.6</c:v>
                </c:pt>
                <c:pt idx="14">
                  <c:v>21.5</c:v>
                </c:pt>
                <c:pt idx="15">
                  <c:v>31.6</c:v>
                </c:pt>
                <c:pt idx="16">
                  <c:v>46.4</c:v>
                </c:pt>
                <c:pt idx="17">
                  <c:v>68</c:v>
                </c:pt>
                <c:pt idx="18">
                  <c:v>100</c:v>
                </c:pt>
              </c:numCache>
            </c:numRef>
          </c:xVal>
          <c:yVal>
            <c:numRef>
              <c:f>'Raw Test Data'!$E$53:$E$71</c:f>
              <c:numCache>
                <c:formatCode>0.0000</c:formatCode>
                <c:ptCount val="19"/>
                <c:pt idx="0">
                  <c:v>200.56100000000001</c:v>
                </c:pt>
                <c:pt idx="1">
                  <c:v>194.85659999999999</c:v>
                </c:pt>
                <c:pt idx="2">
                  <c:v>195.88669999999999</c:v>
                </c:pt>
                <c:pt idx="3">
                  <c:v>198.8818</c:v>
                </c:pt>
                <c:pt idx="4">
                  <c:v>201.3202</c:v>
                </c:pt>
                <c:pt idx="5">
                  <c:v>203.14150000000001</c:v>
                </c:pt>
                <c:pt idx="6">
                  <c:v>204.6474</c:v>
                </c:pt>
                <c:pt idx="7">
                  <c:v>205.49760000000001</c:v>
                </c:pt>
                <c:pt idx="8">
                  <c:v>205.53380000000001</c:v>
                </c:pt>
                <c:pt idx="9">
                  <c:v>205.13499999999999</c:v>
                </c:pt>
                <c:pt idx="10">
                  <c:v>204.43870000000001</c:v>
                </c:pt>
                <c:pt idx="11">
                  <c:v>203.3218</c:v>
                </c:pt>
                <c:pt idx="12">
                  <c:v>202.2379</c:v>
                </c:pt>
                <c:pt idx="13">
                  <c:v>201.18299999999999</c:v>
                </c:pt>
                <c:pt idx="14">
                  <c:v>200.12530000000001</c:v>
                </c:pt>
                <c:pt idx="15">
                  <c:v>199.3049</c:v>
                </c:pt>
                <c:pt idx="16">
                  <c:v>197.4299</c:v>
                </c:pt>
                <c:pt idx="17">
                  <c:v>195.29759999999999</c:v>
                </c:pt>
                <c:pt idx="18">
                  <c:v>195.6062</c:v>
                </c:pt>
              </c:numCache>
            </c:numRef>
          </c:yVal>
          <c:smooth val="0"/>
        </c:ser>
        <c:ser>
          <c:idx val="3"/>
          <c:order val="3"/>
          <c:tx>
            <c:v>75 C</c:v>
          </c:tx>
          <c:spPr>
            <a:ln w="28575">
              <a:noFill/>
            </a:ln>
          </c:spPr>
          <c:marker>
            <c:symbol val="diamond"/>
            <c:size val="4"/>
          </c:marker>
          <c:xVal>
            <c:numRef>
              <c:f>'Raw Test Data'!$H$72:$H$90</c:f>
              <c:numCache>
                <c:formatCode>0.00</c:formatCode>
                <c:ptCount val="19"/>
                <c:pt idx="0">
                  <c:v>0.1</c:v>
                </c:pt>
                <c:pt idx="1">
                  <c:v>0.15</c:v>
                </c:pt>
                <c:pt idx="2">
                  <c:v>0.22</c:v>
                </c:pt>
                <c:pt idx="3">
                  <c:v>0.32</c:v>
                </c:pt>
                <c:pt idx="4">
                  <c:v>0.46</c:v>
                </c:pt>
                <c:pt idx="5">
                  <c:v>0.68</c:v>
                </c:pt>
                <c:pt idx="6">
                  <c:v>1</c:v>
                </c:pt>
                <c:pt idx="7">
                  <c:v>1.5</c:v>
                </c:pt>
                <c:pt idx="8">
                  <c:v>2.2000000000000002</c:v>
                </c:pt>
                <c:pt idx="9">
                  <c:v>3.2</c:v>
                </c:pt>
                <c:pt idx="10">
                  <c:v>4.5999999999999996</c:v>
                </c:pt>
                <c:pt idx="11">
                  <c:v>6.8</c:v>
                </c:pt>
                <c:pt idx="12">
                  <c:v>10</c:v>
                </c:pt>
                <c:pt idx="13">
                  <c:v>14.6</c:v>
                </c:pt>
                <c:pt idx="14">
                  <c:v>21.5</c:v>
                </c:pt>
                <c:pt idx="15">
                  <c:v>31.6</c:v>
                </c:pt>
                <c:pt idx="16">
                  <c:v>46.4</c:v>
                </c:pt>
                <c:pt idx="17">
                  <c:v>68</c:v>
                </c:pt>
                <c:pt idx="18">
                  <c:v>100</c:v>
                </c:pt>
              </c:numCache>
            </c:numRef>
          </c:xVal>
          <c:yVal>
            <c:numRef>
              <c:f>'Raw Test Data'!$E$72:$E$90</c:f>
              <c:numCache>
                <c:formatCode>0.0000</c:formatCode>
                <c:ptCount val="19"/>
                <c:pt idx="0">
                  <c:v>77.794880000000006</c:v>
                </c:pt>
                <c:pt idx="1">
                  <c:v>88.576490000000007</c:v>
                </c:pt>
                <c:pt idx="2">
                  <c:v>99.651840000000007</c:v>
                </c:pt>
                <c:pt idx="3">
                  <c:v>112.31480000000001</c:v>
                </c:pt>
                <c:pt idx="4">
                  <c:v>124.90009999999999</c:v>
                </c:pt>
                <c:pt idx="5">
                  <c:v>137.9513</c:v>
                </c:pt>
                <c:pt idx="6">
                  <c:v>149.97290000000001</c:v>
                </c:pt>
                <c:pt idx="7">
                  <c:v>162.28559999999999</c:v>
                </c:pt>
                <c:pt idx="8">
                  <c:v>172.8466</c:v>
                </c:pt>
                <c:pt idx="9">
                  <c:v>182.34350000000001</c:v>
                </c:pt>
                <c:pt idx="10">
                  <c:v>190.55709999999999</c:v>
                </c:pt>
                <c:pt idx="11">
                  <c:v>198.3502</c:v>
                </c:pt>
                <c:pt idx="12">
                  <c:v>205.17660000000001</c:v>
                </c:pt>
                <c:pt idx="13">
                  <c:v>210.61160000000001</c:v>
                </c:pt>
                <c:pt idx="14">
                  <c:v>215.63839999999999</c:v>
                </c:pt>
                <c:pt idx="15">
                  <c:v>219.5342</c:v>
                </c:pt>
                <c:pt idx="16">
                  <c:v>220.78319999999999</c:v>
                </c:pt>
                <c:pt idx="17">
                  <c:v>222.10560000000001</c:v>
                </c:pt>
                <c:pt idx="18">
                  <c:v>224.6848</c:v>
                </c:pt>
              </c:numCache>
            </c:numRef>
          </c:yVal>
          <c:smooth val="0"/>
        </c:ser>
        <c:ser>
          <c:idx val="4"/>
          <c:order val="4"/>
          <c:tx>
            <c:v>80 C</c:v>
          </c:tx>
          <c:spPr>
            <a:ln w="28575">
              <a:noFill/>
            </a:ln>
          </c:spPr>
          <c:marker>
            <c:symbol val="square"/>
            <c:size val="4"/>
          </c:marker>
          <c:xVal>
            <c:numRef>
              <c:f>'Raw Test Data'!$H$91:$H$109</c:f>
              <c:numCache>
                <c:formatCode>0.00</c:formatCode>
                <c:ptCount val="19"/>
                <c:pt idx="0">
                  <c:v>0.1</c:v>
                </c:pt>
                <c:pt idx="1">
                  <c:v>0.15</c:v>
                </c:pt>
                <c:pt idx="2">
                  <c:v>0.22</c:v>
                </c:pt>
                <c:pt idx="3">
                  <c:v>0.32</c:v>
                </c:pt>
                <c:pt idx="4">
                  <c:v>0.46</c:v>
                </c:pt>
                <c:pt idx="5">
                  <c:v>0.68</c:v>
                </c:pt>
                <c:pt idx="6">
                  <c:v>1</c:v>
                </c:pt>
                <c:pt idx="7">
                  <c:v>1.5</c:v>
                </c:pt>
                <c:pt idx="8">
                  <c:v>2.2000000000000002</c:v>
                </c:pt>
                <c:pt idx="9">
                  <c:v>3.2</c:v>
                </c:pt>
                <c:pt idx="10">
                  <c:v>4.5999999999999996</c:v>
                </c:pt>
                <c:pt idx="11">
                  <c:v>6.8</c:v>
                </c:pt>
                <c:pt idx="12">
                  <c:v>10</c:v>
                </c:pt>
                <c:pt idx="13">
                  <c:v>14.6</c:v>
                </c:pt>
                <c:pt idx="14">
                  <c:v>21.5</c:v>
                </c:pt>
                <c:pt idx="15">
                  <c:v>31.6</c:v>
                </c:pt>
                <c:pt idx="16">
                  <c:v>46.4</c:v>
                </c:pt>
                <c:pt idx="17">
                  <c:v>68</c:v>
                </c:pt>
                <c:pt idx="18">
                  <c:v>100</c:v>
                </c:pt>
              </c:numCache>
            </c:numRef>
          </c:xVal>
          <c:yVal>
            <c:numRef>
              <c:f>'Raw Test Data'!$E$91:$E$109</c:f>
              <c:numCache>
                <c:formatCode>0.0000</c:formatCode>
                <c:ptCount val="19"/>
                <c:pt idx="0">
                  <c:v>19.190460000000002</c:v>
                </c:pt>
                <c:pt idx="1">
                  <c:v>22.786760000000001</c:v>
                </c:pt>
                <c:pt idx="2">
                  <c:v>27.979320000000001</c:v>
                </c:pt>
                <c:pt idx="3">
                  <c:v>34.702199999999998</c:v>
                </c:pt>
                <c:pt idx="4">
                  <c:v>42.382539999999999</c:v>
                </c:pt>
                <c:pt idx="5">
                  <c:v>51.809249999999999</c:v>
                </c:pt>
                <c:pt idx="6">
                  <c:v>61.88288</c:v>
                </c:pt>
                <c:pt idx="7">
                  <c:v>73.680109999999999</c:v>
                </c:pt>
                <c:pt idx="8">
                  <c:v>85.75788</c:v>
                </c:pt>
                <c:pt idx="9">
                  <c:v>98.420450000000002</c:v>
                </c:pt>
                <c:pt idx="10">
                  <c:v>111.2137</c:v>
                </c:pt>
                <c:pt idx="11">
                  <c:v>125.3484</c:v>
                </c:pt>
                <c:pt idx="12">
                  <c:v>139.40629999999999</c:v>
                </c:pt>
                <c:pt idx="13">
                  <c:v>153.0369</c:v>
                </c:pt>
                <c:pt idx="14">
                  <c:v>166.86959999999999</c:v>
                </c:pt>
                <c:pt idx="15">
                  <c:v>179.84540000000001</c:v>
                </c:pt>
                <c:pt idx="16">
                  <c:v>190.33090000000001</c:v>
                </c:pt>
                <c:pt idx="17">
                  <c:v>200.553</c:v>
                </c:pt>
                <c:pt idx="18">
                  <c:v>211.7791</c:v>
                </c:pt>
              </c:numCache>
            </c:numRef>
          </c:yVal>
          <c:smooth val="0"/>
        </c:ser>
        <c:ser>
          <c:idx val="5"/>
          <c:order val="5"/>
          <c:tx>
            <c:v>85 C</c:v>
          </c:tx>
          <c:spPr>
            <a:ln w="28575">
              <a:noFill/>
            </a:ln>
          </c:spPr>
          <c:marker>
            <c:symbol val="circle"/>
            <c:size val="4"/>
          </c:marker>
          <c:xVal>
            <c:numRef>
              <c:f>'Raw Test Data'!$H$110:$H$128</c:f>
              <c:numCache>
                <c:formatCode>0.00</c:formatCode>
                <c:ptCount val="19"/>
                <c:pt idx="0">
                  <c:v>0.1</c:v>
                </c:pt>
                <c:pt idx="1">
                  <c:v>0.15</c:v>
                </c:pt>
                <c:pt idx="2">
                  <c:v>0.22</c:v>
                </c:pt>
                <c:pt idx="3">
                  <c:v>0.32</c:v>
                </c:pt>
                <c:pt idx="4">
                  <c:v>0.46</c:v>
                </c:pt>
                <c:pt idx="5">
                  <c:v>0.68</c:v>
                </c:pt>
                <c:pt idx="6">
                  <c:v>1</c:v>
                </c:pt>
                <c:pt idx="7">
                  <c:v>1.5</c:v>
                </c:pt>
                <c:pt idx="8">
                  <c:v>2.2000000000000002</c:v>
                </c:pt>
                <c:pt idx="9">
                  <c:v>3.2</c:v>
                </c:pt>
                <c:pt idx="10">
                  <c:v>4.5999999999999996</c:v>
                </c:pt>
                <c:pt idx="11">
                  <c:v>6.8</c:v>
                </c:pt>
                <c:pt idx="12">
                  <c:v>10</c:v>
                </c:pt>
                <c:pt idx="13">
                  <c:v>14.6</c:v>
                </c:pt>
                <c:pt idx="14">
                  <c:v>21.5</c:v>
                </c:pt>
                <c:pt idx="15">
                  <c:v>31.6</c:v>
                </c:pt>
                <c:pt idx="16">
                  <c:v>46.4</c:v>
                </c:pt>
                <c:pt idx="17">
                  <c:v>68</c:v>
                </c:pt>
                <c:pt idx="18">
                  <c:v>100</c:v>
                </c:pt>
              </c:numCache>
            </c:numRef>
          </c:xVal>
          <c:yVal>
            <c:numRef>
              <c:f>'Raw Test Data'!$E$110:$E$128</c:f>
              <c:numCache>
                <c:formatCode>0.0000</c:formatCode>
                <c:ptCount val="19"/>
                <c:pt idx="0">
                  <c:v>5.8354929999999996</c:v>
                </c:pt>
                <c:pt idx="1">
                  <c:v>6.9912520000000002</c:v>
                </c:pt>
                <c:pt idx="2">
                  <c:v>8.4394159999999996</c:v>
                </c:pt>
                <c:pt idx="3">
                  <c:v>10.434699999999999</c:v>
                </c:pt>
                <c:pt idx="4">
                  <c:v>12.89852</c:v>
                </c:pt>
                <c:pt idx="5">
                  <c:v>16.191189999999999</c:v>
                </c:pt>
                <c:pt idx="6">
                  <c:v>20.04044</c:v>
                </c:pt>
                <c:pt idx="7">
                  <c:v>25.031140000000001</c:v>
                </c:pt>
                <c:pt idx="8">
                  <c:v>30.78668</c:v>
                </c:pt>
                <c:pt idx="9">
                  <c:v>37.539099999999998</c:v>
                </c:pt>
                <c:pt idx="10">
                  <c:v>45.205889999999997</c:v>
                </c:pt>
                <c:pt idx="11">
                  <c:v>60.91469</c:v>
                </c:pt>
                <c:pt idx="12">
                  <c:v>70.977429999999998</c:v>
                </c:pt>
                <c:pt idx="13">
                  <c:v>81.462389999999999</c:v>
                </c:pt>
                <c:pt idx="14">
                  <c:v>94.334119999999999</c:v>
                </c:pt>
                <c:pt idx="15">
                  <c:v>107.71680000000001</c:v>
                </c:pt>
                <c:pt idx="16">
                  <c:v>120.6722</c:v>
                </c:pt>
                <c:pt idx="17">
                  <c:v>135.83459999999999</c:v>
                </c:pt>
                <c:pt idx="18">
                  <c:v>152.72120000000001</c:v>
                </c:pt>
              </c:numCache>
            </c:numRef>
          </c:yVal>
          <c:smooth val="0"/>
        </c:ser>
        <c:ser>
          <c:idx val="6"/>
          <c:order val="6"/>
          <c:tx>
            <c:v>90 C</c:v>
          </c:tx>
          <c:spPr>
            <a:ln w="28575">
              <a:noFill/>
            </a:ln>
          </c:spPr>
          <c:marker>
            <c:symbol val="diamond"/>
            <c:size val="4"/>
          </c:marker>
          <c:xVal>
            <c:numRef>
              <c:f>'Raw Test Data'!$H$129:$H$147</c:f>
              <c:numCache>
                <c:formatCode>0.00</c:formatCode>
                <c:ptCount val="19"/>
                <c:pt idx="0">
                  <c:v>0.1</c:v>
                </c:pt>
                <c:pt idx="1">
                  <c:v>0.15</c:v>
                </c:pt>
                <c:pt idx="2">
                  <c:v>0.22</c:v>
                </c:pt>
                <c:pt idx="3">
                  <c:v>0.32</c:v>
                </c:pt>
                <c:pt idx="4">
                  <c:v>0.46</c:v>
                </c:pt>
                <c:pt idx="5">
                  <c:v>0.68</c:v>
                </c:pt>
                <c:pt idx="6">
                  <c:v>1</c:v>
                </c:pt>
                <c:pt idx="7">
                  <c:v>1.5</c:v>
                </c:pt>
                <c:pt idx="8">
                  <c:v>2.2000000000000002</c:v>
                </c:pt>
                <c:pt idx="9">
                  <c:v>3.2</c:v>
                </c:pt>
                <c:pt idx="10">
                  <c:v>4.5999999999999996</c:v>
                </c:pt>
                <c:pt idx="11">
                  <c:v>6.8</c:v>
                </c:pt>
                <c:pt idx="12">
                  <c:v>10</c:v>
                </c:pt>
                <c:pt idx="13">
                  <c:v>14.6</c:v>
                </c:pt>
                <c:pt idx="14">
                  <c:v>21.5</c:v>
                </c:pt>
                <c:pt idx="15">
                  <c:v>31.6</c:v>
                </c:pt>
                <c:pt idx="16">
                  <c:v>46.4</c:v>
                </c:pt>
                <c:pt idx="17">
                  <c:v>68</c:v>
                </c:pt>
                <c:pt idx="18">
                  <c:v>100</c:v>
                </c:pt>
              </c:numCache>
            </c:numRef>
          </c:xVal>
          <c:yVal>
            <c:numRef>
              <c:f>'Raw Test Data'!$E$129:$E$147</c:f>
              <c:numCache>
                <c:formatCode>0.0000</c:formatCode>
                <c:ptCount val="19"/>
                <c:pt idx="0">
                  <c:v>2.7742100000000001</c:v>
                </c:pt>
                <c:pt idx="1">
                  <c:v>3.129928</c:v>
                </c:pt>
                <c:pt idx="2">
                  <c:v>3.5810629999999999</c:v>
                </c:pt>
                <c:pt idx="3">
                  <c:v>4.2150499999999997</c:v>
                </c:pt>
                <c:pt idx="4">
                  <c:v>5.00739</c:v>
                </c:pt>
                <c:pt idx="5">
                  <c:v>6.0963240000000001</c:v>
                </c:pt>
                <c:pt idx="6">
                  <c:v>7.4197389999999999</c:v>
                </c:pt>
                <c:pt idx="7">
                  <c:v>9.1727740000000004</c:v>
                </c:pt>
                <c:pt idx="8">
                  <c:v>11.299189999999999</c:v>
                </c:pt>
                <c:pt idx="9">
                  <c:v>13.912470000000001</c:v>
                </c:pt>
                <c:pt idx="10">
                  <c:v>17.0487</c:v>
                </c:pt>
                <c:pt idx="11">
                  <c:v>21.229299999999999</c:v>
                </c:pt>
                <c:pt idx="12">
                  <c:v>26.311520000000002</c:v>
                </c:pt>
                <c:pt idx="13">
                  <c:v>32.428939999999997</c:v>
                </c:pt>
                <c:pt idx="14">
                  <c:v>40.149410000000003</c:v>
                </c:pt>
                <c:pt idx="15">
                  <c:v>49.295020000000001</c:v>
                </c:pt>
                <c:pt idx="16">
                  <c:v>58.72251</c:v>
                </c:pt>
                <c:pt idx="17">
                  <c:v>70.440939999999998</c:v>
                </c:pt>
                <c:pt idx="18">
                  <c:v>84.691739999999996</c:v>
                </c:pt>
              </c:numCache>
            </c:numRef>
          </c:yVal>
          <c:smooth val="0"/>
        </c:ser>
        <c:ser>
          <c:idx val="7"/>
          <c:order val="7"/>
          <c:tx>
            <c:v>95 C</c:v>
          </c:tx>
          <c:spPr>
            <a:ln w="28575">
              <a:noFill/>
            </a:ln>
          </c:spPr>
          <c:marker>
            <c:symbol val="square"/>
            <c:size val="4"/>
          </c:marker>
          <c:xVal>
            <c:numRef>
              <c:f>'Raw Test Data'!$H$148:$H$166</c:f>
              <c:numCache>
                <c:formatCode>0.00</c:formatCode>
                <c:ptCount val="19"/>
                <c:pt idx="0">
                  <c:v>0.1</c:v>
                </c:pt>
                <c:pt idx="1">
                  <c:v>0.15</c:v>
                </c:pt>
                <c:pt idx="2">
                  <c:v>0.22</c:v>
                </c:pt>
                <c:pt idx="3">
                  <c:v>0.32</c:v>
                </c:pt>
                <c:pt idx="4">
                  <c:v>0.46</c:v>
                </c:pt>
                <c:pt idx="5">
                  <c:v>0.68</c:v>
                </c:pt>
                <c:pt idx="6">
                  <c:v>1</c:v>
                </c:pt>
                <c:pt idx="7">
                  <c:v>1.5</c:v>
                </c:pt>
                <c:pt idx="8">
                  <c:v>2.2000000000000002</c:v>
                </c:pt>
                <c:pt idx="9">
                  <c:v>3.2</c:v>
                </c:pt>
                <c:pt idx="10">
                  <c:v>4.5999999999999996</c:v>
                </c:pt>
                <c:pt idx="11">
                  <c:v>6.8</c:v>
                </c:pt>
                <c:pt idx="12">
                  <c:v>10</c:v>
                </c:pt>
                <c:pt idx="13">
                  <c:v>14.6</c:v>
                </c:pt>
                <c:pt idx="14">
                  <c:v>21.5</c:v>
                </c:pt>
                <c:pt idx="15">
                  <c:v>31.6</c:v>
                </c:pt>
                <c:pt idx="16">
                  <c:v>46.4</c:v>
                </c:pt>
                <c:pt idx="17">
                  <c:v>68</c:v>
                </c:pt>
                <c:pt idx="18">
                  <c:v>100</c:v>
                </c:pt>
              </c:numCache>
            </c:numRef>
          </c:xVal>
          <c:yVal>
            <c:numRef>
              <c:f>'Raw Test Data'!$E$148:$E$166</c:f>
              <c:numCache>
                <c:formatCode>0.0000</c:formatCode>
                <c:ptCount val="19"/>
                <c:pt idx="0">
                  <c:v>1.8038940000000001</c:v>
                </c:pt>
                <c:pt idx="1">
                  <c:v>1.945776</c:v>
                </c:pt>
                <c:pt idx="2">
                  <c:v>2.1154069999999998</c:v>
                </c:pt>
                <c:pt idx="3">
                  <c:v>2.354365</c:v>
                </c:pt>
                <c:pt idx="4">
                  <c:v>2.6566179999999999</c:v>
                </c:pt>
                <c:pt idx="5">
                  <c:v>3.0677319999999999</c:v>
                </c:pt>
                <c:pt idx="6">
                  <c:v>3.5743149999999999</c:v>
                </c:pt>
                <c:pt idx="7">
                  <c:v>4.2398660000000001</c:v>
                </c:pt>
                <c:pt idx="8">
                  <c:v>5.0601560000000001</c:v>
                </c:pt>
                <c:pt idx="9">
                  <c:v>6.0814950000000003</c:v>
                </c:pt>
                <c:pt idx="10">
                  <c:v>7.343286</c:v>
                </c:pt>
                <c:pt idx="11">
                  <c:v>9.065042</c:v>
                </c:pt>
                <c:pt idx="12">
                  <c:v>11.242470000000001</c:v>
                </c:pt>
                <c:pt idx="13">
                  <c:v>13.97002</c:v>
                </c:pt>
                <c:pt idx="14">
                  <c:v>17.68216</c:v>
                </c:pt>
                <c:pt idx="15">
                  <c:v>22.280259999999998</c:v>
                </c:pt>
                <c:pt idx="16">
                  <c:v>26.675319999999999</c:v>
                </c:pt>
                <c:pt idx="17">
                  <c:v>33.07141</c:v>
                </c:pt>
                <c:pt idx="18">
                  <c:v>41.69464</c:v>
                </c:pt>
              </c:numCache>
            </c:numRef>
          </c:yVal>
          <c:smooth val="0"/>
        </c:ser>
        <c:ser>
          <c:idx val="8"/>
          <c:order val="8"/>
          <c:tx>
            <c:v>100 C</c:v>
          </c:tx>
          <c:spPr>
            <a:ln w="28575">
              <a:noFill/>
            </a:ln>
          </c:spPr>
          <c:marker>
            <c:symbol val="square"/>
            <c:size val="4"/>
          </c:marker>
          <c:xVal>
            <c:numRef>
              <c:f>'Raw Test Data'!$H$167:$H$185</c:f>
              <c:numCache>
                <c:formatCode>0.00</c:formatCode>
                <c:ptCount val="19"/>
                <c:pt idx="0">
                  <c:v>0.1</c:v>
                </c:pt>
                <c:pt idx="1">
                  <c:v>0.15</c:v>
                </c:pt>
                <c:pt idx="2">
                  <c:v>0.22</c:v>
                </c:pt>
                <c:pt idx="3">
                  <c:v>0.32</c:v>
                </c:pt>
                <c:pt idx="4">
                  <c:v>0.46</c:v>
                </c:pt>
                <c:pt idx="5">
                  <c:v>0.68</c:v>
                </c:pt>
                <c:pt idx="6">
                  <c:v>1</c:v>
                </c:pt>
                <c:pt idx="7">
                  <c:v>1.5</c:v>
                </c:pt>
                <c:pt idx="8">
                  <c:v>2.2000000000000002</c:v>
                </c:pt>
                <c:pt idx="9">
                  <c:v>3.2</c:v>
                </c:pt>
                <c:pt idx="10">
                  <c:v>4.5999999999999996</c:v>
                </c:pt>
                <c:pt idx="11">
                  <c:v>6.8</c:v>
                </c:pt>
                <c:pt idx="12">
                  <c:v>10</c:v>
                </c:pt>
                <c:pt idx="13">
                  <c:v>14.6</c:v>
                </c:pt>
                <c:pt idx="14">
                  <c:v>21.5</c:v>
                </c:pt>
                <c:pt idx="15">
                  <c:v>31.6</c:v>
                </c:pt>
                <c:pt idx="16">
                  <c:v>46.4</c:v>
                </c:pt>
                <c:pt idx="17">
                  <c:v>68</c:v>
                </c:pt>
                <c:pt idx="18">
                  <c:v>100</c:v>
                </c:pt>
              </c:numCache>
            </c:numRef>
          </c:xVal>
          <c:yVal>
            <c:numRef>
              <c:f>'Raw Test Data'!$E$167:$E$185</c:f>
              <c:numCache>
                <c:formatCode>0.0000</c:formatCode>
                <c:ptCount val="19"/>
                <c:pt idx="0">
                  <c:v>1.373254</c:v>
                </c:pt>
                <c:pt idx="1">
                  <c:v>1.4501310000000001</c:v>
                </c:pt>
                <c:pt idx="2">
                  <c:v>1.54061</c:v>
                </c:pt>
                <c:pt idx="3">
                  <c:v>1.6575599999999999</c:v>
                </c:pt>
                <c:pt idx="4">
                  <c:v>1.7984899999999999</c:v>
                </c:pt>
                <c:pt idx="5">
                  <c:v>1.9846079999999999</c:v>
                </c:pt>
                <c:pt idx="6">
                  <c:v>2.202979</c:v>
                </c:pt>
                <c:pt idx="7">
                  <c:v>2.4912339999999999</c:v>
                </c:pt>
                <c:pt idx="8">
                  <c:v>2.8425980000000002</c:v>
                </c:pt>
                <c:pt idx="9">
                  <c:v>3.2802159999999998</c:v>
                </c:pt>
                <c:pt idx="10">
                  <c:v>3.8197380000000001</c:v>
                </c:pt>
                <c:pt idx="11">
                  <c:v>4.5681570000000002</c:v>
                </c:pt>
                <c:pt idx="12">
                  <c:v>5.5310600000000001</c:v>
                </c:pt>
                <c:pt idx="13">
                  <c:v>6.8060790000000004</c:v>
                </c:pt>
                <c:pt idx="14">
                  <c:v>8.6757179999999998</c:v>
                </c:pt>
                <c:pt idx="15">
                  <c:v>11.0222</c:v>
                </c:pt>
                <c:pt idx="16">
                  <c:v>12.69904</c:v>
                </c:pt>
                <c:pt idx="17">
                  <c:v>15.90512</c:v>
                </c:pt>
                <c:pt idx="18">
                  <c:v>20.726479999999999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08736"/>
        <c:axId val="139522816"/>
      </c:scatterChart>
      <c:valAx>
        <c:axId val="139508736"/>
        <c:scaling>
          <c:logBase val="10"/>
          <c:orientation val="minMax"/>
        </c:scaling>
        <c:delete val="0"/>
        <c:axPos val="b"/>
        <c:numFmt formatCode="0.00" sourceLinked="1"/>
        <c:majorTickMark val="out"/>
        <c:minorTickMark val="none"/>
        <c:tickLblPos val="nextTo"/>
        <c:crossAx val="139522816"/>
        <c:crosses val="autoZero"/>
        <c:crossBetween val="midCat"/>
      </c:valAx>
      <c:valAx>
        <c:axId val="139522816"/>
        <c:scaling>
          <c:logBase val="10"/>
          <c:orientation val="minMax"/>
          <c:min val="7"/>
        </c:scaling>
        <c:delete val="0"/>
        <c:axPos val="l"/>
        <c:majorGridlines/>
        <c:numFmt formatCode="0" sourceLinked="0"/>
        <c:majorTickMark val="out"/>
        <c:minorTickMark val="none"/>
        <c:tickLblPos val="nextTo"/>
        <c:crossAx val="139508736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aseline="0"/>
              <a:t>Storage Modulus</a:t>
            </a:r>
            <a:endParaRPr lang="en-US"/>
          </a:p>
        </c:rich>
      </c:tx>
      <c:layout>
        <c:manualLayout>
          <c:xMode val="edge"/>
          <c:yMode val="edge"/>
          <c:x val="0.39589005540974043"/>
          <c:y val="8.8008661417322831E-2"/>
        </c:manualLayout>
      </c:layout>
      <c:overlay val="1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60 C</c:v>
          </c:tx>
          <c:spPr>
            <a:ln w="28575">
              <a:noFill/>
            </a:ln>
          </c:spPr>
          <c:marker>
            <c:symbol val="diamond"/>
            <c:size val="4"/>
          </c:marker>
          <c:xVal>
            <c:numRef>
              <c:f>'Processed Data'!$A$5:$A$23</c:f>
              <c:numCache>
                <c:formatCode>0.00</c:formatCode>
                <c:ptCount val="19"/>
                <c:pt idx="0">
                  <c:v>0.1</c:v>
                </c:pt>
                <c:pt idx="1">
                  <c:v>0.15</c:v>
                </c:pt>
                <c:pt idx="2">
                  <c:v>0.22</c:v>
                </c:pt>
                <c:pt idx="3">
                  <c:v>0.32</c:v>
                </c:pt>
                <c:pt idx="4">
                  <c:v>0.46</c:v>
                </c:pt>
                <c:pt idx="5">
                  <c:v>0.68</c:v>
                </c:pt>
                <c:pt idx="6">
                  <c:v>1</c:v>
                </c:pt>
                <c:pt idx="7">
                  <c:v>1.5</c:v>
                </c:pt>
                <c:pt idx="8">
                  <c:v>2.2000000000000002</c:v>
                </c:pt>
                <c:pt idx="9">
                  <c:v>3.2</c:v>
                </c:pt>
                <c:pt idx="10">
                  <c:v>4.5999999999999996</c:v>
                </c:pt>
                <c:pt idx="11">
                  <c:v>6.8</c:v>
                </c:pt>
                <c:pt idx="12">
                  <c:v>10</c:v>
                </c:pt>
                <c:pt idx="13">
                  <c:v>14.6</c:v>
                </c:pt>
                <c:pt idx="14">
                  <c:v>21.5</c:v>
                </c:pt>
                <c:pt idx="15">
                  <c:v>31.6</c:v>
                </c:pt>
                <c:pt idx="16">
                  <c:v>46.4</c:v>
                </c:pt>
                <c:pt idx="17">
                  <c:v>68</c:v>
                </c:pt>
                <c:pt idx="18">
                  <c:v>100</c:v>
                </c:pt>
              </c:numCache>
            </c:numRef>
          </c:xVal>
          <c:yVal>
            <c:numRef>
              <c:f>'Processed Data'!$C$5:$C$23</c:f>
              <c:numCache>
                <c:formatCode>0.000</c:formatCode>
                <c:ptCount val="19"/>
                <c:pt idx="0">
                  <c:v>1625.829</c:v>
                </c:pt>
                <c:pt idx="1">
                  <c:v>1666.5039999999999</c:v>
                </c:pt>
                <c:pt idx="2">
                  <c:v>1706.336</c:v>
                </c:pt>
                <c:pt idx="3">
                  <c:v>1742.52</c:v>
                </c:pt>
                <c:pt idx="4">
                  <c:v>1776.425</c:v>
                </c:pt>
                <c:pt idx="5">
                  <c:v>1812.4</c:v>
                </c:pt>
                <c:pt idx="6">
                  <c:v>1845.133</c:v>
                </c:pt>
                <c:pt idx="7">
                  <c:v>1877.809</c:v>
                </c:pt>
                <c:pt idx="8">
                  <c:v>1908.6690000000001</c:v>
                </c:pt>
                <c:pt idx="9">
                  <c:v>1938.134</c:v>
                </c:pt>
                <c:pt idx="10">
                  <c:v>1966.98</c:v>
                </c:pt>
                <c:pt idx="11">
                  <c:v>1997.537</c:v>
                </c:pt>
                <c:pt idx="12">
                  <c:v>2027.748</c:v>
                </c:pt>
                <c:pt idx="13">
                  <c:v>2056.576</c:v>
                </c:pt>
                <c:pt idx="14">
                  <c:v>2086.8580000000002</c:v>
                </c:pt>
                <c:pt idx="15">
                  <c:v>2117.4920000000002</c:v>
                </c:pt>
                <c:pt idx="16">
                  <c:v>2145.627</c:v>
                </c:pt>
                <c:pt idx="17">
                  <c:v>2173.4160000000002</c:v>
                </c:pt>
                <c:pt idx="18">
                  <c:v>2180.3760000000002</c:v>
                </c:pt>
              </c:numCache>
            </c:numRef>
          </c:yVal>
          <c:smooth val="0"/>
        </c:ser>
        <c:ser>
          <c:idx val="1"/>
          <c:order val="1"/>
          <c:tx>
            <c:v>65 C</c:v>
          </c:tx>
          <c:spPr>
            <a:ln w="28575">
              <a:noFill/>
            </a:ln>
          </c:spPr>
          <c:marker>
            <c:symbol val="square"/>
            <c:size val="4"/>
          </c:marker>
          <c:xVal>
            <c:numRef>
              <c:f>'Processed Data'!$A$5:$A$23</c:f>
              <c:numCache>
                <c:formatCode>0.00</c:formatCode>
                <c:ptCount val="19"/>
                <c:pt idx="0">
                  <c:v>0.1</c:v>
                </c:pt>
                <c:pt idx="1">
                  <c:v>0.15</c:v>
                </c:pt>
                <c:pt idx="2">
                  <c:v>0.22</c:v>
                </c:pt>
                <c:pt idx="3">
                  <c:v>0.32</c:v>
                </c:pt>
                <c:pt idx="4">
                  <c:v>0.46</c:v>
                </c:pt>
                <c:pt idx="5">
                  <c:v>0.68</c:v>
                </c:pt>
                <c:pt idx="6">
                  <c:v>1</c:v>
                </c:pt>
                <c:pt idx="7">
                  <c:v>1.5</c:v>
                </c:pt>
                <c:pt idx="8">
                  <c:v>2.2000000000000002</c:v>
                </c:pt>
                <c:pt idx="9">
                  <c:v>3.2</c:v>
                </c:pt>
                <c:pt idx="10">
                  <c:v>4.5999999999999996</c:v>
                </c:pt>
                <c:pt idx="11">
                  <c:v>6.8</c:v>
                </c:pt>
                <c:pt idx="12">
                  <c:v>10</c:v>
                </c:pt>
                <c:pt idx="13">
                  <c:v>14.6</c:v>
                </c:pt>
                <c:pt idx="14">
                  <c:v>21.5</c:v>
                </c:pt>
                <c:pt idx="15">
                  <c:v>31.6</c:v>
                </c:pt>
                <c:pt idx="16">
                  <c:v>46.4</c:v>
                </c:pt>
                <c:pt idx="17">
                  <c:v>68</c:v>
                </c:pt>
                <c:pt idx="18">
                  <c:v>100</c:v>
                </c:pt>
              </c:numCache>
            </c:numRef>
          </c:xVal>
          <c:yVal>
            <c:numRef>
              <c:f>'Processed Data'!$F$5:$F$23</c:f>
              <c:numCache>
                <c:formatCode>0.000</c:formatCode>
                <c:ptCount val="19"/>
                <c:pt idx="0">
                  <c:v>1054.4970000000001</c:v>
                </c:pt>
                <c:pt idx="1">
                  <c:v>1110.02</c:v>
                </c:pt>
                <c:pt idx="2">
                  <c:v>1160.9829999999999</c:v>
                </c:pt>
                <c:pt idx="3">
                  <c:v>1210.2940000000001</c:v>
                </c:pt>
                <c:pt idx="4">
                  <c:v>1256.43</c:v>
                </c:pt>
                <c:pt idx="5">
                  <c:v>1304.481</c:v>
                </c:pt>
                <c:pt idx="6">
                  <c:v>1348.5419999999999</c:v>
                </c:pt>
                <c:pt idx="7">
                  <c:v>1395.328</c:v>
                </c:pt>
                <c:pt idx="8">
                  <c:v>1438.5450000000001</c:v>
                </c:pt>
                <c:pt idx="9">
                  <c:v>1480.018</c:v>
                </c:pt>
                <c:pt idx="10">
                  <c:v>1520.3389999999999</c:v>
                </c:pt>
                <c:pt idx="11">
                  <c:v>1562.296</c:v>
                </c:pt>
                <c:pt idx="12">
                  <c:v>1603.7</c:v>
                </c:pt>
                <c:pt idx="13">
                  <c:v>1643.249</c:v>
                </c:pt>
                <c:pt idx="14">
                  <c:v>1684.2809999999999</c:v>
                </c:pt>
                <c:pt idx="15">
                  <c:v>1724.9110000000001</c:v>
                </c:pt>
                <c:pt idx="16">
                  <c:v>1761.61</c:v>
                </c:pt>
                <c:pt idx="17">
                  <c:v>1801.5840000000001</c:v>
                </c:pt>
                <c:pt idx="18">
                  <c:v>1822.0229999999999</c:v>
                </c:pt>
              </c:numCache>
            </c:numRef>
          </c:yVal>
          <c:smooth val="0"/>
        </c:ser>
        <c:ser>
          <c:idx val="2"/>
          <c:order val="2"/>
          <c:tx>
            <c:v>70 C</c:v>
          </c:tx>
          <c:spPr>
            <a:ln w="28575">
              <a:noFill/>
            </a:ln>
          </c:spPr>
          <c:marker>
            <c:symbol val="diamond"/>
            <c:size val="4"/>
          </c:marker>
          <c:xVal>
            <c:numRef>
              <c:f>'Processed Data'!$A$5:$A$23</c:f>
              <c:numCache>
                <c:formatCode>0.00</c:formatCode>
                <c:ptCount val="19"/>
                <c:pt idx="0">
                  <c:v>0.1</c:v>
                </c:pt>
                <c:pt idx="1">
                  <c:v>0.15</c:v>
                </c:pt>
                <c:pt idx="2">
                  <c:v>0.22</c:v>
                </c:pt>
                <c:pt idx="3">
                  <c:v>0.32</c:v>
                </c:pt>
                <c:pt idx="4">
                  <c:v>0.46</c:v>
                </c:pt>
                <c:pt idx="5">
                  <c:v>0.68</c:v>
                </c:pt>
                <c:pt idx="6">
                  <c:v>1</c:v>
                </c:pt>
                <c:pt idx="7">
                  <c:v>1.5</c:v>
                </c:pt>
                <c:pt idx="8">
                  <c:v>2.2000000000000002</c:v>
                </c:pt>
                <c:pt idx="9">
                  <c:v>3.2</c:v>
                </c:pt>
                <c:pt idx="10">
                  <c:v>4.5999999999999996</c:v>
                </c:pt>
                <c:pt idx="11">
                  <c:v>6.8</c:v>
                </c:pt>
                <c:pt idx="12">
                  <c:v>10</c:v>
                </c:pt>
                <c:pt idx="13">
                  <c:v>14.6</c:v>
                </c:pt>
                <c:pt idx="14">
                  <c:v>21.5</c:v>
                </c:pt>
                <c:pt idx="15">
                  <c:v>31.6</c:v>
                </c:pt>
                <c:pt idx="16">
                  <c:v>46.4</c:v>
                </c:pt>
                <c:pt idx="17">
                  <c:v>68</c:v>
                </c:pt>
                <c:pt idx="18">
                  <c:v>100</c:v>
                </c:pt>
              </c:numCache>
            </c:numRef>
          </c:xVal>
          <c:yVal>
            <c:numRef>
              <c:f>'Processed Data'!$I$5:$I$23</c:f>
              <c:numCache>
                <c:formatCode>0.000</c:formatCode>
                <c:ptCount val="19"/>
                <c:pt idx="0">
                  <c:v>493.78960000000001</c:v>
                </c:pt>
                <c:pt idx="1">
                  <c:v>473.6807</c:v>
                </c:pt>
                <c:pt idx="2">
                  <c:v>489.50259999999997</c:v>
                </c:pt>
                <c:pt idx="3">
                  <c:v>534.02890000000002</c:v>
                </c:pt>
                <c:pt idx="4">
                  <c:v>577.97180000000003</c:v>
                </c:pt>
                <c:pt idx="5">
                  <c:v>625.17610000000002</c:v>
                </c:pt>
                <c:pt idx="6">
                  <c:v>673.65089999999998</c:v>
                </c:pt>
                <c:pt idx="7">
                  <c:v>723.61030000000005</c:v>
                </c:pt>
                <c:pt idx="8">
                  <c:v>768.02189999999996</c:v>
                </c:pt>
                <c:pt idx="9">
                  <c:v>811.76710000000003</c:v>
                </c:pt>
                <c:pt idx="10">
                  <c:v>854.01580000000001</c:v>
                </c:pt>
                <c:pt idx="11">
                  <c:v>898.55489999999998</c:v>
                </c:pt>
                <c:pt idx="12">
                  <c:v>944.40710000000001</c:v>
                </c:pt>
                <c:pt idx="13">
                  <c:v>985.64469999999994</c:v>
                </c:pt>
                <c:pt idx="14">
                  <c:v>1029.2239999999999</c:v>
                </c:pt>
                <c:pt idx="15">
                  <c:v>1069.7850000000001</c:v>
                </c:pt>
                <c:pt idx="16">
                  <c:v>1106.345</c:v>
                </c:pt>
                <c:pt idx="17">
                  <c:v>1149.43</c:v>
                </c:pt>
                <c:pt idx="18">
                  <c:v>1178.6010000000001</c:v>
                </c:pt>
              </c:numCache>
            </c:numRef>
          </c:yVal>
          <c:smooth val="0"/>
        </c:ser>
        <c:ser>
          <c:idx val="3"/>
          <c:order val="3"/>
          <c:tx>
            <c:v>75 C</c:v>
          </c:tx>
          <c:spPr>
            <a:ln w="28575">
              <a:noFill/>
            </a:ln>
          </c:spPr>
          <c:marker>
            <c:symbol val="diamond"/>
            <c:size val="4"/>
          </c:marker>
          <c:xVal>
            <c:numRef>
              <c:f>'Processed Data'!$A$5:$A$23</c:f>
              <c:numCache>
                <c:formatCode>0.00</c:formatCode>
                <c:ptCount val="19"/>
                <c:pt idx="0">
                  <c:v>0.1</c:v>
                </c:pt>
                <c:pt idx="1">
                  <c:v>0.15</c:v>
                </c:pt>
                <c:pt idx="2">
                  <c:v>0.22</c:v>
                </c:pt>
                <c:pt idx="3">
                  <c:v>0.32</c:v>
                </c:pt>
                <c:pt idx="4">
                  <c:v>0.46</c:v>
                </c:pt>
                <c:pt idx="5">
                  <c:v>0.68</c:v>
                </c:pt>
                <c:pt idx="6">
                  <c:v>1</c:v>
                </c:pt>
                <c:pt idx="7">
                  <c:v>1.5</c:v>
                </c:pt>
                <c:pt idx="8">
                  <c:v>2.2000000000000002</c:v>
                </c:pt>
                <c:pt idx="9">
                  <c:v>3.2</c:v>
                </c:pt>
                <c:pt idx="10">
                  <c:v>4.5999999999999996</c:v>
                </c:pt>
                <c:pt idx="11">
                  <c:v>6.8</c:v>
                </c:pt>
                <c:pt idx="12">
                  <c:v>10</c:v>
                </c:pt>
                <c:pt idx="13">
                  <c:v>14.6</c:v>
                </c:pt>
                <c:pt idx="14">
                  <c:v>21.5</c:v>
                </c:pt>
                <c:pt idx="15">
                  <c:v>31.6</c:v>
                </c:pt>
                <c:pt idx="16">
                  <c:v>46.4</c:v>
                </c:pt>
                <c:pt idx="17">
                  <c:v>68</c:v>
                </c:pt>
                <c:pt idx="18">
                  <c:v>100</c:v>
                </c:pt>
              </c:numCache>
            </c:numRef>
          </c:xVal>
          <c:yVal>
            <c:numRef>
              <c:f>'Processed Data'!$L$5:$L$23</c:f>
              <c:numCache>
                <c:formatCode>0.000</c:formatCode>
                <c:ptCount val="19"/>
                <c:pt idx="0">
                  <c:v>93.074820000000003</c:v>
                </c:pt>
                <c:pt idx="1">
                  <c:v>109.4228</c:v>
                </c:pt>
                <c:pt idx="2">
                  <c:v>128.88489999999999</c:v>
                </c:pt>
                <c:pt idx="3">
                  <c:v>154.1653</c:v>
                </c:pt>
                <c:pt idx="4">
                  <c:v>182.3681</c:v>
                </c:pt>
                <c:pt idx="5">
                  <c:v>215.51169999999999</c:v>
                </c:pt>
                <c:pt idx="6">
                  <c:v>249.88120000000001</c:v>
                </c:pt>
                <c:pt idx="7">
                  <c:v>288.8802</c:v>
                </c:pt>
                <c:pt idx="8">
                  <c:v>328.45100000000002</c:v>
                </c:pt>
                <c:pt idx="9">
                  <c:v>369.19830000000002</c:v>
                </c:pt>
                <c:pt idx="10">
                  <c:v>410.37830000000002</c:v>
                </c:pt>
                <c:pt idx="11">
                  <c:v>456.12299999999999</c:v>
                </c:pt>
                <c:pt idx="12">
                  <c:v>502.37459999999999</c:v>
                </c:pt>
                <c:pt idx="13">
                  <c:v>548.73760000000004</c:v>
                </c:pt>
                <c:pt idx="14">
                  <c:v>596.5068</c:v>
                </c:pt>
                <c:pt idx="15">
                  <c:v>643.90800000000002</c:v>
                </c:pt>
                <c:pt idx="16">
                  <c:v>687.67489999999998</c:v>
                </c:pt>
                <c:pt idx="17">
                  <c:v>732.81979999999999</c:v>
                </c:pt>
                <c:pt idx="18">
                  <c:v>768.28710000000001</c:v>
                </c:pt>
              </c:numCache>
            </c:numRef>
          </c:yVal>
          <c:smooth val="0"/>
        </c:ser>
        <c:ser>
          <c:idx val="4"/>
          <c:order val="4"/>
          <c:tx>
            <c:v>80 C</c:v>
          </c:tx>
          <c:spPr>
            <a:ln w="28575">
              <a:noFill/>
            </a:ln>
          </c:spPr>
          <c:marker>
            <c:symbol val="square"/>
            <c:size val="4"/>
          </c:marker>
          <c:xVal>
            <c:numRef>
              <c:f>'Processed Data'!$A$5:$A$23</c:f>
              <c:numCache>
                <c:formatCode>0.00</c:formatCode>
                <c:ptCount val="19"/>
                <c:pt idx="0">
                  <c:v>0.1</c:v>
                </c:pt>
                <c:pt idx="1">
                  <c:v>0.15</c:v>
                </c:pt>
                <c:pt idx="2">
                  <c:v>0.22</c:v>
                </c:pt>
                <c:pt idx="3">
                  <c:v>0.32</c:v>
                </c:pt>
                <c:pt idx="4">
                  <c:v>0.46</c:v>
                </c:pt>
                <c:pt idx="5">
                  <c:v>0.68</c:v>
                </c:pt>
                <c:pt idx="6">
                  <c:v>1</c:v>
                </c:pt>
                <c:pt idx="7">
                  <c:v>1.5</c:v>
                </c:pt>
                <c:pt idx="8">
                  <c:v>2.2000000000000002</c:v>
                </c:pt>
                <c:pt idx="9">
                  <c:v>3.2</c:v>
                </c:pt>
                <c:pt idx="10">
                  <c:v>4.5999999999999996</c:v>
                </c:pt>
                <c:pt idx="11">
                  <c:v>6.8</c:v>
                </c:pt>
                <c:pt idx="12">
                  <c:v>10</c:v>
                </c:pt>
                <c:pt idx="13">
                  <c:v>14.6</c:v>
                </c:pt>
                <c:pt idx="14">
                  <c:v>21.5</c:v>
                </c:pt>
                <c:pt idx="15">
                  <c:v>31.6</c:v>
                </c:pt>
                <c:pt idx="16">
                  <c:v>46.4</c:v>
                </c:pt>
                <c:pt idx="17">
                  <c:v>68</c:v>
                </c:pt>
                <c:pt idx="18">
                  <c:v>100</c:v>
                </c:pt>
              </c:numCache>
            </c:numRef>
          </c:xVal>
          <c:yVal>
            <c:numRef>
              <c:f>'Processed Data'!$O$5:$O$23</c:f>
              <c:numCache>
                <c:formatCode>0.000</c:formatCode>
                <c:ptCount val="19"/>
                <c:pt idx="0">
                  <c:v>26.106940000000002</c:v>
                </c:pt>
                <c:pt idx="1">
                  <c:v>29.332159999999998</c:v>
                </c:pt>
                <c:pt idx="2">
                  <c:v>34.350360000000002</c:v>
                </c:pt>
                <c:pt idx="3">
                  <c:v>41.194580000000002</c:v>
                </c:pt>
                <c:pt idx="4">
                  <c:v>49.47898</c:v>
                </c:pt>
                <c:pt idx="5">
                  <c:v>60.372979999999998</c:v>
                </c:pt>
                <c:pt idx="6">
                  <c:v>72.675399999999996</c:v>
                </c:pt>
                <c:pt idx="7">
                  <c:v>88.307119999999998</c:v>
                </c:pt>
                <c:pt idx="8">
                  <c:v>106.28270000000001</c:v>
                </c:pt>
                <c:pt idx="9">
                  <c:v>126.8644</c:v>
                </c:pt>
                <c:pt idx="10">
                  <c:v>149.83449999999999</c:v>
                </c:pt>
                <c:pt idx="11">
                  <c:v>178.0198</c:v>
                </c:pt>
                <c:pt idx="12">
                  <c:v>209.11369999999999</c:v>
                </c:pt>
                <c:pt idx="13">
                  <c:v>242.95</c:v>
                </c:pt>
                <c:pt idx="14">
                  <c:v>280.86399999999998</c:v>
                </c:pt>
                <c:pt idx="15">
                  <c:v>322.17790000000002</c:v>
                </c:pt>
                <c:pt idx="16">
                  <c:v>362.35820000000001</c:v>
                </c:pt>
                <c:pt idx="17">
                  <c:v>408.33089999999999</c:v>
                </c:pt>
                <c:pt idx="18">
                  <c:v>450.32170000000002</c:v>
                </c:pt>
              </c:numCache>
            </c:numRef>
          </c:yVal>
          <c:smooth val="0"/>
        </c:ser>
        <c:ser>
          <c:idx val="5"/>
          <c:order val="5"/>
          <c:tx>
            <c:v>85 C</c:v>
          </c:tx>
          <c:spPr>
            <a:ln w="28575">
              <a:noFill/>
            </a:ln>
          </c:spPr>
          <c:marker>
            <c:symbol val="circle"/>
            <c:size val="4"/>
          </c:marker>
          <c:xVal>
            <c:numRef>
              <c:f>'Processed Data'!$A$5:$A$23</c:f>
              <c:numCache>
                <c:formatCode>0.00</c:formatCode>
                <c:ptCount val="19"/>
                <c:pt idx="0">
                  <c:v>0.1</c:v>
                </c:pt>
                <c:pt idx="1">
                  <c:v>0.15</c:v>
                </c:pt>
                <c:pt idx="2">
                  <c:v>0.22</c:v>
                </c:pt>
                <c:pt idx="3">
                  <c:v>0.32</c:v>
                </c:pt>
                <c:pt idx="4">
                  <c:v>0.46</c:v>
                </c:pt>
                <c:pt idx="5">
                  <c:v>0.68</c:v>
                </c:pt>
                <c:pt idx="6">
                  <c:v>1</c:v>
                </c:pt>
                <c:pt idx="7">
                  <c:v>1.5</c:v>
                </c:pt>
                <c:pt idx="8">
                  <c:v>2.2000000000000002</c:v>
                </c:pt>
                <c:pt idx="9">
                  <c:v>3.2</c:v>
                </c:pt>
                <c:pt idx="10">
                  <c:v>4.5999999999999996</c:v>
                </c:pt>
                <c:pt idx="11">
                  <c:v>6.8</c:v>
                </c:pt>
                <c:pt idx="12">
                  <c:v>10</c:v>
                </c:pt>
                <c:pt idx="13">
                  <c:v>14.6</c:v>
                </c:pt>
                <c:pt idx="14">
                  <c:v>21.5</c:v>
                </c:pt>
                <c:pt idx="15">
                  <c:v>31.6</c:v>
                </c:pt>
                <c:pt idx="16">
                  <c:v>46.4</c:v>
                </c:pt>
                <c:pt idx="17">
                  <c:v>68</c:v>
                </c:pt>
                <c:pt idx="18">
                  <c:v>100</c:v>
                </c:pt>
              </c:numCache>
            </c:numRef>
          </c:xVal>
          <c:yVal>
            <c:numRef>
              <c:f>'Processed Data'!$R$5:$R$23</c:f>
              <c:numCache>
                <c:formatCode>0.000</c:formatCode>
                <c:ptCount val="19"/>
                <c:pt idx="0">
                  <c:v>15.760260000000001</c:v>
                </c:pt>
                <c:pt idx="1">
                  <c:v>16.85425</c:v>
                </c:pt>
                <c:pt idx="2">
                  <c:v>18.297920000000001</c:v>
                </c:pt>
                <c:pt idx="3">
                  <c:v>20.205469999999998</c:v>
                </c:pt>
                <c:pt idx="4">
                  <c:v>22.499320000000001</c:v>
                </c:pt>
                <c:pt idx="5">
                  <c:v>25.484500000000001</c:v>
                </c:pt>
                <c:pt idx="6">
                  <c:v>28.851299999999998</c:v>
                </c:pt>
                <c:pt idx="7">
                  <c:v>33.267859999999999</c:v>
                </c:pt>
                <c:pt idx="8">
                  <c:v>38.645040000000002</c:v>
                </c:pt>
                <c:pt idx="9">
                  <c:v>45.243940000000002</c:v>
                </c:pt>
                <c:pt idx="10">
                  <c:v>53.181100000000001</c:v>
                </c:pt>
                <c:pt idx="11">
                  <c:v>71.378810000000001</c:v>
                </c:pt>
                <c:pt idx="12">
                  <c:v>83.854939999999999</c:v>
                </c:pt>
                <c:pt idx="13">
                  <c:v>97.681889999999996</c:v>
                </c:pt>
                <c:pt idx="14">
                  <c:v>116.0951</c:v>
                </c:pt>
                <c:pt idx="15">
                  <c:v>137.6859</c:v>
                </c:pt>
                <c:pt idx="16">
                  <c:v>159.84639999999999</c:v>
                </c:pt>
                <c:pt idx="17">
                  <c:v>192.13980000000001</c:v>
                </c:pt>
                <c:pt idx="18">
                  <c:v>219.71180000000001</c:v>
                </c:pt>
              </c:numCache>
            </c:numRef>
          </c:yVal>
          <c:smooth val="0"/>
        </c:ser>
        <c:ser>
          <c:idx val="6"/>
          <c:order val="6"/>
          <c:tx>
            <c:v>90 C</c:v>
          </c:tx>
          <c:spPr>
            <a:ln w="28575">
              <a:noFill/>
            </a:ln>
          </c:spPr>
          <c:marker>
            <c:symbol val="diamond"/>
            <c:size val="4"/>
          </c:marker>
          <c:xVal>
            <c:numRef>
              <c:f>'Processed Data'!$A$5:$A$23</c:f>
              <c:numCache>
                <c:formatCode>0.00</c:formatCode>
                <c:ptCount val="19"/>
                <c:pt idx="0">
                  <c:v>0.1</c:v>
                </c:pt>
                <c:pt idx="1">
                  <c:v>0.15</c:v>
                </c:pt>
                <c:pt idx="2">
                  <c:v>0.22</c:v>
                </c:pt>
                <c:pt idx="3">
                  <c:v>0.32</c:v>
                </c:pt>
                <c:pt idx="4">
                  <c:v>0.46</c:v>
                </c:pt>
                <c:pt idx="5">
                  <c:v>0.68</c:v>
                </c:pt>
                <c:pt idx="6">
                  <c:v>1</c:v>
                </c:pt>
                <c:pt idx="7">
                  <c:v>1.5</c:v>
                </c:pt>
                <c:pt idx="8">
                  <c:v>2.2000000000000002</c:v>
                </c:pt>
                <c:pt idx="9">
                  <c:v>3.2</c:v>
                </c:pt>
                <c:pt idx="10">
                  <c:v>4.5999999999999996</c:v>
                </c:pt>
                <c:pt idx="11">
                  <c:v>6.8</c:v>
                </c:pt>
                <c:pt idx="12">
                  <c:v>10</c:v>
                </c:pt>
                <c:pt idx="13">
                  <c:v>14.6</c:v>
                </c:pt>
                <c:pt idx="14">
                  <c:v>21.5</c:v>
                </c:pt>
                <c:pt idx="15">
                  <c:v>31.6</c:v>
                </c:pt>
                <c:pt idx="16">
                  <c:v>46.4</c:v>
                </c:pt>
                <c:pt idx="17">
                  <c:v>68</c:v>
                </c:pt>
                <c:pt idx="18">
                  <c:v>100</c:v>
                </c:pt>
              </c:numCache>
            </c:numRef>
          </c:xVal>
          <c:yVal>
            <c:numRef>
              <c:f>'Processed Data'!$U$5:$U$23</c:f>
              <c:numCache>
                <c:formatCode>0.000</c:formatCode>
                <c:ptCount val="19"/>
                <c:pt idx="0">
                  <c:v>12.72977</c:v>
                </c:pt>
                <c:pt idx="1">
                  <c:v>13.23512</c:v>
                </c:pt>
                <c:pt idx="2">
                  <c:v>13.8683</c:v>
                </c:pt>
                <c:pt idx="3">
                  <c:v>14.694319999999999</c:v>
                </c:pt>
                <c:pt idx="4">
                  <c:v>15.627800000000001</c:v>
                </c:pt>
                <c:pt idx="5">
                  <c:v>16.794060000000002</c:v>
                </c:pt>
                <c:pt idx="6">
                  <c:v>18.04196</c:v>
                </c:pt>
                <c:pt idx="7">
                  <c:v>19.574839999999998</c:v>
                </c:pt>
                <c:pt idx="8">
                  <c:v>21.40222</c:v>
                </c:pt>
                <c:pt idx="9">
                  <c:v>23.618490000000001</c:v>
                </c:pt>
                <c:pt idx="10">
                  <c:v>26.281099999999999</c:v>
                </c:pt>
                <c:pt idx="11">
                  <c:v>29.867999999999999</c:v>
                </c:pt>
                <c:pt idx="12">
                  <c:v>34.3065</c:v>
                </c:pt>
                <c:pt idx="13">
                  <c:v>39.740299999999998</c:v>
                </c:pt>
                <c:pt idx="14">
                  <c:v>47.036020000000001</c:v>
                </c:pt>
                <c:pt idx="15">
                  <c:v>56.865499999999997</c:v>
                </c:pt>
                <c:pt idx="16">
                  <c:v>66.214699999999993</c:v>
                </c:pt>
                <c:pt idx="17">
                  <c:v>82.694180000000003</c:v>
                </c:pt>
                <c:pt idx="18">
                  <c:v>93.186419999999998</c:v>
                </c:pt>
              </c:numCache>
            </c:numRef>
          </c:yVal>
          <c:smooth val="0"/>
        </c:ser>
        <c:ser>
          <c:idx val="7"/>
          <c:order val="7"/>
          <c:tx>
            <c:v>95 C</c:v>
          </c:tx>
          <c:spPr>
            <a:ln w="28575">
              <a:noFill/>
            </a:ln>
          </c:spPr>
          <c:marker>
            <c:symbol val="square"/>
            <c:size val="4"/>
          </c:marker>
          <c:xVal>
            <c:numRef>
              <c:f>'Processed Data'!$A$5:$A$23</c:f>
              <c:numCache>
                <c:formatCode>0.00</c:formatCode>
                <c:ptCount val="19"/>
                <c:pt idx="0">
                  <c:v>0.1</c:v>
                </c:pt>
                <c:pt idx="1">
                  <c:v>0.15</c:v>
                </c:pt>
                <c:pt idx="2">
                  <c:v>0.22</c:v>
                </c:pt>
                <c:pt idx="3">
                  <c:v>0.32</c:v>
                </c:pt>
                <c:pt idx="4">
                  <c:v>0.46</c:v>
                </c:pt>
                <c:pt idx="5">
                  <c:v>0.68</c:v>
                </c:pt>
                <c:pt idx="6">
                  <c:v>1</c:v>
                </c:pt>
                <c:pt idx="7">
                  <c:v>1.5</c:v>
                </c:pt>
                <c:pt idx="8">
                  <c:v>2.2000000000000002</c:v>
                </c:pt>
                <c:pt idx="9">
                  <c:v>3.2</c:v>
                </c:pt>
                <c:pt idx="10">
                  <c:v>4.5999999999999996</c:v>
                </c:pt>
                <c:pt idx="11">
                  <c:v>6.8</c:v>
                </c:pt>
                <c:pt idx="12">
                  <c:v>10</c:v>
                </c:pt>
                <c:pt idx="13">
                  <c:v>14.6</c:v>
                </c:pt>
                <c:pt idx="14">
                  <c:v>21.5</c:v>
                </c:pt>
                <c:pt idx="15">
                  <c:v>31.6</c:v>
                </c:pt>
                <c:pt idx="16">
                  <c:v>46.4</c:v>
                </c:pt>
                <c:pt idx="17">
                  <c:v>68</c:v>
                </c:pt>
                <c:pt idx="18">
                  <c:v>100</c:v>
                </c:pt>
              </c:numCache>
            </c:numRef>
          </c:xVal>
          <c:yVal>
            <c:numRef>
              <c:f>'Processed Data'!$X$5:$X$23</c:f>
              <c:numCache>
                <c:formatCode>0.000</c:formatCode>
                <c:ptCount val="19"/>
                <c:pt idx="0">
                  <c:v>10.840529999999999</c:v>
                </c:pt>
                <c:pt idx="1">
                  <c:v>11.172079999999999</c:v>
                </c:pt>
                <c:pt idx="2">
                  <c:v>11.54082</c:v>
                </c:pt>
                <c:pt idx="3">
                  <c:v>12.055260000000001</c:v>
                </c:pt>
                <c:pt idx="4">
                  <c:v>12.625249999999999</c:v>
                </c:pt>
                <c:pt idx="5">
                  <c:v>13.29208</c:v>
                </c:pt>
                <c:pt idx="6">
                  <c:v>13.949859999999999</c:v>
                </c:pt>
                <c:pt idx="7">
                  <c:v>14.71692</c:v>
                </c:pt>
                <c:pt idx="8">
                  <c:v>15.57686</c:v>
                </c:pt>
                <c:pt idx="9">
                  <c:v>16.568660000000001</c:v>
                </c:pt>
                <c:pt idx="10">
                  <c:v>17.71621</c:v>
                </c:pt>
                <c:pt idx="11">
                  <c:v>19.217590000000001</c:v>
                </c:pt>
                <c:pt idx="12">
                  <c:v>21.028659999999999</c:v>
                </c:pt>
                <c:pt idx="13">
                  <c:v>23.16968</c:v>
                </c:pt>
                <c:pt idx="14">
                  <c:v>26.229649999999999</c:v>
                </c:pt>
                <c:pt idx="15">
                  <c:v>30.73208</c:v>
                </c:pt>
                <c:pt idx="16">
                  <c:v>33.46902</c:v>
                </c:pt>
                <c:pt idx="17">
                  <c:v>41.88494</c:v>
                </c:pt>
                <c:pt idx="18">
                  <c:v>42.713520000000003</c:v>
                </c:pt>
              </c:numCache>
            </c:numRef>
          </c:yVal>
          <c:smooth val="0"/>
        </c:ser>
        <c:ser>
          <c:idx val="8"/>
          <c:order val="8"/>
          <c:tx>
            <c:v>100 C</c:v>
          </c:tx>
          <c:spPr>
            <a:ln w="28575">
              <a:noFill/>
            </a:ln>
          </c:spPr>
          <c:marker>
            <c:symbol val="square"/>
            <c:size val="4"/>
          </c:marker>
          <c:xVal>
            <c:numRef>
              <c:f>'Processed Data'!$A$5:$A$23</c:f>
              <c:numCache>
                <c:formatCode>0.00</c:formatCode>
                <c:ptCount val="19"/>
                <c:pt idx="0">
                  <c:v>0.1</c:v>
                </c:pt>
                <c:pt idx="1">
                  <c:v>0.15</c:v>
                </c:pt>
                <c:pt idx="2">
                  <c:v>0.22</c:v>
                </c:pt>
                <c:pt idx="3">
                  <c:v>0.32</c:v>
                </c:pt>
                <c:pt idx="4">
                  <c:v>0.46</c:v>
                </c:pt>
                <c:pt idx="5">
                  <c:v>0.68</c:v>
                </c:pt>
                <c:pt idx="6">
                  <c:v>1</c:v>
                </c:pt>
                <c:pt idx="7">
                  <c:v>1.5</c:v>
                </c:pt>
                <c:pt idx="8">
                  <c:v>2.2000000000000002</c:v>
                </c:pt>
                <c:pt idx="9">
                  <c:v>3.2</c:v>
                </c:pt>
                <c:pt idx="10">
                  <c:v>4.5999999999999996</c:v>
                </c:pt>
                <c:pt idx="11">
                  <c:v>6.8</c:v>
                </c:pt>
                <c:pt idx="12">
                  <c:v>10</c:v>
                </c:pt>
                <c:pt idx="13">
                  <c:v>14.6</c:v>
                </c:pt>
                <c:pt idx="14">
                  <c:v>21.5</c:v>
                </c:pt>
                <c:pt idx="15">
                  <c:v>31.6</c:v>
                </c:pt>
                <c:pt idx="16">
                  <c:v>46.4</c:v>
                </c:pt>
                <c:pt idx="17">
                  <c:v>68</c:v>
                </c:pt>
                <c:pt idx="18">
                  <c:v>100</c:v>
                </c:pt>
              </c:numCache>
            </c:numRef>
          </c:xVal>
          <c:yVal>
            <c:numRef>
              <c:f>'Processed Data'!$AA$5:$AA$23</c:f>
              <c:numCache>
                <c:formatCode>0.000000</c:formatCode>
                <c:ptCount val="19"/>
                <c:pt idx="0">
                  <c:v>9.2533480000000008</c:v>
                </c:pt>
                <c:pt idx="1">
                  <c:v>9.5517459999999996</c:v>
                </c:pt>
                <c:pt idx="2">
                  <c:v>9.8949809999999996</c:v>
                </c:pt>
                <c:pt idx="3">
                  <c:v>10.31288</c:v>
                </c:pt>
                <c:pt idx="4">
                  <c:v>10.75249</c:v>
                </c:pt>
                <c:pt idx="5">
                  <c:v>11.24316</c:v>
                </c:pt>
                <c:pt idx="6">
                  <c:v>11.70074</c:v>
                </c:pt>
                <c:pt idx="7">
                  <c:v>12.21129</c:v>
                </c:pt>
                <c:pt idx="8">
                  <c:v>12.753500000000001</c:v>
                </c:pt>
                <c:pt idx="9">
                  <c:v>13.34796</c:v>
                </c:pt>
                <c:pt idx="10">
                  <c:v>14.00217</c:v>
                </c:pt>
                <c:pt idx="11">
                  <c:v>14.81527</c:v>
                </c:pt>
                <c:pt idx="12">
                  <c:v>15.74677</c:v>
                </c:pt>
                <c:pt idx="13">
                  <c:v>16.791910000000001</c:v>
                </c:pt>
                <c:pt idx="14">
                  <c:v>18.40692</c:v>
                </c:pt>
                <c:pt idx="15">
                  <c:v>21.012599999999999</c:v>
                </c:pt>
                <c:pt idx="16">
                  <c:v>21.310020000000002</c:v>
                </c:pt>
                <c:pt idx="17">
                  <c:v>26.674689999999998</c:v>
                </c:pt>
                <c:pt idx="18">
                  <c:v>23.490760000000002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35872"/>
        <c:axId val="139537792"/>
      </c:scatterChart>
      <c:valAx>
        <c:axId val="139535872"/>
        <c:scaling>
          <c:logBase val="10"/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Frequency (Hz)</a:t>
                </a:r>
              </a:p>
            </c:rich>
          </c:tx>
          <c:layout/>
          <c:overlay val="0"/>
        </c:title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139537792"/>
        <c:crosses val="autoZero"/>
        <c:crossBetween val="midCat"/>
      </c:valAx>
      <c:valAx>
        <c:axId val="139537792"/>
        <c:scaling>
          <c:logBase val="10"/>
          <c:orientation val="minMax"/>
          <c:min val="7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en-US" sz="1400"/>
                  <a:t>Storage Modulus, E'</a:t>
                </a:r>
                <a:r>
                  <a:rPr lang="en-US" sz="1400" baseline="0"/>
                  <a:t> </a:t>
                </a:r>
                <a:r>
                  <a:rPr lang="en-US" sz="1400"/>
                  <a:t> (Mpa)</a:t>
                </a:r>
              </a:p>
            </c:rich>
          </c:tx>
          <c:layout/>
          <c:overlay val="0"/>
        </c:title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139535872"/>
        <c:crossesAt val="1.0000000000000002E-2"/>
        <c:crossBetween val="midCat"/>
      </c:valAx>
    </c:plotArea>
    <c:legend>
      <c:legendPos val="r"/>
      <c:layout/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Loss Modulus</a:t>
            </a:r>
          </a:p>
        </c:rich>
      </c:tx>
      <c:layout>
        <c:manualLayout>
          <c:xMode val="edge"/>
          <c:yMode val="edge"/>
          <c:x val="0.41879629629629628"/>
          <c:y val="6.2861869313482213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2587553094850831"/>
          <c:y val="2.315246888278881E-2"/>
          <c:w val="0.72020559930008754"/>
          <c:h val="0.81986319891831716"/>
        </c:manualLayout>
      </c:layout>
      <c:scatterChart>
        <c:scatterStyle val="lineMarker"/>
        <c:varyColors val="0"/>
        <c:ser>
          <c:idx val="0"/>
          <c:order val="0"/>
          <c:tx>
            <c:v>60 C</c:v>
          </c:tx>
          <c:spPr>
            <a:ln w="28575">
              <a:noFill/>
            </a:ln>
          </c:spPr>
          <c:marker>
            <c:symbol val="diamond"/>
            <c:size val="4"/>
          </c:marker>
          <c:xVal>
            <c:numRef>
              <c:f>'Processed Data'!$A$5:$A$23</c:f>
              <c:numCache>
                <c:formatCode>0.00</c:formatCode>
                <c:ptCount val="19"/>
                <c:pt idx="0">
                  <c:v>0.1</c:v>
                </c:pt>
                <c:pt idx="1">
                  <c:v>0.15</c:v>
                </c:pt>
                <c:pt idx="2">
                  <c:v>0.22</c:v>
                </c:pt>
                <c:pt idx="3">
                  <c:v>0.32</c:v>
                </c:pt>
                <c:pt idx="4">
                  <c:v>0.46</c:v>
                </c:pt>
                <c:pt idx="5">
                  <c:v>0.68</c:v>
                </c:pt>
                <c:pt idx="6">
                  <c:v>1</c:v>
                </c:pt>
                <c:pt idx="7">
                  <c:v>1.5</c:v>
                </c:pt>
                <c:pt idx="8">
                  <c:v>2.2000000000000002</c:v>
                </c:pt>
                <c:pt idx="9">
                  <c:v>3.2</c:v>
                </c:pt>
                <c:pt idx="10">
                  <c:v>4.5999999999999996</c:v>
                </c:pt>
                <c:pt idx="11">
                  <c:v>6.8</c:v>
                </c:pt>
                <c:pt idx="12">
                  <c:v>10</c:v>
                </c:pt>
                <c:pt idx="13">
                  <c:v>14.6</c:v>
                </c:pt>
                <c:pt idx="14">
                  <c:v>21.5</c:v>
                </c:pt>
                <c:pt idx="15">
                  <c:v>31.6</c:v>
                </c:pt>
                <c:pt idx="16">
                  <c:v>46.4</c:v>
                </c:pt>
                <c:pt idx="17">
                  <c:v>68</c:v>
                </c:pt>
                <c:pt idx="18">
                  <c:v>100</c:v>
                </c:pt>
              </c:numCache>
            </c:numRef>
          </c:xVal>
          <c:yVal>
            <c:numRef>
              <c:f>'Processed Data'!$D$5:$D$23</c:f>
              <c:numCache>
                <c:formatCode>0.000</c:formatCode>
                <c:ptCount val="19"/>
                <c:pt idx="0">
                  <c:v>165.08750000000001</c:v>
                </c:pt>
                <c:pt idx="1">
                  <c:v>156.98939999999999</c:v>
                </c:pt>
                <c:pt idx="2">
                  <c:v>150.10900000000001</c:v>
                </c:pt>
                <c:pt idx="3">
                  <c:v>144.10390000000001</c:v>
                </c:pt>
                <c:pt idx="4">
                  <c:v>139.5181</c:v>
                </c:pt>
                <c:pt idx="5">
                  <c:v>135.33320000000001</c:v>
                </c:pt>
                <c:pt idx="6">
                  <c:v>132.15129999999999</c:v>
                </c:pt>
                <c:pt idx="7">
                  <c:v>129.7192</c:v>
                </c:pt>
                <c:pt idx="8">
                  <c:v>127.6752</c:v>
                </c:pt>
                <c:pt idx="9">
                  <c:v>126.1464</c:v>
                </c:pt>
                <c:pt idx="10">
                  <c:v>125.2085</c:v>
                </c:pt>
                <c:pt idx="11">
                  <c:v>124.25830000000001</c:v>
                </c:pt>
                <c:pt idx="12">
                  <c:v>123.883</c:v>
                </c:pt>
                <c:pt idx="13">
                  <c:v>124.0275</c:v>
                </c:pt>
                <c:pt idx="14">
                  <c:v>124.8627</c:v>
                </c:pt>
                <c:pt idx="15">
                  <c:v>125.6211</c:v>
                </c:pt>
                <c:pt idx="16">
                  <c:v>124.6859</c:v>
                </c:pt>
                <c:pt idx="17">
                  <c:v>125.4066</c:v>
                </c:pt>
                <c:pt idx="18">
                  <c:v>128.73769999999999</c:v>
                </c:pt>
              </c:numCache>
            </c:numRef>
          </c:yVal>
          <c:smooth val="0"/>
        </c:ser>
        <c:ser>
          <c:idx val="1"/>
          <c:order val="1"/>
          <c:tx>
            <c:v>65 C</c:v>
          </c:tx>
          <c:spPr>
            <a:ln w="28575">
              <a:noFill/>
            </a:ln>
          </c:spPr>
          <c:marker>
            <c:symbol val="square"/>
            <c:size val="4"/>
          </c:marker>
          <c:xVal>
            <c:numRef>
              <c:f>'Processed Data'!$A$5:$A$23</c:f>
              <c:numCache>
                <c:formatCode>0.00</c:formatCode>
                <c:ptCount val="19"/>
                <c:pt idx="0">
                  <c:v>0.1</c:v>
                </c:pt>
                <c:pt idx="1">
                  <c:v>0.15</c:v>
                </c:pt>
                <c:pt idx="2">
                  <c:v>0.22</c:v>
                </c:pt>
                <c:pt idx="3">
                  <c:v>0.32</c:v>
                </c:pt>
                <c:pt idx="4">
                  <c:v>0.46</c:v>
                </c:pt>
                <c:pt idx="5">
                  <c:v>0.68</c:v>
                </c:pt>
                <c:pt idx="6">
                  <c:v>1</c:v>
                </c:pt>
                <c:pt idx="7">
                  <c:v>1.5</c:v>
                </c:pt>
                <c:pt idx="8">
                  <c:v>2.2000000000000002</c:v>
                </c:pt>
                <c:pt idx="9">
                  <c:v>3.2</c:v>
                </c:pt>
                <c:pt idx="10">
                  <c:v>4.5999999999999996</c:v>
                </c:pt>
                <c:pt idx="11">
                  <c:v>6.8</c:v>
                </c:pt>
                <c:pt idx="12">
                  <c:v>10</c:v>
                </c:pt>
                <c:pt idx="13">
                  <c:v>14.6</c:v>
                </c:pt>
                <c:pt idx="14">
                  <c:v>21.5</c:v>
                </c:pt>
                <c:pt idx="15">
                  <c:v>31.6</c:v>
                </c:pt>
                <c:pt idx="16">
                  <c:v>46.4</c:v>
                </c:pt>
                <c:pt idx="17">
                  <c:v>68</c:v>
                </c:pt>
                <c:pt idx="18">
                  <c:v>100</c:v>
                </c:pt>
              </c:numCache>
            </c:numRef>
          </c:xVal>
          <c:yVal>
            <c:numRef>
              <c:f>'Processed Data'!$G$5:$G$23</c:f>
              <c:numCache>
                <c:formatCode>0.000</c:formatCode>
                <c:ptCount val="19"/>
                <c:pt idx="0">
                  <c:v>219.5368</c:v>
                </c:pt>
                <c:pt idx="1">
                  <c:v>214.2122</c:v>
                </c:pt>
                <c:pt idx="2">
                  <c:v>208.65209999999999</c:v>
                </c:pt>
                <c:pt idx="3">
                  <c:v>203.24809999999999</c:v>
                </c:pt>
                <c:pt idx="4">
                  <c:v>198.69669999999999</c:v>
                </c:pt>
                <c:pt idx="5">
                  <c:v>193.91489999999999</c:v>
                </c:pt>
                <c:pt idx="6">
                  <c:v>189.76089999999999</c:v>
                </c:pt>
                <c:pt idx="7">
                  <c:v>186.58260000000001</c:v>
                </c:pt>
                <c:pt idx="8">
                  <c:v>183.15180000000001</c:v>
                </c:pt>
                <c:pt idx="9">
                  <c:v>179.56540000000001</c:v>
                </c:pt>
                <c:pt idx="10">
                  <c:v>177.8973</c:v>
                </c:pt>
                <c:pt idx="11">
                  <c:v>175.7621</c:v>
                </c:pt>
                <c:pt idx="12">
                  <c:v>174.24879999999999</c:v>
                </c:pt>
                <c:pt idx="13">
                  <c:v>172.90360000000001</c:v>
                </c:pt>
                <c:pt idx="14">
                  <c:v>172.41560000000001</c:v>
                </c:pt>
                <c:pt idx="15">
                  <c:v>171.94540000000001</c:v>
                </c:pt>
                <c:pt idx="16">
                  <c:v>170.9248</c:v>
                </c:pt>
                <c:pt idx="17">
                  <c:v>169.36510000000001</c:v>
                </c:pt>
                <c:pt idx="18">
                  <c:v>171.3306</c:v>
                </c:pt>
              </c:numCache>
            </c:numRef>
          </c:yVal>
          <c:smooth val="0"/>
        </c:ser>
        <c:ser>
          <c:idx val="2"/>
          <c:order val="2"/>
          <c:tx>
            <c:v>70 C</c:v>
          </c:tx>
          <c:spPr>
            <a:ln w="28575">
              <a:noFill/>
            </a:ln>
          </c:spPr>
          <c:marker>
            <c:symbol val="diamond"/>
            <c:size val="4"/>
          </c:marker>
          <c:xVal>
            <c:numRef>
              <c:f>'Processed Data'!$A$5:$A$23</c:f>
              <c:numCache>
                <c:formatCode>0.00</c:formatCode>
                <c:ptCount val="19"/>
                <c:pt idx="0">
                  <c:v>0.1</c:v>
                </c:pt>
                <c:pt idx="1">
                  <c:v>0.15</c:v>
                </c:pt>
                <c:pt idx="2">
                  <c:v>0.22</c:v>
                </c:pt>
                <c:pt idx="3">
                  <c:v>0.32</c:v>
                </c:pt>
                <c:pt idx="4">
                  <c:v>0.46</c:v>
                </c:pt>
                <c:pt idx="5">
                  <c:v>0.68</c:v>
                </c:pt>
                <c:pt idx="6">
                  <c:v>1</c:v>
                </c:pt>
                <c:pt idx="7">
                  <c:v>1.5</c:v>
                </c:pt>
                <c:pt idx="8">
                  <c:v>2.2000000000000002</c:v>
                </c:pt>
                <c:pt idx="9">
                  <c:v>3.2</c:v>
                </c:pt>
                <c:pt idx="10">
                  <c:v>4.5999999999999996</c:v>
                </c:pt>
                <c:pt idx="11">
                  <c:v>6.8</c:v>
                </c:pt>
                <c:pt idx="12">
                  <c:v>10</c:v>
                </c:pt>
                <c:pt idx="13">
                  <c:v>14.6</c:v>
                </c:pt>
                <c:pt idx="14">
                  <c:v>21.5</c:v>
                </c:pt>
                <c:pt idx="15">
                  <c:v>31.6</c:v>
                </c:pt>
                <c:pt idx="16">
                  <c:v>46.4</c:v>
                </c:pt>
                <c:pt idx="17">
                  <c:v>68</c:v>
                </c:pt>
                <c:pt idx="18">
                  <c:v>100</c:v>
                </c:pt>
              </c:numCache>
            </c:numRef>
          </c:xVal>
          <c:yVal>
            <c:numRef>
              <c:f>'Processed Data'!$J$5:$J$23</c:f>
              <c:numCache>
                <c:formatCode>0.000</c:formatCode>
                <c:ptCount val="19"/>
                <c:pt idx="0">
                  <c:v>200.56100000000001</c:v>
                </c:pt>
                <c:pt idx="1">
                  <c:v>194.85659999999999</c:v>
                </c:pt>
                <c:pt idx="2">
                  <c:v>195.88669999999999</c:v>
                </c:pt>
                <c:pt idx="3">
                  <c:v>198.8818</c:v>
                </c:pt>
                <c:pt idx="4">
                  <c:v>201.3202</c:v>
                </c:pt>
                <c:pt idx="5">
                  <c:v>203.14150000000001</c:v>
                </c:pt>
                <c:pt idx="6">
                  <c:v>204.6474</c:v>
                </c:pt>
                <c:pt idx="7">
                  <c:v>205.49760000000001</c:v>
                </c:pt>
                <c:pt idx="8">
                  <c:v>205.53380000000001</c:v>
                </c:pt>
                <c:pt idx="9">
                  <c:v>205.13499999999999</c:v>
                </c:pt>
                <c:pt idx="10">
                  <c:v>204.43870000000001</c:v>
                </c:pt>
                <c:pt idx="11">
                  <c:v>203.3218</c:v>
                </c:pt>
                <c:pt idx="12">
                  <c:v>202.2379</c:v>
                </c:pt>
                <c:pt idx="13">
                  <c:v>201.18299999999999</c:v>
                </c:pt>
                <c:pt idx="14">
                  <c:v>200.12530000000001</c:v>
                </c:pt>
                <c:pt idx="15">
                  <c:v>199.3049</c:v>
                </c:pt>
                <c:pt idx="16">
                  <c:v>197.4299</c:v>
                </c:pt>
                <c:pt idx="17">
                  <c:v>195.29759999999999</c:v>
                </c:pt>
                <c:pt idx="18">
                  <c:v>195.6062</c:v>
                </c:pt>
              </c:numCache>
            </c:numRef>
          </c:yVal>
          <c:smooth val="0"/>
        </c:ser>
        <c:ser>
          <c:idx val="3"/>
          <c:order val="3"/>
          <c:tx>
            <c:v>75 C</c:v>
          </c:tx>
          <c:spPr>
            <a:ln w="28575">
              <a:noFill/>
            </a:ln>
          </c:spPr>
          <c:marker>
            <c:symbol val="diamond"/>
            <c:size val="4"/>
          </c:marker>
          <c:xVal>
            <c:numRef>
              <c:f>'Processed Data'!$A$5:$A$23</c:f>
              <c:numCache>
                <c:formatCode>0.00</c:formatCode>
                <c:ptCount val="19"/>
                <c:pt idx="0">
                  <c:v>0.1</c:v>
                </c:pt>
                <c:pt idx="1">
                  <c:v>0.15</c:v>
                </c:pt>
                <c:pt idx="2">
                  <c:v>0.22</c:v>
                </c:pt>
                <c:pt idx="3">
                  <c:v>0.32</c:v>
                </c:pt>
                <c:pt idx="4">
                  <c:v>0.46</c:v>
                </c:pt>
                <c:pt idx="5">
                  <c:v>0.68</c:v>
                </c:pt>
                <c:pt idx="6">
                  <c:v>1</c:v>
                </c:pt>
                <c:pt idx="7">
                  <c:v>1.5</c:v>
                </c:pt>
                <c:pt idx="8">
                  <c:v>2.2000000000000002</c:v>
                </c:pt>
                <c:pt idx="9">
                  <c:v>3.2</c:v>
                </c:pt>
                <c:pt idx="10">
                  <c:v>4.5999999999999996</c:v>
                </c:pt>
                <c:pt idx="11">
                  <c:v>6.8</c:v>
                </c:pt>
                <c:pt idx="12">
                  <c:v>10</c:v>
                </c:pt>
                <c:pt idx="13">
                  <c:v>14.6</c:v>
                </c:pt>
                <c:pt idx="14">
                  <c:v>21.5</c:v>
                </c:pt>
                <c:pt idx="15">
                  <c:v>31.6</c:v>
                </c:pt>
                <c:pt idx="16">
                  <c:v>46.4</c:v>
                </c:pt>
                <c:pt idx="17">
                  <c:v>68</c:v>
                </c:pt>
                <c:pt idx="18">
                  <c:v>100</c:v>
                </c:pt>
              </c:numCache>
            </c:numRef>
          </c:xVal>
          <c:yVal>
            <c:numRef>
              <c:f>'Processed Data'!$M$5:$M$23</c:f>
              <c:numCache>
                <c:formatCode>0.000</c:formatCode>
                <c:ptCount val="19"/>
                <c:pt idx="0">
                  <c:v>77.794880000000006</c:v>
                </c:pt>
                <c:pt idx="1">
                  <c:v>88.576490000000007</c:v>
                </c:pt>
                <c:pt idx="2">
                  <c:v>99.651840000000007</c:v>
                </c:pt>
                <c:pt idx="3">
                  <c:v>112.31480000000001</c:v>
                </c:pt>
                <c:pt idx="4">
                  <c:v>124.90009999999999</c:v>
                </c:pt>
                <c:pt idx="5">
                  <c:v>137.9513</c:v>
                </c:pt>
                <c:pt idx="6">
                  <c:v>149.97290000000001</c:v>
                </c:pt>
                <c:pt idx="7">
                  <c:v>162.28559999999999</c:v>
                </c:pt>
                <c:pt idx="8">
                  <c:v>172.8466</c:v>
                </c:pt>
                <c:pt idx="9">
                  <c:v>182.34350000000001</c:v>
                </c:pt>
                <c:pt idx="10">
                  <c:v>190.55709999999999</c:v>
                </c:pt>
                <c:pt idx="11">
                  <c:v>198.3502</c:v>
                </c:pt>
                <c:pt idx="12">
                  <c:v>205.17660000000001</c:v>
                </c:pt>
                <c:pt idx="13">
                  <c:v>210.61160000000001</c:v>
                </c:pt>
                <c:pt idx="14">
                  <c:v>215.63839999999999</c:v>
                </c:pt>
                <c:pt idx="15">
                  <c:v>219.5342</c:v>
                </c:pt>
                <c:pt idx="16">
                  <c:v>220.78319999999999</c:v>
                </c:pt>
                <c:pt idx="17">
                  <c:v>222.10560000000001</c:v>
                </c:pt>
                <c:pt idx="18">
                  <c:v>224.6848</c:v>
                </c:pt>
              </c:numCache>
            </c:numRef>
          </c:yVal>
          <c:smooth val="0"/>
        </c:ser>
        <c:ser>
          <c:idx val="4"/>
          <c:order val="4"/>
          <c:tx>
            <c:v>80 C</c:v>
          </c:tx>
          <c:spPr>
            <a:ln w="28575">
              <a:noFill/>
            </a:ln>
          </c:spPr>
          <c:marker>
            <c:symbol val="square"/>
            <c:size val="4"/>
          </c:marker>
          <c:xVal>
            <c:numRef>
              <c:f>'Processed Data'!$A$5:$A$23</c:f>
              <c:numCache>
                <c:formatCode>0.00</c:formatCode>
                <c:ptCount val="19"/>
                <c:pt idx="0">
                  <c:v>0.1</c:v>
                </c:pt>
                <c:pt idx="1">
                  <c:v>0.15</c:v>
                </c:pt>
                <c:pt idx="2">
                  <c:v>0.22</c:v>
                </c:pt>
                <c:pt idx="3">
                  <c:v>0.32</c:v>
                </c:pt>
                <c:pt idx="4">
                  <c:v>0.46</c:v>
                </c:pt>
                <c:pt idx="5">
                  <c:v>0.68</c:v>
                </c:pt>
                <c:pt idx="6">
                  <c:v>1</c:v>
                </c:pt>
                <c:pt idx="7">
                  <c:v>1.5</c:v>
                </c:pt>
                <c:pt idx="8">
                  <c:v>2.2000000000000002</c:v>
                </c:pt>
                <c:pt idx="9">
                  <c:v>3.2</c:v>
                </c:pt>
                <c:pt idx="10">
                  <c:v>4.5999999999999996</c:v>
                </c:pt>
                <c:pt idx="11">
                  <c:v>6.8</c:v>
                </c:pt>
                <c:pt idx="12">
                  <c:v>10</c:v>
                </c:pt>
                <c:pt idx="13">
                  <c:v>14.6</c:v>
                </c:pt>
                <c:pt idx="14">
                  <c:v>21.5</c:v>
                </c:pt>
                <c:pt idx="15">
                  <c:v>31.6</c:v>
                </c:pt>
                <c:pt idx="16">
                  <c:v>46.4</c:v>
                </c:pt>
                <c:pt idx="17">
                  <c:v>68</c:v>
                </c:pt>
                <c:pt idx="18">
                  <c:v>100</c:v>
                </c:pt>
              </c:numCache>
            </c:numRef>
          </c:xVal>
          <c:yVal>
            <c:numRef>
              <c:f>'Processed Data'!$P$5:$P$23</c:f>
              <c:numCache>
                <c:formatCode>0.000</c:formatCode>
                <c:ptCount val="19"/>
                <c:pt idx="0">
                  <c:v>19.190460000000002</c:v>
                </c:pt>
                <c:pt idx="1">
                  <c:v>22.786760000000001</c:v>
                </c:pt>
                <c:pt idx="2">
                  <c:v>27.979320000000001</c:v>
                </c:pt>
                <c:pt idx="3">
                  <c:v>34.702199999999998</c:v>
                </c:pt>
                <c:pt idx="4">
                  <c:v>42.382539999999999</c:v>
                </c:pt>
                <c:pt idx="5">
                  <c:v>51.809249999999999</c:v>
                </c:pt>
                <c:pt idx="6">
                  <c:v>61.88288</c:v>
                </c:pt>
                <c:pt idx="7">
                  <c:v>73.680109999999999</c:v>
                </c:pt>
                <c:pt idx="8">
                  <c:v>85.75788</c:v>
                </c:pt>
                <c:pt idx="9">
                  <c:v>98.420450000000002</c:v>
                </c:pt>
                <c:pt idx="10">
                  <c:v>111.2137</c:v>
                </c:pt>
                <c:pt idx="11">
                  <c:v>125.3484</c:v>
                </c:pt>
                <c:pt idx="12">
                  <c:v>139.40629999999999</c:v>
                </c:pt>
                <c:pt idx="13">
                  <c:v>153.0369</c:v>
                </c:pt>
                <c:pt idx="14">
                  <c:v>166.86959999999999</c:v>
                </c:pt>
                <c:pt idx="15">
                  <c:v>179.84540000000001</c:v>
                </c:pt>
                <c:pt idx="16">
                  <c:v>190.33090000000001</c:v>
                </c:pt>
                <c:pt idx="17">
                  <c:v>200.553</c:v>
                </c:pt>
                <c:pt idx="18">
                  <c:v>211.7791</c:v>
                </c:pt>
              </c:numCache>
            </c:numRef>
          </c:yVal>
          <c:smooth val="0"/>
        </c:ser>
        <c:ser>
          <c:idx val="5"/>
          <c:order val="5"/>
          <c:tx>
            <c:v>85 C</c:v>
          </c:tx>
          <c:spPr>
            <a:ln w="28575">
              <a:noFill/>
            </a:ln>
          </c:spPr>
          <c:marker>
            <c:symbol val="circle"/>
            <c:size val="4"/>
          </c:marker>
          <c:xVal>
            <c:numRef>
              <c:f>'Processed Data'!$A$5:$A$23</c:f>
              <c:numCache>
                <c:formatCode>0.00</c:formatCode>
                <c:ptCount val="19"/>
                <c:pt idx="0">
                  <c:v>0.1</c:v>
                </c:pt>
                <c:pt idx="1">
                  <c:v>0.15</c:v>
                </c:pt>
                <c:pt idx="2">
                  <c:v>0.22</c:v>
                </c:pt>
                <c:pt idx="3">
                  <c:v>0.32</c:v>
                </c:pt>
                <c:pt idx="4">
                  <c:v>0.46</c:v>
                </c:pt>
                <c:pt idx="5">
                  <c:v>0.68</c:v>
                </c:pt>
                <c:pt idx="6">
                  <c:v>1</c:v>
                </c:pt>
                <c:pt idx="7">
                  <c:v>1.5</c:v>
                </c:pt>
                <c:pt idx="8">
                  <c:v>2.2000000000000002</c:v>
                </c:pt>
                <c:pt idx="9">
                  <c:v>3.2</c:v>
                </c:pt>
                <c:pt idx="10">
                  <c:v>4.5999999999999996</c:v>
                </c:pt>
                <c:pt idx="11">
                  <c:v>6.8</c:v>
                </c:pt>
                <c:pt idx="12">
                  <c:v>10</c:v>
                </c:pt>
                <c:pt idx="13">
                  <c:v>14.6</c:v>
                </c:pt>
                <c:pt idx="14">
                  <c:v>21.5</c:v>
                </c:pt>
                <c:pt idx="15">
                  <c:v>31.6</c:v>
                </c:pt>
                <c:pt idx="16">
                  <c:v>46.4</c:v>
                </c:pt>
                <c:pt idx="17">
                  <c:v>68</c:v>
                </c:pt>
                <c:pt idx="18">
                  <c:v>100</c:v>
                </c:pt>
              </c:numCache>
            </c:numRef>
          </c:xVal>
          <c:yVal>
            <c:numRef>
              <c:f>'Processed Data'!$S$5:$S$23</c:f>
              <c:numCache>
                <c:formatCode>0.000</c:formatCode>
                <c:ptCount val="19"/>
                <c:pt idx="0">
                  <c:v>5.8354929999999996</c:v>
                </c:pt>
                <c:pt idx="1">
                  <c:v>6.9912520000000002</c:v>
                </c:pt>
                <c:pt idx="2">
                  <c:v>8.4394159999999996</c:v>
                </c:pt>
                <c:pt idx="3">
                  <c:v>10.434699999999999</c:v>
                </c:pt>
                <c:pt idx="4">
                  <c:v>12.89852</c:v>
                </c:pt>
                <c:pt idx="5">
                  <c:v>16.191189999999999</c:v>
                </c:pt>
                <c:pt idx="6">
                  <c:v>20.04044</c:v>
                </c:pt>
                <c:pt idx="7">
                  <c:v>25.031140000000001</c:v>
                </c:pt>
                <c:pt idx="8">
                  <c:v>30.78668</c:v>
                </c:pt>
                <c:pt idx="9">
                  <c:v>37.539099999999998</c:v>
                </c:pt>
                <c:pt idx="10">
                  <c:v>45.205889999999997</c:v>
                </c:pt>
                <c:pt idx="11">
                  <c:v>60.91469</c:v>
                </c:pt>
                <c:pt idx="12">
                  <c:v>70.977429999999998</c:v>
                </c:pt>
                <c:pt idx="13">
                  <c:v>81.462389999999999</c:v>
                </c:pt>
                <c:pt idx="14">
                  <c:v>94.334119999999999</c:v>
                </c:pt>
                <c:pt idx="15">
                  <c:v>107.71680000000001</c:v>
                </c:pt>
                <c:pt idx="16">
                  <c:v>120.6722</c:v>
                </c:pt>
                <c:pt idx="17">
                  <c:v>135.83459999999999</c:v>
                </c:pt>
                <c:pt idx="18">
                  <c:v>152.72120000000001</c:v>
                </c:pt>
              </c:numCache>
            </c:numRef>
          </c:yVal>
          <c:smooth val="0"/>
        </c:ser>
        <c:ser>
          <c:idx val="6"/>
          <c:order val="6"/>
          <c:tx>
            <c:v>90 C</c:v>
          </c:tx>
          <c:spPr>
            <a:ln w="28575">
              <a:noFill/>
            </a:ln>
          </c:spPr>
          <c:marker>
            <c:symbol val="diamond"/>
            <c:size val="4"/>
          </c:marker>
          <c:xVal>
            <c:numRef>
              <c:f>'Processed Data'!$A$5:$A$23</c:f>
              <c:numCache>
                <c:formatCode>0.00</c:formatCode>
                <c:ptCount val="19"/>
                <c:pt idx="0">
                  <c:v>0.1</c:v>
                </c:pt>
                <c:pt idx="1">
                  <c:v>0.15</c:v>
                </c:pt>
                <c:pt idx="2">
                  <c:v>0.22</c:v>
                </c:pt>
                <c:pt idx="3">
                  <c:v>0.32</c:v>
                </c:pt>
                <c:pt idx="4">
                  <c:v>0.46</c:v>
                </c:pt>
                <c:pt idx="5">
                  <c:v>0.68</c:v>
                </c:pt>
                <c:pt idx="6">
                  <c:v>1</c:v>
                </c:pt>
                <c:pt idx="7">
                  <c:v>1.5</c:v>
                </c:pt>
                <c:pt idx="8">
                  <c:v>2.2000000000000002</c:v>
                </c:pt>
                <c:pt idx="9">
                  <c:v>3.2</c:v>
                </c:pt>
                <c:pt idx="10">
                  <c:v>4.5999999999999996</c:v>
                </c:pt>
                <c:pt idx="11">
                  <c:v>6.8</c:v>
                </c:pt>
                <c:pt idx="12">
                  <c:v>10</c:v>
                </c:pt>
                <c:pt idx="13">
                  <c:v>14.6</c:v>
                </c:pt>
                <c:pt idx="14">
                  <c:v>21.5</c:v>
                </c:pt>
                <c:pt idx="15">
                  <c:v>31.6</c:v>
                </c:pt>
                <c:pt idx="16">
                  <c:v>46.4</c:v>
                </c:pt>
                <c:pt idx="17">
                  <c:v>68</c:v>
                </c:pt>
                <c:pt idx="18">
                  <c:v>100</c:v>
                </c:pt>
              </c:numCache>
            </c:numRef>
          </c:xVal>
          <c:yVal>
            <c:numRef>
              <c:f>'Processed Data'!$V$5:$V$23</c:f>
              <c:numCache>
                <c:formatCode>0.000</c:formatCode>
                <c:ptCount val="19"/>
                <c:pt idx="0">
                  <c:v>2.7742100000000001</c:v>
                </c:pt>
                <c:pt idx="1">
                  <c:v>3.129928</c:v>
                </c:pt>
                <c:pt idx="2">
                  <c:v>3.5810629999999999</c:v>
                </c:pt>
                <c:pt idx="3">
                  <c:v>4.2150499999999997</c:v>
                </c:pt>
                <c:pt idx="4">
                  <c:v>5.00739</c:v>
                </c:pt>
                <c:pt idx="5">
                  <c:v>6.0963240000000001</c:v>
                </c:pt>
                <c:pt idx="6">
                  <c:v>7.4197389999999999</c:v>
                </c:pt>
                <c:pt idx="7">
                  <c:v>9.1727740000000004</c:v>
                </c:pt>
                <c:pt idx="8">
                  <c:v>11.299189999999999</c:v>
                </c:pt>
                <c:pt idx="9">
                  <c:v>13.912470000000001</c:v>
                </c:pt>
                <c:pt idx="10">
                  <c:v>17.0487</c:v>
                </c:pt>
                <c:pt idx="11">
                  <c:v>21.229299999999999</c:v>
                </c:pt>
                <c:pt idx="12">
                  <c:v>26.311520000000002</c:v>
                </c:pt>
                <c:pt idx="13">
                  <c:v>32.428939999999997</c:v>
                </c:pt>
                <c:pt idx="14">
                  <c:v>40.149410000000003</c:v>
                </c:pt>
                <c:pt idx="15">
                  <c:v>49.295020000000001</c:v>
                </c:pt>
                <c:pt idx="16">
                  <c:v>58.72251</c:v>
                </c:pt>
                <c:pt idx="17">
                  <c:v>70.440939999999998</c:v>
                </c:pt>
                <c:pt idx="18">
                  <c:v>84.691739999999996</c:v>
                </c:pt>
              </c:numCache>
            </c:numRef>
          </c:yVal>
          <c:smooth val="0"/>
        </c:ser>
        <c:ser>
          <c:idx val="7"/>
          <c:order val="7"/>
          <c:tx>
            <c:v>95 C</c:v>
          </c:tx>
          <c:spPr>
            <a:ln w="28575">
              <a:noFill/>
            </a:ln>
          </c:spPr>
          <c:marker>
            <c:symbol val="square"/>
            <c:size val="4"/>
          </c:marker>
          <c:xVal>
            <c:numRef>
              <c:f>'Processed Data'!$A$5:$A$23</c:f>
              <c:numCache>
                <c:formatCode>0.00</c:formatCode>
                <c:ptCount val="19"/>
                <c:pt idx="0">
                  <c:v>0.1</c:v>
                </c:pt>
                <c:pt idx="1">
                  <c:v>0.15</c:v>
                </c:pt>
                <c:pt idx="2">
                  <c:v>0.22</c:v>
                </c:pt>
                <c:pt idx="3">
                  <c:v>0.32</c:v>
                </c:pt>
                <c:pt idx="4">
                  <c:v>0.46</c:v>
                </c:pt>
                <c:pt idx="5">
                  <c:v>0.68</c:v>
                </c:pt>
                <c:pt idx="6">
                  <c:v>1</c:v>
                </c:pt>
                <c:pt idx="7">
                  <c:v>1.5</c:v>
                </c:pt>
                <c:pt idx="8">
                  <c:v>2.2000000000000002</c:v>
                </c:pt>
                <c:pt idx="9">
                  <c:v>3.2</c:v>
                </c:pt>
                <c:pt idx="10">
                  <c:v>4.5999999999999996</c:v>
                </c:pt>
                <c:pt idx="11">
                  <c:v>6.8</c:v>
                </c:pt>
                <c:pt idx="12">
                  <c:v>10</c:v>
                </c:pt>
                <c:pt idx="13">
                  <c:v>14.6</c:v>
                </c:pt>
                <c:pt idx="14">
                  <c:v>21.5</c:v>
                </c:pt>
                <c:pt idx="15">
                  <c:v>31.6</c:v>
                </c:pt>
                <c:pt idx="16">
                  <c:v>46.4</c:v>
                </c:pt>
                <c:pt idx="17">
                  <c:v>68</c:v>
                </c:pt>
                <c:pt idx="18">
                  <c:v>100</c:v>
                </c:pt>
              </c:numCache>
            </c:numRef>
          </c:xVal>
          <c:yVal>
            <c:numRef>
              <c:f>'Processed Data'!$Y$5:$Y$23</c:f>
              <c:numCache>
                <c:formatCode>0.000</c:formatCode>
                <c:ptCount val="19"/>
                <c:pt idx="0">
                  <c:v>1.8038940000000001</c:v>
                </c:pt>
                <c:pt idx="1">
                  <c:v>1.945776</c:v>
                </c:pt>
                <c:pt idx="2">
                  <c:v>2.1154069999999998</c:v>
                </c:pt>
                <c:pt idx="3">
                  <c:v>2.354365</c:v>
                </c:pt>
                <c:pt idx="4">
                  <c:v>2.6566179999999999</c:v>
                </c:pt>
                <c:pt idx="5">
                  <c:v>3.0677319999999999</c:v>
                </c:pt>
                <c:pt idx="6">
                  <c:v>3.5743149999999999</c:v>
                </c:pt>
                <c:pt idx="7">
                  <c:v>4.2398660000000001</c:v>
                </c:pt>
                <c:pt idx="8">
                  <c:v>5.0601560000000001</c:v>
                </c:pt>
                <c:pt idx="9">
                  <c:v>6.0814950000000003</c:v>
                </c:pt>
                <c:pt idx="10">
                  <c:v>7.343286</c:v>
                </c:pt>
                <c:pt idx="11">
                  <c:v>9.065042</c:v>
                </c:pt>
                <c:pt idx="12">
                  <c:v>11.242470000000001</c:v>
                </c:pt>
                <c:pt idx="13">
                  <c:v>13.97002</c:v>
                </c:pt>
                <c:pt idx="14">
                  <c:v>17.68216</c:v>
                </c:pt>
                <c:pt idx="15">
                  <c:v>22.280259999999998</c:v>
                </c:pt>
                <c:pt idx="16">
                  <c:v>26.675319999999999</c:v>
                </c:pt>
                <c:pt idx="17">
                  <c:v>33.07141</c:v>
                </c:pt>
                <c:pt idx="18">
                  <c:v>41.69464</c:v>
                </c:pt>
              </c:numCache>
            </c:numRef>
          </c:yVal>
          <c:smooth val="0"/>
        </c:ser>
        <c:ser>
          <c:idx val="8"/>
          <c:order val="8"/>
          <c:tx>
            <c:v>100 C</c:v>
          </c:tx>
          <c:spPr>
            <a:ln w="28575">
              <a:noFill/>
            </a:ln>
          </c:spPr>
          <c:marker>
            <c:symbol val="square"/>
            <c:size val="4"/>
          </c:marker>
          <c:xVal>
            <c:numRef>
              <c:f>'Processed Data'!$A$5:$A$23</c:f>
              <c:numCache>
                <c:formatCode>0.00</c:formatCode>
                <c:ptCount val="19"/>
                <c:pt idx="0">
                  <c:v>0.1</c:v>
                </c:pt>
                <c:pt idx="1">
                  <c:v>0.15</c:v>
                </c:pt>
                <c:pt idx="2">
                  <c:v>0.22</c:v>
                </c:pt>
                <c:pt idx="3">
                  <c:v>0.32</c:v>
                </c:pt>
                <c:pt idx="4">
                  <c:v>0.46</c:v>
                </c:pt>
                <c:pt idx="5">
                  <c:v>0.68</c:v>
                </c:pt>
                <c:pt idx="6">
                  <c:v>1</c:v>
                </c:pt>
                <c:pt idx="7">
                  <c:v>1.5</c:v>
                </c:pt>
                <c:pt idx="8">
                  <c:v>2.2000000000000002</c:v>
                </c:pt>
                <c:pt idx="9">
                  <c:v>3.2</c:v>
                </c:pt>
                <c:pt idx="10">
                  <c:v>4.5999999999999996</c:v>
                </c:pt>
                <c:pt idx="11">
                  <c:v>6.8</c:v>
                </c:pt>
                <c:pt idx="12">
                  <c:v>10</c:v>
                </c:pt>
                <c:pt idx="13">
                  <c:v>14.6</c:v>
                </c:pt>
                <c:pt idx="14">
                  <c:v>21.5</c:v>
                </c:pt>
                <c:pt idx="15">
                  <c:v>31.6</c:v>
                </c:pt>
                <c:pt idx="16">
                  <c:v>46.4</c:v>
                </c:pt>
                <c:pt idx="17">
                  <c:v>68</c:v>
                </c:pt>
                <c:pt idx="18">
                  <c:v>100</c:v>
                </c:pt>
              </c:numCache>
            </c:numRef>
          </c:xVal>
          <c:yVal>
            <c:numRef>
              <c:f>'Processed Data'!$AB$5:$AB$23</c:f>
              <c:numCache>
                <c:formatCode>0.000000</c:formatCode>
                <c:ptCount val="19"/>
                <c:pt idx="0">
                  <c:v>1.373254</c:v>
                </c:pt>
                <c:pt idx="1">
                  <c:v>1.4501310000000001</c:v>
                </c:pt>
                <c:pt idx="2">
                  <c:v>1.54061</c:v>
                </c:pt>
                <c:pt idx="3">
                  <c:v>1.6575599999999999</c:v>
                </c:pt>
                <c:pt idx="4">
                  <c:v>1.7984899999999999</c:v>
                </c:pt>
                <c:pt idx="5">
                  <c:v>1.9846079999999999</c:v>
                </c:pt>
                <c:pt idx="6">
                  <c:v>2.202979</c:v>
                </c:pt>
                <c:pt idx="7">
                  <c:v>2.4912339999999999</c:v>
                </c:pt>
                <c:pt idx="8">
                  <c:v>2.8425980000000002</c:v>
                </c:pt>
                <c:pt idx="9">
                  <c:v>3.2802159999999998</c:v>
                </c:pt>
                <c:pt idx="10">
                  <c:v>3.8197380000000001</c:v>
                </c:pt>
                <c:pt idx="11">
                  <c:v>4.5681570000000002</c:v>
                </c:pt>
                <c:pt idx="12">
                  <c:v>5.5310600000000001</c:v>
                </c:pt>
                <c:pt idx="13">
                  <c:v>6.8060790000000004</c:v>
                </c:pt>
                <c:pt idx="14">
                  <c:v>8.6757179999999998</c:v>
                </c:pt>
                <c:pt idx="15">
                  <c:v>11.0222</c:v>
                </c:pt>
                <c:pt idx="16">
                  <c:v>12.69904</c:v>
                </c:pt>
                <c:pt idx="17">
                  <c:v>15.90512</c:v>
                </c:pt>
                <c:pt idx="18">
                  <c:v>20.726479999999999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620736"/>
        <c:axId val="139622656"/>
      </c:scatterChart>
      <c:valAx>
        <c:axId val="139620736"/>
        <c:scaling>
          <c:logBase val="10"/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Frequency (Hz)</a:t>
                </a:r>
              </a:p>
            </c:rich>
          </c:tx>
          <c:layout/>
          <c:overlay val="0"/>
        </c:title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139622656"/>
        <c:crosses val="autoZero"/>
        <c:crossBetween val="midCat"/>
      </c:valAx>
      <c:valAx>
        <c:axId val="139622656"/>
        <c:scaling>
          <c:logBase val="10"/>
          <c:orientation val="minMax"/>
          <c:max val="1000"/>
          <c:min val="1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en-US" sz="1400"/>
                  <a:t>Loss Modulus, E'' (Mpa)</a:t>
                </a:r>
              </a:p>
            </c:rich>
          </c:tx>
          <c:layout/>
          <c:overlay val="0"/>
        </c:title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139620736"/>
        <c:crossesAt val="0.1"/>
        <c:crossBetween val="midCat"/>
      </c:valAx>
    </c:plotArea>
    <c:legend>
      <c:legendPos val="r"/>
      <c:layout/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60 C</c:v>
          </c:tx>
          <c:spPr>
            <a:ln w="28575">
              <a:noFill/>
            </a:ln>
          </c:spPr>
          <c:marker>
            <c:symbol val="diamond"/>
            <c:size val="4"/>
          </c:marker>
          <c:xVal>
            <c:numRef>
              <c:f>'Shifted Data - 1st Guess'!$G$3:$G$26</c:f>
              <c:numCache>
                <c:formatCode>0.00</c:formatCode>
                <c:ptCount val="24"/>
                <c:pt idx="0">
                  <c:v>9.9999990000000007E-3</c:v>
                </c:pt>
                <c:pt idx="1">
                  <c:v>0.02</c:v>
                </c:pt>
                <c:pt idx="2">
                  <c:v>0.03</c:v>
                </c:pt>
                <c:pt idx="3">
                  <c:v>0.05</c:v>
                </c:pt>
                <c:pt idx="4">
                  <c:v>7.0000000000000007E-2</c:v>
                </c:pt>
                <c:pt idx="5">
                  <c:v>0.1</c:v>
                </c:pt>
                <c:pt idx="6">
                  <c:v>0.15</c:v>
                </c:pt>
                <c:pt idx="7">
                  <c:v>0.22</c:v>
                </c:pt>
                <c:pt idx="8">
                  <c:v>0.32</c:v>
                </c:pt>
                <c:pt idx="9">
                  <c:v>0.46</c:v>
                </c:pt>
                <c:pt idx="10">
                  <c:v>0.68</c:v>
                </c:pt>
                <c:pt idx="11">
                  <c:v>1</c:v>
                </c:pt>
                <c:pt idx="12">
                  <c:v>1.5</c:v>
                </c:pt>
                <c:pt idx="13">
                  <c:v>2.2000000000000002</c:v>
                </c:pt>
                <c:pt idx="14">
                  <c:v>3.2</c:v>
                </c:pt>
                <c:pt idx="15">
                  <c:v>4.5999999999999996</c:v>
                </c:pt>
                <c:pt idx="16">
                  <c:v>6.8</c:v>
                </c:pt>
                <c:pt idx="17">
                  <c:v>10</c:v>
                </c:pt>
                <c:pt idx="18">
                  <c:v>14.6</c:v>
                </c:pt>
                <c:pt idx="19">
                  <c:v>21.5</c:v>
                </c:pt>
                <c:pt idx="20">
                  <c:v>31.6</c:v>
                </c:pt>
                <c:pt idx="21">
                  <c:v>46.4</c:v>
                </c:pt>
                <c:pt idx="22">
                  <c:v>68</c:v>
                </c:pt>
                <c:pt idx="23">
                  <c:v>100</c:v>
                </c:pt>
              </c:numCache>
            </c:numRef>
          </c:xVal>
          <c:yVal>
            <c:numRef>
              <c:f>'Shifted Data - 1st Guess'!$D$3:$D$26</c:f>
              <c:numCache>
                <c:formatCode>General</c:formatCode>
                <c:ptCount val="24"/>
                <c:pt idx="0">
                  <c:v>1296.5440000000001</c:v>
                </c:pt>
                <c:pt idx="1">
                  <c:v>1411.3869999999999</c:v>
                </c:pt>
                <c:pt idx="2">
                  <c:v>1475.1959999999999</c:v>
                </c:pt>
                <c:pt idx="3">
                  <c:v>1538.9570000000001</c:v>
                </c:pt>
                <c:pt idx="4">
                  <c:v>1585.059</c:v>
                </c:pt>
                <c:pt idx="5">
                  <c:v>1625.829</c:v>
                </c:pt>
                <c:pt idx="6">
                  <c:v>1666.5039999999999</c:v>
                </c:pt>
                <c:pt idx="7">
                  <c:v>1706.336</c:v>
                </c:pt>
                <c:pt idx="8">
                  <c:v>1742.52</c:v>
                </c:pt>
                <c:pt idx="9">
                  <c:v>1776.425</c:v>
                </c:pt>
                <c:pt idx="10">
                  <c:v>1812.4</c:v>
                </c:pt>
                <c:pt idx="11">
                  <c:v>1845.133</c:v>
                </c:pt>
                <c:pt idx="12">
                  <c:v>1877.809</c:v>
                </c:pt>
                <c:pt idx="13">
                  <c:v>1908.6690000000001</c:v>
                </c:pt>
                <c:pt idx="14">
                  <c:v>1938.134</c:v>
                </c:pt>
                <c:pt idx="15">
                  <c:v>1966.98</c:v>
                </c:pt>
                <c:pt idx="16">
                  <c:v>1997.537</c:v>
                </c:pt>
                <c:pt idx="17">
                  <c:v>2027.748</c:v>
                </c:pt>
                <c:pt idx="18">
                  <c:v>2056.576</c:v>
                </c:pt>
                <c:pt idx="19">
                  <c:v>2086.8580000000002</c:v>
                </c:pt>
                <c:pt idx="20">
                  <c:v>2117.4920000000002</c:v>
                </c:pt>
                <c:pt idx="21">
                  <c:v>2145.627</c:v>
                </c:pt>
                <c:pt idx="22">
                  <c:v>2173.4160000000002</c:v>
                </c:pt>
                <c:pt idx="23">
                  <c:v>2180.3760000000002</c:v>
                </c:pt>
              </c:numCache>
            </c:numRef>
          </c:yVal>
          <c:smooth val="0"/>
        </c:ser>
        <c:ser>
          <c:idx val="1"/>
          <c:order val="1"/>
          <c:tx>
            <c:v>65 C</c:v>
          </c:tx>
          <c:spPr>
            <a:ln w="28575">
              <a:noFill/>
            </a:ln>
          </c:spPr>
          <c:marker>
            <c:symbol val="square"/>
            <c:size val="4"/>
          </c:marker>
          <c:xVal>
            <c:numRef>
              <c:f>'Shifted Data - 1st Guess'!$G$27:$G$50</c:f>
              <c:numCache>
                <c:formatCode>0.00</c:formatCode>
                <c:ptCount val="24"/>
                <c:pt idx="0">
                  <c:v>9.9999990000000007E-3</c:v>
                </c:pt>
                <c:pt idx="1">
                  <c:v>0.02</c:v>
                </c:pt>
                <c:pt idx="2">
                  <c:v>0.03</c:v>
                </c:pt>
                <c:pt idx="3">
                  <c:v>0.05</c:v>
                </c:pt>
                <c:pt idx="4">
                  <c:v>7.0000000000000007E-2</c:v>
                </c:pt>
                <c:pt idx="5">
                  <c:v>0.1</c:v>
                </c:pt>
                <c:pt idx="6">
                  <c:v>0.15</c:v>
                </c:pt>
                <c:pt idx="7">
                  <c:v>0.22</c:v>
                </c:pt>
                <c:pt idx="8">
                  <c:v>0.32</c:v>
                </c:pt>
                <c:pt idx="9">
                  <c:v>0.46</c:v>
                </c:pt>
                <c:pt idx="10">
                  <c:v>0.68</c:v>
                </c:pt>
                <c:pt idx="11">
                  <c:v>1</c:v>
                </c:pt>
                <c:pt idx="12">
                  <c:v>1.5</c:v>
                </c:pt>
                <c:pt idx="13">
                  <c:v>2.2000000000000002</c:v>
                </c:pt>
                <c:pt idx="14">
                  <c:v>3.2</c:v>
                </c:pt>
                <c:pt idx="15">
                  <c:v>4.5999999999999996</c:v>
                </c:pt>
                <c:pt idx="16">
                  <c:v>6.8</c:v>
                </c:pt>
                <c:pt idx="17">
                  <c:v>10</c:v>
                </c:pt>
                <c:pt idx="18">
                  <c:v>14.6</c:v>
                </c:pt>
                <c:pt idx="19">
                  <c:v>21.5</c:v>
                </c:pt>
                <c:pt idx="20">
                  <c:v>31.6</c:v>
                </c:pt>
                <c:pt idx="21">
                  <c:v>46.4</c:v>
                </c:pt>
                <c:pt idx="22">
                  <c:v>68</c:v>
                </c:pt>
                <c:pt idx="23">
                  <c:v>100</c:v>
                </c:pt>
              </c:numCache>
            </c:numRef>
          </c:xVal>
          <c:yVal>
            <c:numRef>
              <c:f>'Shifted Data - 1st Guess'!$D$27:$D$50</c:f>
              <c:numCache>
                <c:formatCode>General</c:formatCode>
                <c:ptCount val="24"/>
                <c:pt idx="0">
                  <c:v>691.05809999999997</c:v>
                </c:pt>
                <c:pt idx="1">
                  <c:v>807.14599999999996</c:v>
                </c:pt>
                <c:pt idx="2">
                  <c:v>874.48</c:v>
                </c:pt>
                <c:pt idx="3">
                  <c:v>952.33579999999995</c:v>
                </c:pt>
                <c:pt idx="4">
                  <c:v>1003.414</c:v>
                </c:pt>
                <c:pt idx="5">
                  <c:v>1054.4970000000001</c:v>
                </c:pt>
                <c:pt idx="6">
                  <c:v>1110.02</c:v>
                </c:pt>
                <c:pt idx="7">
                  <c:v>1160.9829999999999</c:v>
                </c:pt>
                <c:pt idx="8">
                  <c:v>1210.2940000000001</c:v>
                </c:pt>
                <c:pt idx="9">
                  <c:v>1256.43</c:v>
                </c:pt>
                <c:pt idx="10">
                  <c:v>1304.481</c:v>
                </c:pt>
                <c:pt idx="11">
                  <c:v>1348.5419999999999</c:v>
                </c:pt>
                <c:pt idx="12">
                  <c:v>1395.328</c:v>
                </c:pt>
                <c:pt idx="13">
                  <c:v>1438.5450000000001</c:v>
                </c:pt>
                <c:pt idx="14">
                  <c:v>1480.018</c:v>
                </c:pt>
                <c:pt idx="15">
                  <c:v>1520.3389999999999</c:v>
                </c:pt>
                <c:pt idx="16">
                  <c:v>1562.296</c:v>
                </c:pt>
                <c:pt idx="17">
                  <c:v>1603.7</c:v>
                </c:pt>
                <c:pt idx="18">
                  <c:v>1643.249</c:v>
                </c:pt>
                <c:pt idx="19">
                  <c:v>1684.2809999999999</c:v>
                </c:pt>
                <c:pt idx="20">
                  <c:v>1724.9110000000001</c:v>
                </c:pt>
                <c:pt idx="21">
                  <c:v>1761.61</c:v>
                </c:pt>
                <c:pt idx="22">
                  <c:v>1801.5840000000001</c:v>
                </c:pt>
                <c:pt idx="23">
                  <c:v>1822.0229999999999</c:v>
                </c:pt>
              </c:numCache>
            </c:numRef>
          </c:yVal>
          <c:smooth val="0"/>
        </c:ser>
        <c:ser>
          <c:idx val="2"/>
          <c:order val="2"/>
          <c:tx>
            <c:v>70 C</c:v>
          </c:tx>
          <c:spPr>
            <a:ln w="28575">
              <a:noFill/>
            </a:ln>
          </c:spPr>
          <c:marker>
            <c:symbol val="diamond"/>
            <c:size val="4"/>
          </c:marker>
          <c:xVal>
            <c:numRef>
              <c:f>'Shifted Data - 1st Guess'!$G$51:$G$69</c:f>
              <c:numCache>
                <c:formatCode>0.00</c:formatCode>
                <c:ptCount val="19"/>
                <c:pt idx="0">
                  <c:v>0.1</c:v>
                </c:pt>
                <c:pt idx="1">
                  <c:v>0.15</c:v>
                </c:pt>
                <c:pt idx="2">
                  <c:v>0.22</c:v>
                </c:pt>
                <c:pt idx="3">
                  <c:v>0.32</c:v>
                </c:pt>
                <c:pt idx="4">
                  <c:v>0.46</c:v>
                </c:pt>
                <c:pt idx="5">
                  <c:v>0.68</c:v>
                </c:pt>
                <c:pt idx="6">
                  <c:v>1</c:v>
                </c:pt>
                <c:pt idx="7">
                  <c:v>1.5</c:v>
                </c:pt>
                <c:pt idx="8">
                  <c:v>2.2000000000000002</c:v>
                </c:pt>
                <c:pt idx="9">
                  <c:v>3.2</c:v>
                </c:pt>
                <c:pt idx="10">
                  <c:v>4.5999999999999996</c:v>
                </c:pt>
                <c:pt idx="11">
                  <c:v>6.8</c:v>
                </c:pt>
                <c:pt idx="12">
                  <c:v>10</c:v>
                </c:pt>
                <c:pt idx="13">
                  <c:v>14.6</c:v>
                </c:pt>
                <c:pt idx="14">
                  <c:v>21.5</c:v>
                </c:pt>
                <c:pt idx="15">
                  <c:v>31.6</c:v>
                </c:pt>
                <c:pt idx="16">
                  <c:v>46.4</c:v>
                </c:pt>
                <c:pt idx="17">
                  <c:v>68</c:v>
                </c:pt>
                <c:pt idx="18">
                  <c:v>100</c:v>
                </c:pt>
              </c:numCache>
            </c:numRef>
          </c:xVal>
          <c:yVal>
            <c:numRef>
              <c:f>'Shifted Data - 1st Guess'!$D$51:$D$69</c:f>
              <c:numCache>
                <c:formatCode>General</c:formatCode>
                <c:ptCount val="19"/>
                <c:pt idx="0">
                  <c:v>493.78960000000001</c:v>
                </c:pt>
                <c:pt idx="1">
                  <c:v>473.6807</c:v>
                </c:pt>
                <c:pt idx="2">
                  <c:v>489.50259999999997</c:v>
                </c:pt>
                <c:pt idx="3">
                  <c:v>534.02890000000002</c:v>
                </c:pt>
                <c:pt idx="4">
                  <c:v>577.97180000000003</c:v>
                </c:pt>
                <c:pt idx="5">
                  <c:v>625.17610000000002</c:v>
                </c:pt>
                <c:pt idx="6">
                  <c:v>673.65089999999998</c:v>
                </c:pt>
                <c:pt idx="7">
                  <c:v>723.61030000000005</c:v>
                </c:pt>
                <c:pt idx="8">
                  <c:v>768.02189999999996</c:v>
                </c:pt>
                <c:pt idx="9">
                  <c:v>811.76710000000003</c:v>
                </c:pt>
                <c:pt idx="10">
                  <c:v>854.01580000000001</c:v>
                </c:pt>
                <c:pt idx="11">
                  <c:v>898.55489999999998</c:v>
                </c:pt>
                <c:pt idx="12">
                  <c:v>944.40710000000001</c:v>
                </c:pt>
                <c:pt idx="13">
                  <c:v>985.64469999999994</c:v>
                </c:pt>
                <c:pt idx="14">
                  <c:v>1029.2239999999999</c:v>
                </c:pt>
                <c:pt idx="15">
                  <c:v>1069.7850000000001</c:v>
                </c:pt>
                <c:pt idx="16">
                  <c:v>1106.345</c:v>
                </c:pt>
                <c:pt idx="17">
                  <c:v>1149.43</c:v>
                </c:pt>
                <c:pt idx="18">
                  <c:v>1178.6010000000001</c:v>
                </c:pt>
              </c:numCache>
            </c:numRef>
          </c:yVal>
          <c:smooth val="0"/>
        </c:ser>
        <c:ser>
          <c:idx val="3"/>
          <c:order val="3"/>
          <c:tx>
            <c:v>75 C</c:v>
          </c:tx>
          <c:spPr>
            <a:ln w="28575">
              <a:noFill/>
            </a:ln>
          </c:spPr>
          <c:marker>
            <c:symbol val="diamond"/>
            <c:size val="4"/>
          </c:marker>
          <c:xVal>
            <c:numRef>
              <c:f>'Shifted Data - 1st Guess'!$G$70:$G$88</c:f>
              <c:numCache>
                <c:formatCode>0.00</c:formatCode>
                <c:ptCount val="19"/>
                <c:pt idx="0">
                  <c:v>0.1</c:v>
                </c:pt>
                <c:pt idx="1">
                  <c:v>0.15</c:v>
                </c:pt>
                <c:pt idx="2">
                  <c:v>0.22</c:v>
                </c:pt>
                <c:pt idx="3">
                  <c:v>0.32</c:v>
                </c:pt>
                <c:pt idx="4">
                  <c:v>0.46</c:v>
                </c:pt>
                <c:pt idx="5">
                  <c:v>0.68</c:v>
                </c:pt>
                <c:pt idx="6">
                  <c:v>1</c:v>
                </c:pt>
                <c:pt idx="7">
                  <c:v>1.5</c:v>
                </c:pt>
                <c:pt idx="8">
                  <c:v>2.2000000000000002</c:v>
                </c:pt>
                <c:pt idx="9">
                  <c:v>3.2</c:v>
                </c:pt>
                <c:pt idx="10">
                  <c:v>4.5999999999999996</c:v>
                </c:pt>
                <c:pt idx="11">
                  <c:v>6.8</c:v>
                </c:pt>
                <c:pt idx="12">
                  <c:v>10</c:v>
                </c:pt>
                <c:pt idx="13">
                  <c:v>14.6</c:v>
                </c:pt>
                <c:pt idx="14">
                  <c:v>21.5</c:v>
                </c:pt>
                <c:pt idx="15">
                  <c:v>31.6</c:v>
                </c:pt>
                <c:pt idx="16">
                  <c:v>46.4</c:v>
                </c:pt>
                <c:pt idx="17">
                  <c:v>68</c:v>
                </c:pt>
                <c:pt idx="18">
                  <c:v>100</c:v>
                </c:pt>
              </c:numCache>
            </c:numRef>
          </c:xVal>
          <c:yVal>
            <c:numRef>
              <c:f>'Shifted Data - 1st Guess'!$D$70:$D$88</c:f>
              <c:numCache>
                <c:formatCode>General</c:formatCode>
                <c:ptCount val="19"/>
                <c:pt idx="0">
                  <c:v>93.074820000000003</c:v>
                </c:pt>
                <c:pt idx="1">
                  <c:v>109.4228</c:v>
                </c:pt>
                <c:pt idx="2">
                  <c:v>128.88489999999999</c:v>
                </c:pt>
                <c:pt idx="3">
                  <c:v>154.1653</c:v>
                </c:pt>
                <c:pt idx="4">
                  <c:v>182.3681</c:v>
                </c:pt>
                <c:pt idx="5">
                  <c:v>215.51169999999999</c:v>
                </c:pt>
                <c:pt idx="6">
                  <c:v>249.88120000000001</c:v>
                </c:pt>
                <c:pt idx="7">
                  <c:v>288.8802</c:v>
                </c:pt>
                <c:pt idx="8">
                  <c:v>328.45100000000002</c:v>
                </c:pt>
                <c:pt idx="9">
                  <c:v>369.19830000000002</c:v>
                </c:pt>
                <c:pt idx="10">
                  <c:v>410.37830000000002</c:v>
                </c:pt>
                <c:pt idx="11">
                  <c:v>456.12299999999999</c:v>
                </c:pt>
                <c:pt idx="12">
                  <c:v>502.37459999999999</c:v>
                </c:pt>
                <c:pt idx="13">
                  <c:v>548.73760000000004</c:v>
                </c:pt>
                <c:pt idx="14">
                  <c:v>596.5068</c:v>
                </c:pt>
                <c:pt idx="15">
                  <c:v>643.90800000000002</c:v>
                </c:pt>
                <c:pt idx="16">
                  <c:v>687.67489999999998</c:v>
                </c:pt>
                <c:pt idx="17">
                  <c:v>732.81979999999999</c:v>
                </c:pt>
                <c:pt idx="18">
                  <c:v>768.28710000000001</c:v>
                </c:pt>
              </c:numCache>
            </c:numRef>
          </c:yVal>
          <c:smooth val="0"/>
        </c:ser>
        <c:ser>
          <c:idx val="4"/>
          <c:order val="4"/>
          <c:tx>
            <c:v>80 C</c:v>
          </c:tx>
          <c:spPr>
            <a:ln w="28575">
              <a:noFill/>
            </a:ln>
          </c:spPr>
          <c:marker>
            <c:symbol val="square"/>
            <c:size val="4"/>
          </c:marker>
          <c:xVal>
            <c:numRef>
              <c:f>'Shifted Data - 1st Guess'!$G$89:$G$107</c:f>
              <c:numCache>
                <c:formatCode>0.00</c:formatCode>
                <c:ptCount val="19"/>
                <c:pt idx="0">
                  <c:v>0.1</c:v>
                </c:pt>
                <c:pt idx="1">
                  <c:v>0.15</c:v>
                </c:pt>
                <c:pt idx="2">
                  <c:v>0.22</c:v>
                </c:pt>
                <c:pt idx="3">
                  <c:v>0.32</c:v>
                </c:pt>
                <c:pt idx="4">
                  <c:v>0.46</c:v>
                </c:pt>
                <c:pt idx="5">
                  <c:v>0.68</c:v>
                </c:pt>
                <c:pt idx="6">
                  <c:v>1</c:v>
                </c:pt>
                <c:pt idx="7">
                  <c:v>1.5</c:v>
                </c:pt>
                <c:pt idx="8">
                  <c:v>2.2000000000000002</c:v>
                </c:pt>
                <c:pt idx="9">
                  <c:v>3.2</c:v>
                </c:pt>
                <c:pt idx="10">
                  <c:v>4.5999999999999996</c:v>
                </c:pt>
                <c:pt idx="11">
                  <c:v>6.8</c:v>
                </c:pt>
                <c:pt idx="12">
                  <c:v>10</c:v>
                </c:pt>
                <c:pt idx="13">
                  <c:v>14.6</c:v>
                </c:pt>
                <c:pt idx="14">
                  <c:v>21.5</c:v>
                </c:pt>
                <c:pt idx="15">
                  <c:v>31.6</c:v>
                </c:pt>
                <c:pt idx="16">
                  <c:v>46.4</c:v>
                </c:pt>
                <c:pt idx="17">
                  <c:v>68</c:v>
                </c:pt>
                <c:pt idx="18">
                  <c:v>100</c:v>
                </c:pt>
              </c:numCache>
            </c:numRef>
          </c:xVal>
          <c:yVal>
            <c:numRef>
              <c:f>'Shifted Data - 1st Guess'!$D$89:$D$107</c:f>
              <c:numCache>
                <c:formatCode>General</c:formatCode>
                <c:ptCount val="19"/>
                <c:pt idx="0">
                  <c:v>26.106940000000002</c:v>
                </c:pt>
                <c:pt idx="1">
                  <c:v>29.332159999999998</c:v>
                </c:pt>
                <c:pt idx="2">
                  <c:v>34.350360000000002</c:v>
                </c:pt>
                <c:pt idx="3">
                  <c:v>41.194580000000002</c:v>
                </c:pt>
                <c:pt idx="4">
                  <c:v>49.47898</c:v>
                </c:pt>
                <c:pt idx="5">
                  <c:v>60.372979999999998</c:v>
                </c:pt>
                <c:pt idx="6">
                  <c:v>72.675399999999996</c:v>
                </c:pt>
                <c:pt idx="7">
                  <c:v>88.307119999999998</c:v>
                </c:pt>
                <c:pt idx="8">
                  <c:v>106.28270000000001</c:v>
                </c:pt>
                <c:pt idx="9">
                  <c:v>126.8644</c:v>
                </c:pt>
                <c:pt idx="10">
                  <c:v>149.83449999999999</c:v>
                </c:pt>
                <c:pt idx="11">
                  <c:v>178.0198</c:v>
                </c:pt>
                <c:pt idx="12">
                  <c:v>209.11369999999999</c:v>
                </c:pt>
                <c:pt idx="13">
                  <c:v>242.95</c:v>
                </c:pt>
                <c:pt idx="14">
                  <c:v>280.86399999999998</c:v>
                </c:pt>
                <c:pt idx="15">
                  <c:v>322.17790000000002</c:v>
                </c:pt>
                <c:pt idx="16">
                  <c:v>362.35820000000001</c:v>
                </c:pt>
                <c:pt idx="17">
                  <c:v>408.33089999999999</c:v>
                </c:pt>
                <c:pt idx="18">
                  <c:v>450.32170000000002</c:v>
                </c:pt>
              </c:numCache>
            </c:numRef>
          </c:yVal>
          <c:smooth val="0"/>
        </c:ser>
        <c:ser>
          <c:idx val="5"/>
          <c:order val="5"/>
          <c:tx>
            <c:v>85 C</c:v>
          </c:tx>
          <c:spPr>
            <a:ln w="28575">
              <a:noFill/>
            </a:ln>
          </c:spPr>
          <c:marker>
            <c:symbol val="circle"/>
            <c:size val="4"/>
          </c:marker>
          <c:xVal>
            <c:numRef>
              <c:f>'Shifted Data - 1st Guess'!$G$108:$G$126</c:f>
              <c:numCache>
                <c:formatCode>0.00</c:formatCode>
                <c:ptCount val="19"/>
                <c:pt idx="0">
                  <c:v>0.1</c:v>
                </c:pt>
                <c:pt idx="1">
                  <c:v>0.15</c:v>
                </c:pt>
                <c:pt idx="2">
                  <c:v>0.22</c:v>
                </c:pt>
                <c:pt idx="3">
                  <c:v>0.32</c:v>
                </c:pt>
                <c:pt idx="4">
                  <c:v>0.46</c:v>
                </c:pt>
                <c:pt idx="5">
                  <c:v>0.68</c:v>
                </c:pt>
                <c:pt idx="6">
                  <c:v>1</c:v>
                </c:pt>
                <c:pt idx="7">
                  <c:v>1.5</c:v>
                </c:pt>
                <c:pt idx="8">
                  <c:v>2.2000000000000002</c:v>
                </c:pt>
                <c:pt idx="9">
                  <c:v>3.2</c:v>
                </c:pt>
                <c:pt idx="10">
                  <c:v>4.5999999999999996</c:v>
                </c:pt>
                <c:pt idx="11">
                  <c:v>6.8</c:v>
                </c:pt>
                <c:pt idx="12">
                  <c:v>10</c:v>
                </c:pt>
                <c:pt idx="13">
                  <c:v>14.6</c:v>
                </c:pt>
                <c:pt idx="14">
                  <c:v>21.5</c:v>
                </c:pt>
                <c:pt idx="15">
                  <c:v>31.6</c:v>
                </c:pt>
                <c:pt idx="16">
                  <c:v>46.4</c:v>
                </c:pt>
                <c:pt idx="17">
                  <c:v>68</c:v>
                </c:pt>
                <c:pt idx="18">
                  <c:v>100</c:v>
                </c:pt>
              </c:numCache>
            </c:numRef>
          </c:xVal>
          <c:yVal>
            <c:numRef>
              <c:f>'Shifted Data - 1st Guess'!$D$108:$D$126</c:f>
              <c:numCache>
                <c:formatCode>General</c:formatCode>
                <c:ptCount val="19"/>
                <c:pt idx="0">
                  <c:v>15.760260000000001</c:v>
                </c:pt>
                <c:pt idx="1">
                  <c:v>16.85425</c:v>
                </c:pt>
                <c:pt idx="2">
                  <c:v>18.297920000000001</c:v>
                </c:pt>
                <c:pt idx="3">
                  <c:v>20.205469999999998</c:v>
                </c:pt>
                <c:pt idx="4">
                  <c:v>22.499320000000001</c:v>
                </c:pt>
                <c:pt idx="5">
                  <c:v>25.484500000000001</c:v>
                </c:pt>
                <c:pt idx="6">
                  <c:v>28.851299999999998</c:v>
                </c:pt>
                <c:pt idx="7">
                  <c:v>33.267859999999999</c:v>
                </c:pt>
                <c:pt idx="8">
                  <c:v>38.645040000000002</c:v>
                </c:pt>
                <c:pt idx="9">
                  <c:v>45.243940000000002</c:v>
                </c:pt>
                <c:pt idx="10">
                  <c:v>53.181100000000001</c:v>
                </c:pt>
                <c:pt idx="11">
                  <c:v>71.378810000000001</c:v>
                </c:pt>
                <c:pt idx="12">
                  <c:v>83.854939999999999</c:v>
                </c:pt>
                <c:pt idx="13">
                  <c:v>97.681889999999996</c:v>
                </c:pt>
                <c:pt idx="14">
                  <c:v>116.0951</c:v>
                </c:pt>
                <c:pt idx="15">
                  <c:v>137.6859</c:v>
                </c:pt>
                <c:pt idx="16">
                  <c:v>159.84639999999999</c:v>
                </c:pt>
                <c:pt idx="17">
                  <c:v>192.13980000000001</c:v>
                </c:pt>
                <c:pt idx="18">
                  <c:v>219.71180000000001</c:v>
                </c:pt>
              </c:numCache>
            </c:numRef>
          </c:yVal>
          <c:smooth val="0"/>
        </c:ser>
        <c:ser>
          <c:idx val="6"/>
          <c:order val="6"/>
          <c:tx>
            <c:v>90 C</c:v>
          </c:tx>
          <c:spPr>
            <a:ln w="28575">
              <a:noFill/>
            </a:ln>
          </c:spPr>
          <c:marker>
            <c:symbol val="diamond"/>
            <c:size val="4"/>
          </c:marker>
          <c:xVal>
            <c:numRef>
              <c:f>'Shifted Data - 1st Guess'!$G$127:$G$145</c:f>
              <c:numCache>
                <c:formatCode>0.00</c:formatCode>
                <c:ptCount val="19"/>
                <c:pt idx="0">
                  <c:v>0.1</c:v>
                </c:pt>
                <c:pt idx="1">
                  <c:v>0.15</c:v>
                </c:pt>
                <c:pt idx="2">
                  <c:v>0.22</c:v>
                </c:pt>
                <c:pt idx="3">
                  <c:v>0.32</c:v>
                </c:pt>
                <c:pt idx="4">
                  <c:v>0.46</c:v>
                </c:pt>
                <c:pt idx="5">
                  <c:v>0.68</c:v>
                </c:pt>
                <c:pt idx="6">
                  <c:v>1</c:v>
                </c:pt>
                <c:pt idx="7">
                  <c:v>1.5</c:v>
                </c:pt>
                <c:pt idx="8">
                  <c:v>2.2000000000000002</c:v>
                </c:pt>
                <c:pt idx="9">
                  <c:v>3.2</c:v>
                </c:pt>
                <c:pt idx="10">
                  <c:v>4.5999999999999996</c:v>
                </c:pt>
                <c:pt idx="11">
                  <c:v>6.8</c:v>
                </c:pt>
                <c:pt idx="12">
                  <c:v>10</c:v>
                </c:pt>
                <c:pt idx="13">
                  <c:v>14.6</c:v>
                </c:pt>
                <c:pt idx="14">
                  <c:v>21.5</c:v>
                </c:pt>
                <c:pt idx="15">
                  <c:v>31.6</c:v>
                </c:pt>
                <c:pt idx="16">
                  <c:v>46.4</c:v>
                </c:pt>
                <c:pt idx="17">
                  <c:v>68</c:v>
                </c:pt>
                <c:pt idx="18">
                  <c:v>100</c:v>
                </c:pt>
              </c:numCache>
            </c:numRef>
          </c:xVal>
          <c:yVal>
            <c:numRef>
              <c:f>'Shifted Data - 1st Guess'!$D$127:$D$145</c:f>
              <c:numCache>
                <c:formatCode>General</c:formatCode>
                <c:ptCount val="19"/>
                <c:pt idx="0">
                  <c:v>12.72977</c:v>
                </c:pt>
                <c:pt idx="1">
                  <c:v>13.23512</c:v>
                </c:pt>
                <c:pt idx="2">
                  <c:v>13.8683</c:v>
                </c:pt>
                <c:pt idx="3">
                  <c:v>14.694319999999999</c:v>
                </c:pt>
                <c:pt idx="4">
                  <c:v>15.627800000000001</c:v>
                </c:pt>
                <c:pt idx="5">
                  <c:v>16.794060000000002</c:v>
                </c:pt>
                <c:pt idx="6">
                  <c:v>18.04196</c:v>
                </c:pt>
                <c:pt idx="7">
                  <c:v>19.574839999999998</c:v>
                </c:pt>
                <c:pt idx="8">
                  <c:v>21.40222</c:v>
                </c:pt>
                <c:pt idx="9">
                  <c:v>23.618490000000001</c:v>
                </c:pt>
                <c:pt idx="10">
                  <c:v>26.281099999999999</c:v>
                </c:pt>
                <c:pt idx="11">
                  <c:v>29.867999999999999</c:v>
                </c:pt>
                <c:pt idx="12">
                  <c:v>34.3065</c:v>
                </c:pt>
                <c:pt idx="13">
                  <c:v>39.740299999999998</c:v>
                </c:pt>
                <c:pt idx="14">
                  <c:v>47.036020000000001</c:v>
                </c:pt>
                <c:pt idx="15">
                  <c:v>56.865499999999997</c:v>
                </c:pt>
                <c:pt idx="16">
                  <c:v>66.214699999999993</c:v>
                </c:pt>
                <c:pt idx="17">
                  <c:v>82.694180000000003</c:v>
                </c:pt>
                <c:pt idx="18">
                  <c:v>93.186419999999998</c:v>
                </c:pt>
              </c:numCache>
            </c:numRef>
          </c:yVal>
          <c:smooth val="0"/>
        </c:ser>
        <c:ser>
          <c:idx val="7"/>
          <c:order val="7"/>
          <c:tx>
            <c:v>95 C</c:v>
          </c:tx>
          <c:spPr>
            <a:ln w="28575">
              <a:noFill/>
            </a:ln>
          </c:spPr>
          <c:marker>
            <c:symbol val="square"/>
            <c:size val="4"/>
          </c:marker>
          <c:xVal>
            <c:numRef>
              <c:f>'Shifted Data - 1st Guess'!$G$146:$G$164</c:f>
              <c:numCache>
                <c:formatCode>0.00</c:formatCode>
                <c:ptCount val="19"/>
                <c:pt idx="0">
                  <c:v>0.1</c:v>
                </c:pt>
                <c:pt idx="1">
                  <c:v>0.15</c:v>
                </c:pt>
                <c:pt idx="2">
                  <c:v>0.22</c:v>
                </c:pt>
                <c:pt idx="3">
                  <c:v>0.32</c:v>
                </c:pt>
                <c:pt idx="4">
                  <c:v>0.46</c:v>
                </c:pt>
                <c:pt idx="5">
                  <c:v>0.68</c:v>
                </c:pt>
                <c:pt idx="6">
                  <c:v>1</c:v>
                </c:pt>
                <c:pt idx="7">
                  <c:v>1.5</c:v>
                </c:pt>
                <c:pt idx="8">
                  <c:v>2.2000000000000002</c:v>
                </c:pt>
                <c:pt idx="9">
                  <c:v>3.2</c:v>
                </c:pt>
                <c:pt idx="10">
                  <c:v>4.5999999999999996</c:v>
                </c:pt>
                <c:pt idx="11">
                  <c:v>6.8</c:v>
                </c:pt>
                <c:pt idx="12">
                  <c:v>10</c:v>
                </c:pt>
                <c:pt idx="13">
                  <c:v>14.6</c:v>
                </c:pt>
                <c:pt idx="14">
                  <c:v>21.5</c:v>
                </c:pt>
                <c:pt idx="15">
                  <c:v>31.6</c:v>
                </c:pt>
                <c:pt idx="16">
                  <c:v>46.4</c:v>
                </c:pt>
                <c:pt idx="17">
                  <c:v>68</c:v>
                </c:pt>
                <c:pt idx="18">
                  <c:v>100</c:v>
                </c:pt>
              </c:numCache>
            </c:numRef>
          </c:xVal>
          <c:yVal>
            <c:numRef>
              <c:f>'Shifted Data - 1st Guess'!$D$146:$D$164</c:f>
              <c:numCache>
                <c:formatCode>General</c:formatCode>
                <c:ptCount val="19"/>
                <c:pt idx="0">
                  <c:v>10.840529999999999</c:v>
                </c:pt>
                <c:pt idx="1">
                  <c:v>11.172079999999999</c:v>
                </c:pt>
                <c:pt idx="2">
                  <c:v>11.54082</c:v>
                </c:pt>
                <c:pt idx="3">
                  <c:v>12.055260000000001</c:v>
                </c:pt>
                <c:pt idx="4">
                  <c:v>12.625249999999999</c:v>
                </c:pt>
                <c:pt idx="5">
                  <c:v>13.29208</c:v>
                </c:pt>
                <c:pt idx="6">
                  <c:v>13.949859999999999</c:v>
                </c:pt>
                <c:pt idx="7">
                  <c:v>14.71692</c:v>
                </c:pt>
                <c:pt idx="8">
                  <c:v>15.57686</c:v>
                </c:pt>
                <c:pt idx="9">
                  <c:v>16.568660000000001</c:v>
                </c:pt>
                <c:pt idx="10">
                  <c:v>17.71621</c:v>
                </c:pt>
                <c:pt idx="11">
                  <c:v>19.217590000000001</c:v>
                </c:pt>
                <c:pt idx="12">
                  <c:v>21.028659999999999</c:v>
                </c:pt>
                <c:pt idx="13">
                  <c:v>23.16968</c:v>
                </c:pt>
                <c:pt idx="14">
                  <c:v>26.229649999999999</c:v>
                </c:pt>
                <c:pt idx="15">
                  <c:v>30.73208</c:v>
                </c:pt>
                <c:pt idx="16">
                  <c:v>33.46902</c:v>
                </c:pt>
                <c:pt idx="17">
                  <c:v>41.88494</c:v>
                </c:pt>
                <c:pt idx="18">
                  <c:v>42.713520000000003</c:v>
                </c:pt>
              </c:numCache>
            </c:numRef>
          </c:yVal>
          <c:smooth val="0"/>
        </c:ser>
        <c:ser>
          <c:idx val="8"/>
          <c:order val="8"/>
          <c:tx>
            <c:v>100 C</c:v>
          </c:tx>
          <c:spPr>
            <a:ln w="28575">
              <a:noFill/>
            </a:ln>
          </c:spPr>
          <c:marker>
            <c:symbol val="square"/>
            <c:size val="4"/>
          </c:marker>
          <c:xVal>
            <c:numRef>
              <c:f>'Shifted Data - 1st Guess'!$G$165:$G$183</c:f>
              <c:numCache>
                <c:formatCode>0.00</c:formatCode>
                <c:ptCount val="19"/>
                <c:pt idx="0">
                  <c:v>0.1</c:v>
                </c:pt>
                <c:pt idx="1">
                  <c:v>0.15</c:v>
                </c:pt>
                <c:pt idx="2">
                  <c:v>0.22</c:v>
                </c:pt>
                <c:pt idx="3">
                  <c:v>0.32</c:v>
                </c:pt>
                <c:pt idx="4">
                  <c:v>0.46</c:v>
                </c:pt>
                <c:pt idx="5">
                  <c:v>0.68</c:v>
                </c:pt>
                <c:pt idx="6">
                  <c:v>1</c:v>
                </c:pt>
                <c:pt idx="7">
                  <c:v>1.5</c:v>
                </c:pt>
                <c:pt idx="8">
                  <c:v>2.2000000000000002</c:v>
                </c:pt>
                <c:pt idx="9">
                  <c:v>3.2</c:v>
                </c:pt>
                <c:pt idx="10">
                  <c:v>4.5999999999999996</c:v>
                </c:pt>
                <c:pt idx="11">
                  <c:v>6.8</c:v>
                </c:pt>
                <c:pt idx="12">
                  <c:v>10</c:v>
                </c:pt>
                <c:pt idx="13">
                  <c:v>14.6</c:v>
                </c:pt>
                <c:pt idx="14">
                  <c:v>21.5</c:v>
                </c:pt>
                <c:pt idx="15">
                  <c:v>31.6</c:v>
                </c:pt>
                <c:pt idx="16">
                  <c:v>46.4</c:v>
                </c:pt>
                <c:pt idx="17">
                  <c:v>68</c:v>
                </c:pt>
                <c:pt idx="18">
                  <c:v>100</c:v>
                </c:pt>
              </c:numCache>
            </c:numRef>
          </c:xVal>
          <c:yVal>
            <c:numRef>
              <c:f>'Shifted Data - 1st Guess'!$D$165:$D$183</c:f>
              <c:numCache>
                <c:formatCode>General</c:formatCode>
                <c:ptCount val="19"/>
                <c:pt idx="0">
                  <c:v>9.2533480000000008</c:v>
                </c:pt>
                <c:pt idx="1">
                  <c:v>9.5517459999999996</c:v>
                </c:pt>
                <c:pt idx="2">
                  <c:v>9.8949809999999996</c:v>
                </c:pt>
                <c:pt idx="3">
                  <c:v>10.31288</c:v>
                </c:pt>
                <c:pt idx="4">
                  <c:v>10.75249</c:v>
                </c:pt>
                <c:pt idx="5">
                  <c:v>11.24316</c:v>
                </c:pt>
                <c:pt idx="6">
                  <c:v>11.70074</c:v>
                </c:pt>
                <c:pt idx="7">
                  <c:v>12.21129</c:v>
                </c:pt>
                <c:pt idx="8">
                  <c:v>12.753500000000001</c:v>
                </c:pt>
                <c:pt idx="9">
                  <c:v>13.34796</c:v>
                </c:pt>
                <c:pt idx="10">
                  <c:v>14.00217</c:v>
                </c:pt>
                <c:pt idx="11">
                  <c:v>14.81527</c:v>
                </c:pt>
                <c:pt idx="12">
                  <c:v>15.74677</c:v>
                </c:pt>
                <c:pt idx="13">
                  <c:v>16.791910000000001</c:v>
                </c:pt>
                <c:pt idx="14">
                  <c:v>18.40692</c:v>
                </c:pt>
                <c:pt idx="15">
                  <c:v>21.012599999999999</c:v>
                </c:pt>
                <c:pt idx="16">
                  <c:v>21.310020000000002</c:v>
                </c:pt>
                <c:pt idx="17">
                  <c:v>26.674689999999998</c:v>
                </c:pt>
                <c:pt idx="18">
                  <c:v>23.490760000000002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767168"/>
        <c:axId val="139781248"/>
      </c:scatterChart>
      <c:valAx>
        <c:axId val="139767168"/>
        <c:scaling>
          <c:logBase val="10"/>
          <c:orientation val="minMax"/>
        </c:scaling>
        <c:delete val="0"/>
        <c:axPos val="b"/>
        <c:numFmt formatCode="0.00" sourceLinked="1"/>
        <c:majorTickMark val="out"/>
        <c:minorTickMark val="none"/>
        <c:tickLblPos val="nextTo"/>
        <c:crossAx val="139781248"/>
        <c:crosses val="autoZero"/>
        <c:crossBetween val="midCat"/>
      </c:valAx>
      <c:valAx>
        <c:axId val="139781248"/>
        <c:scaling>
          <c:logBase val="10"/>
          <c:orientation val="minMax"/>
          <c:min val="7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9767168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60 C</c:v>
          </c:tx>
          <c:spPr>
            <a:ln w="28575">
              <a:noFill/>
            </a:ln>
          </c:spPr>
          <c:marker>
            <c:symbol val="diamond"/>
            <c:size val="4"/>
          </c:marker>
          <c:xVal>
            <c:numRef>
              <c:f>'Shifted Data - 1st Guess'!$I$3:$I$26</c:f>
              <c:numCache>
                <c:formatCode>0.00</c:formatCode>
                <c:ptCount val="24"/>
                <c:pt idx="0">
                  <c:v>3.9999999565705497</c:v>
                </c:pt>
                <c:pt idx="1">
                  <c:v>4.3010299956639813</c:v>
                </c:pt>
                <c:pt idx="2">
                  <c:v>4.4771212547196626</c:v>
                </c:pt>
                <c:pt idx="3">
                  <c:v>4.6989700043360187</c:v>
                </c:pt>
                <c:pt idx="4">
                  <c:v>4.8450980400142569</c:v>
                </c:pt>
                <c:pt idx="5">
                  <c:v>5</c:v>
                </c:pt>
                <c:pt idx="6">
                  <c:v>5.1760912590556813</c:v>
                </c:pt>
                <c:pt idx="7">
                  <c:v>5.3424226808222066</c:v>
                </c:pt>
                <c:pt idx="8">
                  <c:v>5.5051499783199063</c:v>
                </c:pt>
                <c:pt idx="9">
                  <c:v>5.6627578316815743</c:v>
                </c:pt>
                <c:pt idx="10">
                  <c:v>5.8325089127062366</c:v>
                </c:pt>
                <c:pt idx="11">
                  <c:v>6</c:v>
                </c:pt>
                <c:pt idx="12">
                  <c:v>6.1760912590556813</c:v>
                </c:pt>
                <c:pt idx="13">
                  <c:v>6.3424226808222066</c:v>
                </c:pt>
                <c:pt idx="14">
                  <c:v>6.5051499783199063</c:v>
                </c:pt>
                <c:pt idx="15">
                  <c:v>6.6627578316815743</c:v>
                </c:pt>
                <c:pt idx="16">
                  <c:v>6.8325089127062366</c:v>
                </c:pt>
                <c:pt idx="17">
                  <c:v>7</c:v>
                </c:pt>
                <c:pt idx="18">
                  <c:v>7.1643528557844371</c:v>
                </c:pt>
                <c:pt idx="19">
                  <c:v>7.3324384599156058</c:v>
                </c:pt>
                <c:pt idx="20">
                  <c:v>7.4996870826184043</c:v>
                </c:pt>
                <c:pt idx="21">
                  <c:v>7.6665179805548807</c:v>
                </c:pt>
                <c:pt idx="22">
                  <c:v>7.8325089127062366</c:v>
                </c:pt>
                <c:pt idx="23">
                  <c:v>8</c:v>
                </c:pt>
              </c:numCache>
            </c:numRef>
          </c:xVal>
          <c:yVal>
            <c:numRef>
              <c:f>'Shifted Data - 1st Guess'!$D$3:$D$26</c:f>
              <c:numCache>
                <c:formatCode>General</c:formatCode>
                <c:ptCount val="24"/>
                <c:pt idx="0">
                  <c:v>1296.5440000000001</c:v>
                </c:pt>
                <c:pt idx="1">
                  <c:v>1411.3869999999999</c:v>
                </c:pt>
                <c:pt idx="2">
                  <c:v>1475.1959999999999</c:v>
                </c:pt>
                <c:pt idx="3">
                  <c:v>1538.9570000000001</c:v>
                </c:pt>
                <c:pt idx="4">
                  <c:v>1585.059</c:v>
                </c:pt>
                <c:pt idx="5">
                  <c:v>1625.829</c:v>
                </c:pt>
                <c:pt idx="6">
                  <c:v>1666.5039999999999</c:v>
                </c:pt>
                <c:pt idx="7">
                  <c:v>1706.336</c:v>
                </c:pt>
                <c:pt idx="8">
                  <c:v>1742.52</c:v>
                </c:pt>
                <c:pt idx="9">
                  <c:v>1776.425</c:v>
                </c:pt>
                <c:pt idx="10">
                  <c:v>1812.4</c:v>
                </c:pt>
                <c:pt idx="11">
                  <c:v>1845.133</c:v>
                </c:pt>
                <c:pt idx="12">
                  <c:v>1877.809</c:v>
                </c:pt>
                <c:pt idx="13">
                  <c:v>1908.6690000000001</c:v>
                </c:pt>
                <c:pt idx="14">
                  <c:v>1938.134</c:v>
                </c:pt>
                <c:pt idx="15">
                  <c:v>1966.98</c:v>
                </c:pt>
                <c:pt idx="16">
                  <c:v>1997.537</c:v>
                </c:pt>
                <c:pt idx="17">
                  <c:v>2027.748</c:v>
                </c:pt>
                <c:pt idx="18">
                  <c:v>2056.576</c:v>
                </c:pt>
                <c:pt idx="19">
                  <c:v>2086.8580000000002</c:v>
                </c:pt>
                <c:pt idx="20">
                  <c:v>2117.4920000000002</c:v>
                </c:pt>
                <c:pt idx="21">
                  <c:v>2145.627</c:v>
                </c:pt>
                <c:pt idx="22">
                  <c:v>2173.4160000000002</c:v>
                </c:pt>
                <c:pt idx="23">
                  <c:v>2180.3760000000002</c:v>
                </c:pt>
              </c:numCache>
            </c:numRef>
          </c:yVal>
          <c:smooth val="0"/>
        </c:ser>
        <c:ser>
          <c:idx val="1"/>
          <c:order val="1"/>
          <c:tx>
            <c:v>65 C</c:v>
          </c:tx>
          <c:spPr>
            <a:ln w="28575">
              <a:noFill/>
            </a:ln>
          </c:spPr>
          <c:marker>
            <c:symbol val="square"/>
            <c:size val="4"/>
          </c:marker>
          <c:xVal>
            <c:numRef>
              <c:f>'Shifted Data - 1st Guess'!$I$27:$I$50</c:f>
              <c:numCache>
                <c:formatCode>0.00</c:formatCode>
                <c:ptCount val="24"/>
                <c:pt idx="0">
                  <c:v>1.9999999565705497</c:v>
                </c:pt>
                <c:pt idx="1">
                  <c:v>2.3010299956639813</c:v>
                </c:pt>
                <c:pt idx="2">
                  <c:v>2.4771212547196626</c:v>
                </c:pt>
                <c:pt idx="3">
                  <c:v>2.6989700043360187</c:v>
                </c:pt>
                <c:pt idx="4">
                  <c:v>2.8450980400142569</c:v>
                </c:pt>
                <c:pt idx="5">
                  <c:v>3</c:v>
                </c:pt>
                <c:pt idx="6">
                  <c:v>3.1760912590556813</c:v>
                </c:pt>
                <c:pt idx="7">
                  <c:v>3.3424226808222062</c:v>
                </c:pt>
                <c:pt idx="8">
                  <c:v>3.5051499783199058</c:v>
                </c:pt>
                <c:pt idx="9">
                  <c:v>3.6627578316815743</c:v>
                </c:pt>
                <c:pt idx="10">
                  <c:v>3.8325089127062362</c:v>
                </c:pt>
                <c:pt idx="11">
                  <c:v>4</c:v>
                </c:pt>
                <c:pt idx="12">
                  <c:v>4.1760912590556813</c:v>
                </c:pt>
                <c:pt idx="13">
                  <c:v>4.3424226808222066</c:v>
                </c:pt>
                <c:pt idx="14">
                  <c:v>4.5051499783199063</c:v>
                </c:pt>
                <c:pt idx="15">
                  <c:v>4.6627578316815743</c:v>
                </c:pt>
                <c:pt idx="16">
                  <c:v>4.8325089127062366</c:v>
                </c:pt>
                <c:pt idx="17">
                  <c:v>5</c:v>
                </c:pt>
                <c:pt idx="18">
                  <c:v>5.1643528557844371</c:v>
                </c:pt>
                <c:pt idx="19">
                  <c:v>5.3324384599156058</c:v>
                </c:pt>
                <c:pt idx="20">
                  <c:v>5.4996870826184043</c:v>
                </c:pt>
                <c:pt idx="21">
                  <c:v>5.6665179805548807</c:v>
                </c:pt>
                <c:pt idx="22">
                  <c:v>5.8325089127062366</c:v>
                </c:pt>
                <c:pt idx="23">
                  <c:v>6</c:v>
                </c:pt>
              </c:numCache>
            </c:numRef>
          </c:xVal>
          <c:yVal>
            <c:numRef>
              <c:f>'Shifted Data - 1st Guess'!$D$27:$D$50</c:f>
              <c:numCache>
                <c:formatCode>General</c:formatCode>
                <c:ptCount val="24"/>
                <c:pt idx="0">
                  <c:v>691.05809999999997</c:v>
                </c:pt>
                <c:pt idx="1">
                  <c:v>807.14599999999996</c:v>
                </c:pt>
                <c:pt idx="2">
                  <c:v>874.48</c:v>
                </c:pt>
                <c:pt idx="3">
                  <c:v>952.33579999999995</c:v>
                </c:pt>
                <c:pt idx="4">
                  <c:v>1003.414</c:v>
                </c:pt>
                <c:pt idx="5">
                  <c:v>1054.4970000000001</c:v>
                </c:pt>
                <c:pt idx="6">
                  <c:v>1110.02</c:v>
                </c:pt>
                <c:pt idx="7">
                  <c:v>1160.9829999999999</c:v>
                </c:pt>
                <c:pt idx="8">
                  <c:v>1210.2940000000001</c:v>
                </c:pt>
                <c:pt idx="9">
                  <c:v>1256.43</c:v>
                </c:pt>
                <c:pt idx="10">
                  <c:v>1304.481</c:v>
                </c:pt>
                <c:pt idx="11">
                  <c:v>1348.5419999999999</c:v>
                </c:pt>
                <c:pt idx="12">
                  <c:v>1395.328</c:v>
                </c:pt>
                <c:pt idx="13">
                  <c:v>1438.5450000000001</c:v>
                </c:pt>
                <c:pt idx="14">
                  <c:v>1480.018</c:v>
                </c:pt>
                <c:pt idx="15">
                  <c:v>1520.3389999999999</c:v>
                </c:pt>
                <c:pt idx="16">
                  <c:v>1562.296</c:v>
                </c:pt>
                <c:pt idx="17">
                  <c:v>1603.7</c:v>
                </c:pt>
                <c:pt idx="18">
                  <c:v>1643.249</c:v>
                </c:pt>
                <c:pt idx="19">
                  <c:v>1684.2809999999999</c:v>
                </c:pt>
                <c:pt idx="20">
                  <c:v>1724.9110000000001</c:v>
                </c:pt>
                <c:pt idx="21">
                  <c:v>1761.61</c:v>
                </c:pt>
                <c:pt idx="22">
                  <c:v>1801.5840000000001</c:v>
                </c:pt>
                <c:pt idx="23">
                  <c:v>1822.0229999999999</c:v>
                </c:pt>
              </c:numCache>
            </c:numRef>
          </c:yVal>
          <c:smooth val="0"/>
        </c:ser>
        <c:ser>
          <c:idx val="2"/>
          <c:order val="2"/>
          <c:tx>
            <c:v>70 C</c:v>
          </c:tx>
          <c:spPr>
            <a:ln w="28575">
              <a:noFill/>
            </a:ln>
          </c:spPr>
          <c:marker>
            <c:symbol val="diamond"/>
            <c:size val="4"/>
          </c:marker>
          <c:xVal>
            <c:numRef>
              <c:f>'Shifted Data - 1st Guess'!$I$51:$I$69</c:f>
              <c:numCache>
                <c:formatCode>0.00</c:formatCode>
                <c:ptCount val="19"/>
                <c:pt idx="0">
                  <c:v>0.7</c:v>
                </c:pt>
                <c:pt idx="1">
                  <c:v>0.87609125905568119</c:v>
                </c:pt>
                <c:pt idx="2">
                  <c:v>1.0424226808222063</c:v>
                </c:pt>
                <c:pt idx="3">
                  <c:v>1.205149978319906</c:v>
                </c:pt>
                <c:pt idx="4">
                  <c:v>1.3627578316815741</c:v>
                </c:pt>
                <c:pt idx="5">
                  <c:v>1.5325089127062363</c:v>
                </c:pt>
                <c:pt idx="6">
                  <c:v>1.7</c:v>
                </c:pt>
                <c:pt idx="7">
                  <c:v>1.8760912590556811</c:v>
                </c:pt>
                <c:pt idx="8">
                  <c:v>2.0424226808222063</c:v>
                </c:pt>
                <c:pt idx="9">
                  <c:v>2.205149978319906</c:v>
                </c:pt>
                <c:pt idx="10">
                  <c:v>2.3627578316815741</c:v>
                </c:pt>
                <c:pt idx="11">
                  <c:v>2.5325089127062363</c:v>
                </c:pt>
                <c:pt idx="12">
                  <c:v>2.7</c:v>
                </c:pt>
                <c:pt idx="13">
                  <c:v>2.8643528557844373</c:v>
                </c:pt>
                <c:pt idx="14">
                  <c:v>3.0324384599156051</c:v>
                </c:pt>
                <c:pt idx="15">
                  <c:v>3.1996870826184036</c:v>
                </c:pt>
                <c:pt idx="16">
                  <c:v>3.3665179805548808</c:v>
                </c:pt>
                <c:pt idx="17">
                  <c:v>3.5325089127062363</c:v>
                </c:pt>
                <c:pt idx="18">
                  <c:v>3.7</c:v>
                </c:pt>
              </c:numCache>
            </c:numRef>
          </c:xVal>
          <c:yVal>
            <c:numRef>
              <c:f>'Shifted Data - 1st Guess'!$D$51:$D$69</c:f>
              <c:numCache>
                <c:formatCode>General</c:formatCode>
                <c:ptCount val="19"/>
                <c:pt idx="0">
                  <c:v>493.78960000000001</c:v>
                </c:pt>
                <c:pt idx="1">
                  <c:v>473.6807</c:v>
                </c:pt>
                <c:pt idx="2">
                  <c:v>489.50259999999997</c:v>
                </c:pt>
                <c:pt idx="3">
                  <c:v>534.02890000000002</c:v>
                </c:pt>
                <c:pt idx="4">
                  <c:v>577.97180000000003</c:v>
                </c:pt>
                <c:pt idx="5">
                  <c:v>625.17610000000002</c:v>
                </c:pt>
                <c:pt idx="6">
                  <c:v>673.65089999999998</c:v>
                </c:pt>
                <c:pt idx="7">
                  <c:v>723.61030000000005</c:v>
                </c:pt>
                <c:pt idx="8">
                  <c:v>768.02189999999996</c:v>
                </c:pt>
                <c:pt idx="9">
                  <c:v>811.76710000000003</c:v>
                </c:pt>
                <c:pt idx="10">
                  <c:v>854.01580000000001</c:v>
                </c:pt>
                <c:pt idx="11">
                  <c:v>898.55489999999998</c:v>
                </c:pt>
                <c:pt idx="12">
                  <c:v>944.40710000000001</c:v>
                </c:pt>
                <c:pt idx="13">
                  <c:v>985.64469999999994</c:v>
                </c:pt>
                <c:pt idx="14">
                  <c:v>1029.2239999999999</c:v>
                </c:pt>
                <c:pt idx="15">
                  <c:v>1069.7850000000001</c:v>
                </c:pt>
                <c:pt idx="16">
                  <c:v>1106.345</c:v>
                </c:pt>
                <c:pt idx="17">
                  <c:v>1149.43</c:v>
                </c:pt>
                <c:pt idx="18">
                  <c:v>1178.6010000000001</c:v>
                </c:pt>
              </c:numCache>
            </c:numRef>
          </c:yVal>
          <c:smooth val="0"/>
        </c:ser>
        <c:ser>
          <c:idx val="3"/>
          <c:order val="3"/>
          <c:tx>
            <c:v>75 C</c:v>
          </c:tx>
          <c:spPr>
            <a:ln w="28575">
              <a:noFill/>
            </a:ln>
          </c:spPr>
          <c:marker>
            <c:symbol val="diamond"/>
            <c:size val="4"/>
          </c:marker>
          <c:xVal>
            <c:numRef>
              <c:f>'Shifted Data - 1st Guess'!$I$70:$I$88</c:f>
              <c:numCache>
                <c:formatCode>0.00</c:formatCode>
                <c:ptCount val="19"/>
                <c:pt idx="0">
                  <c:v>-1</c:v>
                </c:pt>
                <c:pt idx="1">
                  <c:v>-0.82390874094431876</c:v>
                </c:pt>
                <c:pt idx="2">
                  <c:v>-0.65757731917779372</c:v>
                </c:pt>
                <c:pt idx="3">
                  <c:v>-0.49485002168009401</c:v>
                </c:pt>
                <c:pt idx="4">
                  <c:v>-0.33724216831842591</c:v>
                </c:pt>
                <c:pt idx="5">
                  <c:v>-0.16749108729376366</c:v>
                </c:pt>
                <c:pt idx="6">
                  <c:v>0</c:v>
                </c:pt>
                <c:pt idx="7">
                  <c:v>0.17609125905568124</c:v>
                </c:pt>
                <c:pt idx="8">
                  <c:v>0.34242268082220628</c:v>
                </c:pt>
                <c:pt idx="9">
                  <c:v>0.50514997831990605</c:v>
                </c:pt>
                <c:pt idx="10">
                  <c:v>0.66275783168157409</c:v>
                </c:pt>
                <c:pt idx="11">
                  <c:v>0.83250891270623628</c:v>
                </c:pt>
                <c:pt idx="12">
                  <c:v>1</c:v>
                </c:pt>
                <c:pt idx="13">
                  <c:v>1.1643528557844371</c:v>
                </c:pt>
                <c:pt idx="14">
                  <c:v>1.3324384599156054</c:v>
                </c:pt>
                <c:pt idx="15">
                  <c:v>1.4996870826184039</c:v>
                </c:pt>
                <c:pt idx="16">
                  <c:v>1.6665179805548809</c:v>
                </c:pt>
                <c:pt idx="17">
                  <c:v>1.8325089127062364</c:v>
                </c:pt>
                <c:pt idx="18">
                  <c:v>2</c:v>
                </c:pt>
              </c:numCache>
            </c:numRef>
          </c:xVal>
          <c:yVal>
            <c:numRef>
              <c:f>'Shifted Data - 1st Guess'!$D$70:$D$88</c:f>
              <c:numCache>
                <c:formatCode>General</c:formatCode>
                <c:ptCount val="19"/>
                <c:pt idx="0">
                  <c:v>93.074820000000003</c:v>
                </c:pt>
                <c:pt idx="1">
                  <c:v>109.4228</c:v>
                </c:pt>
                <c:pt idx="2">
                  <c:v>128.88489999999999</c:v>
                </c:pt>
                <c:pt idx="3">
                  <c:v>154.1653</c:v>
                </c:pt>
                <c:pt idx="4">
                  <c:v>182.3681</c:v>
                </c:pt>
                <c:pt idx="5">
                  <c:v>215.51169999999999</c:v>
                </c:pt>
                <c:pt idx="6">
                  <c:v>249.88120000000001</c:v>
                </c:pt>
                <c:pt idx="7">
                  <c:v>288.8802</c:v>
                </c:pt>
                <c:pt idx="8">
                  <c:v>328.45100000000002</c:v>
                </c:pt>
                <c:pt idx="9">
                  <c:v>369.19830000000002</c:v>
                </c:pt>
                <c:pt idx="10">
                  <c:v>410.37830000000002</c:v>
                </c:pt>
                <c:pt idx="11">
                  <c:v>456.12299999999999</c:v>
                </c:pt>
                <c:pt idx="12">
                  <c:v>502.37459999999999</c:v>
                </c:pt>
                <c:pt idx="13">
                  <c:v>548.73760000000004</c:v>
                </c:pt>
                <c:pt idx="14">
                  <c:v>596.5068</c:v>
                </c:pt>
                <c:pt idx="15">
                  <c:v>643.90800000000002</c:v>
                </c:pt>
                <c:pt idx="16">
                  <c:v>687.67489999999998</c:v>
                </c:pt>
                <c:pt idx="17">
                  <c:v>732.81979999999999</c:v>
                </c:pt>
                <c:pt idx="18">
                  <c:v>768.28710000000001</c:v>
                </c:pt>
              </c:numCache>
            </c:numRef>
          </c:yVal>
          <c:smooth val="0"/>
        </c:ser>
        <c:ser>
          <c:idx val="4"/>
          <c:order val="4"/>
          <c:tx>
            <c:v>80 C</c:v>
          </c:tx>
          <c:spPr>
            <a:ln w="28575">
              <a:noFill/>
            </a:ln>
          </c:spPr>
          <c:marker>
            <c:symbol val="square"/>
            <c:size val="4"/>
          </c:marker>
          <c:xVal>
            <c:numRef>
              <c:f>'Shifted Data - 1st Guess'!$I$89:$I$107</c:f>
              <c:numCache>
                <c:formatCode>0.00</c:formatCode>
                <c:ptCount val="19"/>
                <c:pt idx="0">
                  <c:v>-2</c:v>
                </c:pt>
                <c:pt idx="1">
                  <c:v>-1.8239087409443187</c:v>
                </c:pt>
                <c:pt idx="2">
                  <c:v>-1.6575773191777938</c:v>
                </c:pt>
                <c:pt idx="3">
                  <c:v>-1.494850021680094</c:v>
                </c:pt>
                <c:pt idx="4">
                  <c:v>-1.3372421683184259</c:v>
                </c:pt>
                <c:pt idx="5">
                  <c:v>-1.1674910872937636</c:v>
                </c:pt>
                <c:pt idx="6">
                  <c:v>-1</c:v>
                </c:pt>
                <c:pt idx="7">
                  <c:v>-0.82390874094431876</c:v>
                </c:pt>
                <c:pt idx="8">
                  <c:v>-0.65757731917779372</c:v>
                </c:pt>
                <c:pt idx="9">
                  <c:v>-0.49485002168009395</c:v>
                </c:pt>
                <c:pt idx="10">
                  <c:v>-0.33724216831842591</c:v>
                </c:pt>
                <c:pt idx="11">
                  <c:v>-0.16749108729376372</c:v>
                </c:pt>
                <c:pt idx="12">
                  <c:v>0</c:v>
                </c:pt>
                <c:pt idx="13">
                  <c:v>0.16435285578443715</c:v>
                </c:pt>
                <c:pt idx="14">
                  <c:v>0.33243845991560539</c:v>
                </c:pt>
                <c:pt idx="15">
                  <c:v>0.49968708261840389</c:v>
                </c:pt>
                <c:pt idx="16">
                  <c:v>0.66651798055488087</c:v>
                </c:pt>
                <c:pt idx="17">
                  <c:v>0.83250891270623639</c:v>
                </c:pt>
                <c:pt idx="18">
                  <c:v>1</c:v>
                </c:pt>
              </c:numCache>
            </c:numRef>
          </c:xVal>
          <c:yVal>
            <c:numRef>
              <c:f>'Shifted Data - 1st Guess'!$D$89:$D$107</c:f>
              <c:numCache>
                <c:formatCode>General</c:formatCode>
                <c:ptCount val="19"/>
                <c:pt idx="0">
                  <c:v>26.106940000000002</c:v>
                </c:pt>
                <c:pt idx="1">
                  <c:v>29.332159999999998</c:v>
                </c:pt>
                <c:pt idx="2">
                  <c:v>34.350360000000002</c:v>
                </c:pt>
                <c:pt idx="3">
                  <c:v>41.194580000000002</c:v>
                </c:pt>
                <c:pt idx="4">
                  <c:v>49.47898</c:v>
                </c:pt>
                <c:pt idx="5">
                  <c:v>60.372979999999998</c:v>
                </c:pt>
                <c:pt idx="6">
                  <c:v>72.675399999999996</c:v>
                </c:pt>
                <c:pt idx="7">
                  <c:v>88.307119999999998</c:v>
                </c:pt>
                <c:pt idx="8">
                  <c:v>106.28270000000001</c:v>
                </c:pt>
                <c:pt idx="9">
                  <c:v>126.8644</c:v>
                </c:pt>
                <c:pt idx="10">
                  <c:v>149.83449999999999</c:v>
                </c:pt>
                <c:pt idx="11">
                  <c:v>178.0198</c:v>
                </c:pt>
                <c:pt idx="12">
                  <c:v>209.11369999999999</c:v>
                </c:pt>
                <c:pt idx="13">
                  <c:v>242.95</c:v>
                </c:pt>
                <c:pt idx="14">
                  <c:v>280.86399999999998</c:v>
                </c:pt>
                <c:pt idx="15">
                  <c:v>322.17790000000002</c:v>
                </c:pt>
                <c:pt idx="16">
                  <c:v>362.35820000000001</c:v>
                </c:pt>
                <c:pt idx="17">
                  <c:v>408.33089999999999</c:v>
                </c:pt>
                <c:pt idx="18">
                  <c:v>450.32170000000002</c:v>
                </c:pt>
              </c:numCache>
            </c:numRef>
          </c:yVal>
          <c:smooth val="0"/>
        </c:ser>
        <c:ser>
          <c:idx val="5"/>
          <c:order val="5"/>
          <c:tx>
            <c:v>85 C</c:v>
          </c:tx>
          <c:spPr>
            <a:ln w="28575">
              <a:noFill/>
            </a:ln>
          </c:spPr>
          <c:marker>
            <c:symbol val="circle"/>
            <c:size val="4"/>
          </c:marker>
          <c:xVal>
            <c:numRef>
              <c:f>'Shifted Data - 1st Guess'!$I$108:$I$126</c:f>
              <c:numCache>
                <c:formatCode>0.00</c:formatCode>
                <c:ptCount val="19"/>
                <c:pt idx="0">
                  <c:v>-3</c:v>
                </c:pt>
                <c:pt idx="1">
                  <c:v>-2.8239087409443187</c:v>
                </c:pt>
                <c:pt idx="2">
                  <c:v>-2.6575773191777938</c:v>
                </c:pt>
                <c:pt idx="3">
                  <c:v>-2.4948500216800942</c:v>
                </c:pt>
                <c:pt idx="4">
                  <c:v>-2.3372421683184257</c:v>
                </c:pt>
                <c:pt idx="5">
                  <c:v>-2.1674910872937638</c:v>
                </c:pt>
                <c:pt idx="6">
                  <c:v>-2</c:v>
                </c:pt>
                <c:pt idx="7">
                  <c:v>-1.8239087409443187</c:v>
                </c:pt>
                <c:pt idx="8">
                  <c:v>-1.6575773191777938</c:v>
                </c:pt>
                <c:pt idx="9">
                  <c:v>-1.494850021680094</c:v>
                </c:pt>
                <c:pt idx="10">
                  <c:v>-1.3372421683184259</c:v>
                </c:pt>
                <c:pt idx="11">
                  <c:v>-1.1674910872937638</c:v>
                </c:pt>
                <c:pt idx="12">
                  <c:v>-1</c:v>
                </c:pt>
                <c:pt idx="13">
                  <c:v>-0.83564714421556285</c:v>
                </c:pt>
                <c:pt idx="14">
                  <c:v>-0.66756154008439461</c:v>
                </c:pt>
                <c:pt idx="15">
                  <c:v>-0.50031291738159611</c:v>
                </c:pt>
                <c:pt idx="16">
                  <c:v>-0.33348201944511913</c:v>
                </c:pt>
                <c:pt idx="17">
                  <c:v>-0.16749108729376361</c:v>
                </c:pt>
                <c:pt idx="18">
                  <c:v>0</c:v>
                </c:pt>
              </c:numCache>
            </c:numRef>
          </c:xVal>
          <c:yVal>
            <c:numRef>
              <c:f>'Shifted Data - 1st Guess'!$D$108:$D$126</c:f>
              <c:numCache>
                <c:formatCode>General</c:formatCode>
                <c:ptCount val="19"/>
                <c:pt idx="0">
                  <c:v>15.760260000000001</c:v>
                </c:pt>
                <c:pt idx="1">
                  <c:v>16.85425</c:v>
                </c:pt>
                <c:pt idx="2">
                  <c:v>18.297920000000001</c:v>
                </c:pt>
                <c:pt idx="3">
                  <c:v>20.205469999999998</c:v>
                </c:pt>
                <c:pt idx="4">
                  <c:v>22.499320000000001</c:v>
                </c:pt>
                <c:pt idx="5">
                  <c:v>25.484500000000001</c:v>
                </c:pt>
                <c:pt idx="6">
                  <c:v>28.851299999999998</c:v>
                </c:pt>
                <c:pt idx="7">
                  <c:v>33.267859999999999</c:v>
                </c:pt>
                <c:pt idx="8">
                  <c:v>38.645040000000002</c:v>
                </c:pt>
                <c:pt idx="9">
                  <c:v>45.243940000000002</c:v>
                </c:pt>
                <c:pt idx="10">
                  <c:v>53.181100000000001</c:v>
                </c:pt>
                <c:pt idx="11">
                  <c:v>71.378810000000001</c:v>
                </c:pt>
                <c:pt idx="12">
                  <c:v>83.854939999999999</c:v>
                </c:pt>
                <c:pt idx="13">
                  <c:v>97.681889999999996</c:v>
                </c:pt>
                <c:pt idx="14">
                  <c:v>116.0951</c:v>
                </c:pt>
                <c:pt idx="15">
                  <c:v>137.6859</c:v>
                </c:pt>
                <c:pt idx="16">
                  <c:v>159.84639999999999</c:v>
                </c:pt>
                <c:pt idx="17">
                  <c:v>192.13980000000001</c:v>
                </c:pt>
                <c:pt idx="18">
                  <c:v>219.71180000000001</c:v>
                </c:pt>
              </c:numCache>
            </c:numRef>
          </c:yVal>
          <c:smooth val="0"/>
        </c:ser>
        <c:ser>
          <c:idx val="6"/>
          <c:order val="6"/>
          <c:tx>
            <c:v>90 C</c:v>
          </c:tx>
          <c:spPr>
            <a:ln w="28575">
              <a:noFill/>
            </a:ln>
          </c:spPr>
          <c:marker>
            <c:symbol val="diamond"/>
            <c:size val="4"/>
          </c:marker>
          <c:xVal>
            <c:numRef>
              <c:f>'Shifted Data - 1st Guess'!$I$127:$I$145</c:f>
              <c:numCache>
                <c:formatCode>0.00</c:formatCode>
                <c:ptCount val="19"/>
                <c:pt idx="0">
                  <c:v>-4</c:v>
                </c:pt>
                <c:pt idx="1">
                  <c:v>-3.8239087409443187</c:v>
                </c:pt>
                <c:pt idx="2">
                  <c:v>-3.6575773191777938</c:v>
                </c:pt>
                <c:pt idx="3">
                  <c:v>-3.4948500216800942</c:v>
                </c:pt>
                <c:pt idx="4">
                  <c:v>-3.3372421683184257</c:v>
                </c:pt>
                <c:pt idx="5">
                  <c:v>-3.1674910872937638</c:v>
                </c:pt>
                <c:pt idx="6">
                  <c:v>-3</c:v>
                </c:pt>
                <c:pt idx="7">
                  <c:v>-2.8239087409443187</c:v>
                </c:pt>
                <c:pt idx="8">
                  <c:v>-2.6575773191777938</c:v>
                </c:pt>
                <c:pt idx="9">
                  <c:v>-2.4948500216800937</c:v>
                </c:pt>
                <c:pt idx="10">
                  <c:v>-2.3372421683184257</c:v>
                </c:pt>
                <c:pt idx="11">
                  <c:v>-2.1674910872937638</c:v>
                </c:pt>
                <c:pt idx="12">
                  <c:v>-2</c:v>
                </c:pt>
                <c:pt idx="13">
                  <c:v>-1.8356471442155629</c:v>
                </c:pt>
                <c:pt idx="14">
                  <c:v>-1.6675615400843946</c:v>
                </c:pt>
                <c:pt idx="15">
                  <c:v>-1.5003129173815961</c:v>
                </c:pt>
                <c:pt idx="16">
                  <c:v>-1.3334820194451191</c:v>
                </c:pt>
                <c:pt idx="17">
                  <c:v>-1.1674910872937636</c:v>
                </c:pt>
                <c:pt idx="18">
                  <c:v>-1</c:v>
                </c:pt>
              </c:numCache>
            </c:numRef>
          </c:xVal>
          <c:yVal>
            <c:numRef>
              <c:f>'Shifted Data - 1st Guess'!$D$127:$D$145</c:f>
              <c:numCache>
                <c:formatCode>General</c:formatCode>
                <c:ptCount val="19"/>
                <c:pt idx="0">
                  <c:v>12.72977</c:v>
                </c:pt>
                <c:pt idx="1">
                  <c:v>13.23512</c:v>
                </c:pt>
                <c:pt idx="2">
                  <c:v>13.8683</c:v>
                </c:pt>
                <c:pt idx="3">
                  <c:v>14.694319999999999</c:v>
                </c:pt>
                <c:pt idx="4">
                  <c:v>15.627800000000001</c:v>
                </c:pt>
                <c:pt idx="5">
                  <c:v>16.794060000000002</c:v>
                </c:pt>
                <c:pt idx="6">
                  <c:v>18.04196</c:v>
                </c:pt>
                <c:pt idx="7">
                  <c:v>19.574839999999998</c:v>
                </c:pt>
                <c:pt idx="8">
                  <c:v>21.40222</c:v>
                </c:pt>
                <c:pt idx="9">
                  <c:v>23.618490000000001</c:v>
                </c:pt>
                <c:pt idx="10">
                  <c:v>26.281099999999999</c:v>
                </c:pt>
                <c:pt idx="11">
                  <c:v>29.867999999999999</c:v>
                </c:pt>
                <c:pt idx="12">
                  <c:v>34.3065</c:v>
                </c:pt>
                <c:pt idx="13">
                  <c:v>39.740299999999998</c:v>
                </c:pt>
                <c:pt idx="14">
                  <c:v>47.036020000000001</c:v>
                </c:pt>
                <c:pt idx="15">
                  <c:v>56.865499999999997</c:v>
                </c:pt>
                <c:pt idx="16">
                  <c:v>66.214699999999993</c:v>
                </c:pt>
                <c:pt idx="17">
                  <c:v>82.694180000000003</c:v>
                </c:pt>
                <c:pt idx="18">
                  <c:v>93.186419999999998</c:v>
                </c:pt>
              </c:numCache>
            </c:numRef>
          </c:yVal>
          <c:smooth val="0"/>
        </c:ser>
        <c:ser>
          <c:idx val="7"/>
          <c:order val="7"/>
          <c:tx>
            <c:v>95 C</c:v>
          </c:tx>
          <c:spPr>
            <a:ln w="28575">
              <a:noFill/>
            </a:ln>
          </c:spPr>
          <c:marker>
            <c:symbol val="square"/>
            <c:size val="4"/>
          </c:marker>
          <c:xVal>
            <c:numRef>
              <c:f>'Shifted Data - 1st Guess'!$I$146:$I$164</c:f>
              <c:numCache>
                <c:formatCode>0.00</c:formatCode>
                <c:ptCount val="19"/>
                <c:pt idx="0">
                  <c:v>-5</c:v>
                </c:pt>
                <c:pt idx="1">
                  <c:v>-4.8239087409443187</c:v>
                </c:pt>
                <c:pt idx="2">
                  <c:v>-4.6575773191777934</c:v>
                </c:pt>
                <c:pt idx="3">
                  <c:v>-4.4948500216800937</c:v>
                </c:pt>
                <c:pt idx="4">
                  <c:v>-4.3372421683184257</c:v>
                </c:pt>
                <c:pt idx="5">
                  <c:v>-4.1674910872937634</c:v>
                </c:pt>
                <c:pt idx="6">
                  <c:v>-4</c:v>
                </c:pt>
                <c:pt idx="7">
                  <c:v>-3.8239087409443187</c:v>
                </c:pt>
                <c:pt idx="8">
                  <c:v>-3.6575773191777938</c:v>
                </c:pt>
                <c:pt idx="9">
                  <c:v>-3.4948500216800937</c:v>
                </c:pt>
                <c:pt idx="10">
                  <c:v>-3.3372421683184257</c:v>
                </c:pt>
                <c:pt idx="11">
                  <c:v>-3.1674910872937638</c:v>
                </c:pt>
                <c:pt idx="12">
                  <c:v>-3</c:v>
                </c:pt>
                <c:pt idx="13">
                  <c:v>-2.8356471442155629</c:v>
                </c:pt>
                <c:pt idx="14">
                  <c:v>-2.6675615400843946</c:v>
                </c:pt>
                <c:pt idx="15">
                  <c:v>-2.5003129173815961</c:v>
                </c:pt>
                <c:pt idx="16">
                  <c:v>-2.3334820194451193</c:v>
                </c:pt>
                <c:pt idx="17">
                  <c:v>-2.1674910872937634</c:v>
                </c:pt>
                <c:pt idx="18">
                  <c:v>-2</c:v>
                </c:pt>
              </c:numCache>
            </c:numRef>
          </c:xVal>
          <c:yVal>
            <c:numRef>
              <c:f>'Shifted Data - 1st Guess'!$D$146:$D$164</c:f>
              <c:numCache>
                <c:formatCode>General</c:formatCode>
                <c:ptCount val="19"/>
                <c:pt idx="0">
                  <c:v>10.840529999999999</c:v>
                </c:pt>
                <c:pt idx="1">
                  <c:v>11.172079999999999</c:v>
                </c:pt>
                <c:pt idx="2">
                  <c:v>11.54082</c:v>
                </c:pt>
                <c:pt idx="3">
                  <c:v>12.055260000000001</c:v>
                </c:pt>
                <c:pt idx="4">
                  <c:v>12.625249999999999</c:v>
                </c:pt>
                <c:pt idx="5">
                  <c:v>13.29208</c:v>
                </c:pt>
                <c:pt idx="6">
                  <c:v>13.949859999999999</c:v>
                </c:pt>
                <c:pt idx="7">
                  <c:v>14.71692</c:v>
                </c:pt>
                <c:pt idx="8">
                  <c:v>15.57686</c:v>
                </c:pt>
                <c:pt idx="9">
                  <c:v>16.568660000000001</c:v>
                </c:pt>
                <c:pt idx="10">
                  <c:v>17.71621</c:v>
                </c:pt>
                <c:pt idx="11">
                  <c:v>19.217590000000001</c:v>
                </c:pt>
                <c:pt idx="12">
                  <c:v>21.028659999999999</c:v>
                </c:pt>
                <c:pt idx="13">
                  <c:v>23.16968</c:v>
                </c:pt>
                <c:pt idx="14">
                  <c:v>26.229649999999999</c:v>
                </c:pt>
                <c:pt idx="15">
                  <c:v>30.73208</c:v>
                </c:pt>
                <c:pt idx="16">
                  <c:v>33.46902</c:v>
                </c:pt>
                <c:pt idx="17">
                  <c:v>41.88494</c:v>
                </c:pt>
                <c:pt idx="18">
                  <c:v>42.713520000000003</c:v>
                </c:pt>
              </c:numCache>
            </c:numRef>
          </c:yVal>
          <c:smooth val="0"/>
        </c:ser>
        <c:ser>
          <c:idx val="8"/>
          <c:order val="8"/>
          <c:tx>
            <c:v>100 C</c:v>
          </c:tx>
          <c:spPr>
            <a:ln w="28575">
              <a:noFill/>
            </a:ln>
          </c:spPr>
          <c:marker>
            <c:symbol val="square"/>
            <c:size val="4"/>
          </c:marker>
          <c:xVal>
            <c:numRef>
              <c:f>'Shifted Data - 1st Guess'!$I$165:$I$183</c:f>
              <c:numCache>
                <c:formatCode>0.00</c:formatCode>
                <c:ptCount val="19"/>
                <c:pt idx="0">
                  <c:v>-6</c:v>
                </c:pt>
                <c:pt idx="1">
                  <c:v>-5.8239087409443187</c:v>
                </c:pt>
                <c:pt idx="2">
                  <c:v>-5.6575773191777934</c:v>
                </c:pt>
                <c:pt idx="3">
                  <c:v>-5.4948500216800937</c:v>
                </c:pt>
                <c:pt idx="4">
                  <c:v>-5.3372421683184257</c:v>
                </c:pt>
                <c:pt idx="5">
                  <c:v>-5.1674910872937634</c:v>
                </c:pt>
                <c:pt idx="6">
                  <c:v>-5</c:v>
                </c:pt>
                <c:pt idx="7">
                  <c:v>-4.8239087409443187</c:v>
                </c:pt>
                <c:pt idx="8">
                  <c:v>-4.6575773191777934</c:v>
                </c:pt>
                <c:pt idx="9">
                  <c:v>-4.4948500216800937</c:v>
                </c:pt>
                <c:pt idx="10">
                  <c:v>-4.3372421683184257</c:v>
                </c:pt>
                <c:pt idx="11">
                  <c:v>-4.1674910872937634</c:v>
                </c:pt>
                <c:pt idx="12">
                  <c:v>-4</c:v>
                </c:pt>
                <c:pt idx="13">
                  <c:v>-3.8356471442155629</c:v>
                </c:pt>
                <c:pt idx="14">
                  <c:v>-3.6675615400843946</c:v>
                </c:pt>
                <c:pt idx="15">
                  <c:v>-3.5003129173815961</c:v>
                </c:pt>
                <c:pt idx="16">
                  <c:v>-3.3334820194451193</c:v>
                </c:pt>
                <c:pt idx="17">
                  <c:v>-3.1674910872937634</c:v>
                </c:pt>
                <c:pt idx="18">
                  <c:v>-3</c:v>
                </c:pt>
              </c:numCache>
            </c:numRef>
          </c:xVal>
          <c:yVal>
            <c:numRef>
              <c:f>'Shifted Data - 1st Guess'!$D$165:$D$183</c:f>
              <c:numCache>
                <c:formatCode>General</c:formatCode>
                <c:ptCount val="19"/>
                <c:pt idx="0">
                  <c:v>9.2533480000000008</c:v>
                </c:pt>
                <c:pt idx="1">
                  <c:v>9.5517459999999996</c:v>
                </c:pt>
                <c:pt idx="2">
                  <c:v>9.8949809999999996</c:v>
                </c:pt>
                <c:pt idx="3">
                  <c:v>10.31288</c:v>
                </c:pt>
                <c:pt idx="4">
                  <c:v>10.75249</c:v>
                </c:pt>
                <c:pt idx="5">
                  <c:v>11.24316</c:v>
                </c:pt>
                <c:pt idx="6">
                  <c:v>11.70074</c:v>
                </c:pt>
                <c:pt idx="7">
                  <c:v>12.21129</c:v>
                </c:pt>
                <c:pt idx="8">
                  <c:v>12.753500000000001</c:v>
                </c:pt>
                <c:pt idx="9">
                  <c:v>13.34796</c:v>
                </c:pt>
                <c:pt idx="10">
                  <c:v>14.00217</c:v>
                </c:pt>
                <c:pt idx="11">
                  <c:v>14.81527</c:v>
                </c:pt>
                <c:pt idx="12">
                  <c:v>15.74677</c:v>
                </c:pt>
                <c:pt idx="13">
                  <c:v>16.791910000000001</c:v>
                </c:pt>
                <c:pt idx="14">
                  <c:v>18.40692</c:v>
                </c:pt>
                <c:pt idx="15">
                  <c:v>21.012599999999999</c:v>
                </c:pt>
                <c:pt idx="16">
                  <c:v>21.310020000000002</c:v>
                </c:pt>
                <c:pt idx="17">
                  <c:v>26.674689999999998</c:v>
                </c:pt>
                <c:pt idx="18">
                  <c:v>23.490760000000002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070272"/>
        <c:axId val="140092928"/>
      </c:scatterChart>
      <c:valAx>
        <c:axId val="1400702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Log (Freq)</a:t>
                </a:r>
              </a:p>
            </c:rich>
          </c:tx>
          <c:layout/>
          <c:overlay val="0"/>
        </c:title>
        <c:numFmt formatCode="0.00" sourceLinked="1"/>
        <c:majorTickMark val="out"/>
        <c:minorTickMark val="none"/>
        <c:tickLblPos val="nextTo"/>
        <c:crossAx val="140092928"/>
        <c:crosses val="autoZero"/>
        <c:crossBetween val="midCat"/>
      </c:valAx>
      <c:valAx>
        <c:axId val="140092928"/>
        <c:scaling>
          <c:logBase val="10"/>
          <c:orientation val="minMax"/>
          <c:min val="7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en-US" sz="1400"/>
                  <a:t>Storage Modulus (MPa)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40070272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60 C</c:v>
          </c:tx>
          <c:spPr>
            <a:ln w="28575">
              <a:noFill/>
            </a:ln>
          </c:spPr>
          <c:marker>
            <c:symbol val="diamond"/>
            <c:size val="4"/>
          </c:marker>
          <c:xVal>
            <c:numRef>
              <c:f>'Shifted plus WLF Universal'!$G$3:$G$26</c:f>
              <c:numCache>
                <c:formatCode>0.00</c:formatCode>
                <c:ptCount val="24"/>
                <c:pt idx="0">
                  <c:v>9.9999990000000007E-3</c:v>
                </c:pt>
                <c:pt idx="1">
                  <c:v>0.02</c:v>
                </c:pt>
                <c:pt idx="2">
                  <c:v>0.03</c:v>
                </c:pt>
                <c:pt idx="3">
                  <c:v>0.05</c:v>
                </c:pt>
                <c:pt idx="4">
                  <c:v>7.0000000000000007E-2</c:v>
                </c:pt>
                <c:pt idx="5">
                  <c:v>0.1</c:v>
                </c:pt>
                <c:pt idx="6">
                  <c:v>0.15</c:v>
                </c:pt>
                <c:pt idx="7">
                  <c:v>0.22</c:v>
                </c:pt>
                <c:pt idx="8">
                  <c:v>0.32</c:v>
                </c:pt>
                <c:pt idx="9">
                  <c:v>0.46</c:v>
                </c:pt>
                <c:pt idx="10">
                  <c:v>0.68</c:v>
                </c:pt>
                <c:pt idx="11">
                  <c:v>1</c:v>
                </c:pt>
                <c:pt idx="12">
                  <c:v>1.5</c:v>
                </c:pt>
                <c:pt idx="13">
                  <c:v>2.2000000000000002</c:v>
                </c:pt>
                <c:pt idx="14">
                  <c:v>3.2</c:v>
                </c:pt>
                <c:pt idx="15">
                  <c:v>4.5999999999999996</c:v>
                </c:pt>
                <c:pt idx="16">
                  <c:v>6.8</c:v>
                </c:pt>
                <c:pt idx="17">
                  <c:v>10</c:v>
                </c:pt>
                <c:pt idx="18">
                  <c:v>14.6</c:v>
                </c:pt>
                <c:pt idx="19">
                  <c:v>21.5</c:v>
                </c:pt>
                <c:pt idx="20">
                  <c:v>31.6</c:v>
                </c:pt>
                <c:pt idx="21">
                  <c:v>46.4</c:v>
                </c:pt>
                <c:pt idx="22">
                  <c:v>68</c:v>
                </c:pt>
                <c:pt idx="23">
                  <c:v>100</c:v>
                </c:pt>
              </c:numCache>
            </c:numRef>
          </c:xVal>
          <c:yVal>
            <c:numRef>
              <c:f>'Shifted plus WLF Universal'!$D$3:$D$26</c:f>
              <c:numCache>
                <c:formatCode>General</c:formatCode>
                <c:ptCount val="24"/>
                <c:pt idx="0">
                  <c:v>1296.5440000000001</c:v>
                </c:pt>
                <c:pt idx="1">
                  <c:v>1411.3869999999999</c:v>
                </c:pt>
                <c:pt idx="2">
                  <c:v>1475.1959999999999</c:v>
                </c:pt>
                <c:pt idx="3">
                  <c:v>1538.9570000000001</c:v>
                </c:pt>
                <c:pt idx="4">
                  <c:v>1585.059</c:v>
                </c:pt>
                <c:pt idx="5">
                  <c:v>1625.829</c:v>
                </c:pt>
                <c:pt idx="6">
                  <c:v>1666.5039999999999</c:v>
                </c:pt>
                <c:pt idx="7">
                  <c:v>1706.336</c:v>
                </c:pt>
                <c:pt idx="8">
                  <c:v>1742.52</c:v>
                </c:pt>
                <c:pt idx="9">
                  <c:v>1776.425</c:v>
                </c:pt>
                <c:pt idx="10">
                  <c:v>1812.4</c:v>
                </c:pt>
                <c:pt idx="11">
                  <c:v>1845.133</c:v>
                </c:pt>
                <c:pt idx="12">
                  <c:v>1877.809</c:v>
                </c:pt>
                <c:pt idx="13">
                  <c:v>1908.6690000000001</c:v>
                </c:pt>
                <c:pt idx="14">
                  <c:v>1938.134</c:v>
                </c:pt>
                <c:pt idx="15">
                  <c:v>1966.98</c:v>
                </c:pt>
                <c:pt idx="16">
                  <c:v>1997.537</c:v>
                </c:pt>
                <c:pt idx="17">
                  <c:v>2027.748</c:v>
                </c:pt>
                <c:pt idx="18">
                  <c:v>2056.576</c:v>
                </c:pt>
                <c:pt idx="19">
                  <c:v>2086.8580000000002</c:v>
                </c:pt>
                <c:pt idx="20">
                  <c:v>2117.4920000000002</c:v>
                </c:pt>
                <c:pt idx="21">
                  <c:v>2145.627</c:v>
                </c:pt>
                <c:pt idx="22">
                  <c:v>2173.4160000000002</c:v>
                </c:pt>
                <c:pt idx="23">
                  <c:v>2180.3760000000002</c:v>
                </c:pt>
              </c:numCache>
            </c:numRef>
          </c:yVal>
          <c:smooth val="0"/>
        </c:ser>
        <c:ser>
          <c:idx val="1"/>
          <c:order val="1"/>
          <c:tx>
            <c:v>65 C</c:v>
          </c:tx>
          <c:spPr>
            <a:ln w="28575">
              <a:noFill/>
            </a:ln>
          </c:spPr>
          <c:marker>
            <c:symbol val="square"/>
            <c:size val="4"/>
          </c:marker>
          <c:xVal>
            <c:numRef>
              <c:f>'Shifted plus WLF Universal'!$G$27:$G$50</c:f>
              <c:numCache>
                <c:formatCode>0.00</c:formatCode>
                <c:ptCount val="24"/>
                <c:pt idx="0">
                  <c:v>9.9999990000000007E-3</c:v>
                </c:pt>
                <c:pt idx="1">
                  <c:v>0.02</c:v>
                </c:pt>
                <c:pt idx="2">
                  <c:v>0.03</c:v>
                </c:pt>
                <c:pt idx="3">
                  <c:v>0.05</c:v>
                </c:pt>
                <c:pt idx="4">
                  <c:v>7.0000000000000007E-2</c:v>
                </c:pt>
                <c:pt idx="5">
                  <c:v>0.1</c:v>
                </c:pt>
                <c:pt idx="6">
                  <c:v>0.15</c:v>
                </c:pt>
                <c:pt idx="7">
                  <c:v>0.22</c:v>
                </c:pt>
                <c:pt idx="8">
                  <c:v>0.32</c:v>
                </c:pt>
                <c:pt idx="9">
                  <c:v>0.46</c:v>
                </c:pt>
                <c:pt idx="10">
                  <c:v>0.68</c:v>
                </c:pt>
                <c:pt idx="11">
                  <c:v>1</c:v>
                </c:pt>
                <c:pt idx="12">
                  <c:v>1.5</c:v>
                </c:pt>
                <c:pt idx="13">
                  <c:v>2.2000000000000002</c:v>
                </c:pt>
                <c:pt idx="14">
                  <c:v>3.2</c:v>
                </c:pt>
                <c:pt idx="15">
                  <c:v>4.5999999999999996</c:v>
                </c:pt>
                <c:pt idx="16">
                  <c:v>6.8</c:v>
                </c:pt>
                <c:pt idx="17">
                  <c:v>10</c:v>
                </c:pt>
                <c:pt idx="18">
                  <c:v>14.6</c:v>
                </c:pt>
                <c:pt idx="19">
                  <c:v>21.5</c:v>
                </c:pt>
                <c:pt idx="20">
                  <c:v>31.6</c:v>
                </c:pt>
                <c:pt idx="21">
                  <c:v>46.4</c:v>
                </c:pt>
                <c:pt idx="22">
                  <c:v>68</c:v>
                </c:pt>
                <c:pt idx="23">
                  <c:v>100</c:v>
                </c:pt>
              </c:numCache>
            </c:numRef>
          </c:xVal>
          <c:yVal>
            <c:numRef>
              <c:f>'Shifted plus WLF Universal'!$D$27:$D$50</c:f>
              <c:numCache>
                <c:formatCode>General</c:formatCode>
                <c:ptCount val="24"/>
                <c:pt idx="0">
                  <c:v>691.05809999999997</c:v>
                </c:pt>
                <c:pt idx="1">
                  <c:v>807.14599999999996</c:v>
                </c:pt>
                <c:pt idx="2">
                  <c:v>874.48</c:v>
                </c:pt>
                <c:pt idx="3">
                  <c:v>952.33579999999995</c:v>
                </c:pt>
                <c:pt idx="4">
                  <c:v>1003.414</c:v>
                </c:pt>
                <c:pt idx="5">
                  <c:v>1054.4970000000001</c:v>
                </c:pt>
                <c:pt idx="6">
                  <c:v>1110.02</c:v>
                </c:pt>
                <c:pt idx="7">
                  <c:v>1160.9829999999999</c:v>
                </c:pt>
                <c:pt idx="8">
                  <c:v>1210.2940000000001</c:v>
                </c:pt>
                <c:pt idx="9">
                  <c:v>1256.43</c:v>
                </c:pt>
                <c:pt idx="10">
                  <c:v>1304.481</c:v>
                </c:pt>
                <c:pt idx="11">
                  <c:v>1348.5419999999999</c:v>
                </c:pt>
                <c:pt idx="12">
                  <c:v>1395.328</c:v>
                </c:pt>
                <c:pt idx="13">
                  <c:v>1438.5450000000001</c:v>
                </c:pt>
                <c:pt idx="14">
                  <c:v>1480.018</c:v>
                </c:pt>
                <c:pt idx="15">
                  <c:v>1520.3389999999999</c:v>
                </c:pt>
                <c:pt idx="16">
                  <c:v>1562.296</c:v>
                </c:pt>
                <c:pt idx="17">
                  <c:v>1603.7</c:v>
                </c:pt>
                <c:pt idx="18">
                  <c:v>1643.249</c:v>
                </c:pt>
                <c:pt idx="19">
                  <c:v>1684.2809999999999</c:v>
                </c:pt>
                <c:pt idx="20">
                  <c:v>1724.9110000000001</c:v>
                </c:pt>
                <c:pt idx="21">
                  <c:v>1761.61</c:v>
                </c:pt>
                <c:pt idx="22">
                  <c:v>1801.5840000000001</c:v>
                </c:pt>
                <c:pt idx="23">
                  <c:v>1822.0229999999999</c:v>
                </c:pt>
              </c:numCache>
            </c:numRef>
          </c:yVal>
          <c:smooth val="0"/>
        </c:ser>
        <c:ser>
          <c:idx val="2"/>
          <c:order val="2"/>
          <c:tx>
            <c:v>70 C</c:v>
          </c:tx>
          <c:spPr>
            <a:ln w="28575">
              <a:noFill/>
            </a:ln>
          </c:spPr>
          <c:marker>
            <c:symbol val="diamond"/>
            <c:size val="4"/>
          </c:marker>
          <c:xVal>
            <c:numRef>
              <c:f>'Shifted plus WLF Universal'!$G$51:$G$69</c:f>
              <c:numCache>
                <c:formatCode>0.00</c:formatCode>
                <c:ptCount val="19"/>
                <c:pt idx="0">
                  <c:v>0.1</c:v>
                </c:pt>
                <c:pt idx="1">
                  <c:v>0.15</c:v>
                </c:pt>
                <c:pt idx="2">
                  <c:v>0.22</c:v>
                </c:pt>
                <c:pt idx="3">
                  <c:v>0.32</c:v>
                </c:pt>
                <c:pt idx="4">
                  <c:v>0.46</c:v>
                </c:pt>
                <c:pt idx="5">
                  <c:v>0.68</c:v>
                </c:pt>
                <c:pt idx="6">
                  <c:v>1</c:v>
                </c:pt>
                <c:pt idx="7">
                  <c:v>1.5</c:v>
                </c:pt>
                <c:pt idx="8">
                  <c:v>2.2000000000000002</c:v>
                </c:pt>
                <c:pt idx="9">
                  <c:v>3.2</c:v>
                </c:pt>
                <c:pt idx="10">
                  <c:v>4.5999999999999996</c:v>
                </c:pt>
                <c:pt idx="11">
                  <c:v>6.8</c:v>
                </c:pt>
                <c:pt idx="12">
                  <c:v>10</c:v>
                </c:pt>
                <c:pt idx="13">
                  <c:v>14.6</c:v>
                </c:pt>
                <c:pt idx="14">
                  <c:v>21.5</c:v>
                </c:pt>
                <c:pt idx="15">
                  <c:v>31.6</c:v>
                </c:pt>
                <c:pt idx="16">
                  <c:v>46.4</c:v>
                </c:pt>
                <c:pt idx="17">
                  <c:v>68</c:v>
                </c:pt>
                <c:pt idx="18">
                  <c:v>100</c:v>
                </c:pt>
              </c:numCache>
            </c:numRef>
          </c:xVal>
          <c:yVal>
            <c:numRef>
              <c:f>'Shifted plus WLF Universal'!$D$51:$D$69</c:f>
              <c:numCache>
                <c:formatCode>General</c:formatCode>
                <c:ptCount val="19"/>
                <c:pt idx="0">
                  <c:v>493.78960000000001</c:v>
                </c:pt>
                <c:pt idx="1">
                  <c:v>473.6807</c:v>
                </c:pt>
                <c:pt idx="2">
                  <c:v>489.50259999999997</c:v>
                </c:pt>
                <c:pt idx="3">
                  <c:v>534.02890000000002</c:v>
                </c:pt>
                <c:pt idx="4">
                  <c:v>577.97180000000003</c:v>
                </c:pt>
                <c:pt idx="5">
                  <c:v>625.17610000000002</c:v>
                </c:pt>
                <c:pt idx="6">
                  <c:v>673.65089999999998</c:v>
                </c:pt>
                <c:pt idx="7">
                  <c:v>723.61030000000005</c:v>
                </c:pt>
                <c:pt idx="8">
                  <c:v>768.02189999999996</c:v>
                </c:pt>
                <c:pt idx="9">
                  <c:v>811.76710000000003</c:v>
                </c:pt>
                <c:pt idx="10">
                  <c:v>854.01580000000001</c:v>
                </c:pt>
                <c:pt idx="11">
                  <c:v>898.55489999999998</c:v>
                </c:pt>
                <c:pt idx="12">
                  <c:v>944.40710000000001</c:v>
                </c:pt>
                <c:pt idx="13">
                  <c:v>985.64469999999994</c:v>
                </c:pt>
                <c:pt idx="14">
                  <c:v>1029.2239999999999</c:v>
                </c:pt>
                <c:pt idx="15">
                  <c:v>1069.7850000000001</c:v>
                </c:pt>
                <c:pt idx="16">
                  <c:v>1106.345</c:v>
                </c:pt>
                <c:pt idx="17">
                  <c:v>1149.43</c:v>
                </c:pt>
                <c:pt idx="18">
                  <c:v>1178.6010000000001</c:v>
                </c:pt>
              </c:numCache>
            </c:numRef>
          </c:yVal>
          <c:smooth val="0"/>
        </c:ser>
        <c:ser>
          <c:idx val="3"/>
          <c:order val="3"/>
          <c:tx>
            <c:v>75 C</c:v>
          </c:tx>
          <c:spPr>
            <a:ln w="28575">
              <a:noFill/>
            </a:ln>
          </c:spPr>
          <c:marker>
            <c:symbol val="diamond"/>
            <c:size val="4"/>
          </c:marker>
          <c:xVal>
            <c:numRef>
              <c:f>'Shifted plus WLF Universal'!$G$70:$G$88</c:f>
              <c:numCache>
                <c:formatCode>0.00</c:formatCode>
                <c:ptCount val="19"/>
                <c:pt idx="0">
                  <c:v>0.1</c:v>
                </c:pt>
                <c:pt idx="1">
                  <c:v>0.15</c:v>
                </c:pt>
                <c:pt idx="2">
                  <c:v>0.22</c:v>
                </c:pt>
                <c:pt idx="3">
                  <c:v>0.32</c:v>
                </c:pt>
                <c:pt idx="4">
                  <c:v>0.46</c:v>
                </c:pt>
                <c:pt idx="5">
                  <c:v>0.68</c:v>
                </c:pt>
                <c:pt idx="6">
                  <c:v>1</c:v>
                </c:pt>
                <c:pt idx="7">
                  <c:v>1.5</c:v>
                </c:pt>
                <c:pt idx="8">
                  <c:v>2.2000000000000002</c:v>
                </c:pt>
                <c:pt idx="9">
                  <c:v>3.2</c:v>
                </c:pt>
                <c:pt idx="10">
                  <c:v>4.5999999999999996</c:v>
                </c:pt>
                <c:pt idx="11">
                  <c:v>6.8</c:v>
                </c:pt>
                <c:pt idx="12">
                  <c:v>10</c:v>
                </c:pt>
                <c:pt idx="13">
                  <c:v>14.6</c:v>
                </c:pt>
                <c:pt idx="14">
                  <c:v>21.5</c:v>
                </c:pt>
                <c:pt idx="15">
                  <c:v>31.6</c:v>
                </c:pt>
                <c:pt idx="16">
                  <c:v>46.4</c:v>
                </c:pt>
                <c:pt idx="17">
                  <c:v>68</c:v>
                </c:pt>
                <c:pt idx="18">
                  <c:v>100</c:v>
                </c:pt>
              </c:numCache>
            </c:numRef>
          </c:xVal>
          <c:yVal>
            <c:numRef>
              <c:f>'Shifted plus WLF Universal'!$D$70:$D$88</c:f>
              <c:numCache>
                <c:formatCode>General</c:formatCode>
                <c:ptCount val="19"/>
                <c:pt idx="0">
                  <c:v>93.074820000000003</c:v>
                </c:pt>
                <c:pt idx="1">
                  <c:v>109.4228</c:v>
                </c:pt>
                <c:pt idx="2">
                  <c:v>128.88489999999999</c:v>
                </c:pt>
                <c:pt idx="3">
                  <c:v>154.1653</c:v>
                </c:pt>
                <c:pt idx="4">
                  <c:v>182.3681</c:v>
                </c:pt>
                <c:pt idx="5">
                  <c:v>215.51169999999999</c:v>
                </c:pt>
                <c:pt idx="6">
                  <c:v>249.88120000000001</c:v>
                </c:pt>
                <c:pt idx="7">
                  <c:v>288.8802</c:v>
                </c:pt>
                <c:pt idx="8">
                  <c:v>328.45100000000002</c:v>
                </c:pt>
                <c:pt idx="9">
                  <c:v>369.19830000000002</c:v>
                </c:pt>
                <c:pt idx="10">
                  <c:v>410.37830000000002</c:v>
                </c:pt>
                <c:pt idx="11">
                  <c:v>456.12299999999999</c:v>
                </c:pt>
                <c:pt idx="12">
                  <c:v>502.37459999999999</c:v>
                </c:pt>
                <c:pt idx="13">
                  <c:v>548.73760000000004</c:v>
                </c:pt>
                <c:pt idx="14">
                  <c:v>596.5068</c:v>
                </c:pt>
                <c:pt idx="15">
                  <c:v>643.90800000000002</c:v>
                </c:pt>
                <c:pt idx="16">
                  <c:v>687.67489999999998</c:v>
                </c:pt>
                <c:pt idx="17">
                  <c:v>732.81979999999999</c:v>
                </c:pt>
                <c:pt idx="18">
                  <c:v>768.28710000000001</c:v>
                </c:pt>
              </c:numCache>
            </c:numRef>
          </c:yVal>
          <c:smooth val="0"/>
        </c:ser>
        <c:ser>
          <c:idx val="4"/>
          <c:order val="4"/>
          <c:tx>
            <c:v>80 C</c:v>
          </c:tx>
          <c:spPr>
            <a:ln w="28575">
              <a:noFill/>
            </a:ln>
          </c:spPr>
          <c:marker>
            <c:symbol val="square"/>
            <c:size val="4"/>
          </c:marker>
          <c:xVal>
            <c:numRef>
              <c:f>'Shifted plus WLF Universal'!$G$89:$G$107</c:f>
              <c:numCache>
                <c:formatCode>0.00</c:formatCode>
                <c:ptCount val="19"/>
                <c:pt idx="0">
                  <c:v>0.1</c:v>
                </c:pt>
                <c:pt idx="1">
                  <c:v>0.15</c:v>
                </c:pt>
                <c:pt idx="2">
                  <c:v>0.22</c:v>
                </c:pt>
                <c:pt idx="3">
                  <c:v>0.32</c:v>
                </c:pt>
                <c:pt idx="4">
                  <c:v>0.46</c:v>
                </c:pt>
                <c:pt idx="5">
                  <c:v>0.68</c:v>
                </c:pt>
                <c:pt idx="6">
                  <c:v>1</c:v>
                </c:pt>
                <c:pt idx="7">
                  <c:v>1.5</c:v>
                </c:pt>
                <c:pt idx="8">
                  <c:v>2.2000000000000002</c:v>
                </c:pt>
                <c:pt idx="9">
                  <c:v>3.2</c:v>
                </c:pt>
                <c:pt idx="10">
                  <c:v>4.5999999999999996</c:v>
                </c:pt>
                <c:pt idx="11">
                  <c:v>6.8</c:v>
                </c:pt>
                <c:pt idx="12">
                  <c:v>10</c:v>
                </c:pt>
                <c:pt idx="13">
                  <c:v>14.6</c:v>
                </c:pt>
                <c:pt idx="14">
                  <c:v>21.5</c:v>
                </c:pt>
                <c:pt idx="15">
                  <c:v>31.6</c:v>
                </c:pt>
                <c:pt idx="16">
                  <c:v>46.4</c:v>
                </c:pt>
                <c:pt idx="17">
                  <c:v>68</c:v>
                </c:pt>
                <c:pt idx="18">
                  <c:v>100</c:v>
                </c:pt>
              </c:numCache>
            </c:numRef>
          </c:xVal>
          <c:yVal>
            <c:numRef>
              <c:f>'Shifted plus WLF Universal'!$D$89:$D$107</c:f>
              <c:numCache>
                <c:formatCode>General</c:formatCode>
                <c:ptCount val="19"/>
                <c:pt idx="0">
                  <c:v>26.106940000000002</c:v>
                </c:pt>
                <c:pt idx="1">
                  <c:v>29.332159999999998</c:v>
                </c:pt>
                <c:pt idx="2">
                  <c:v>34.350360000000002</c:v>
                </c:pt>
                <c:pt idx="3">
                  <c:v>41.194580000000002</c:v>
                </c:pt>
                <c:pt idx="4">
                  <c:v>49.47898</c:v>
                </c:pt>
                <c:pt idx="5">
                  <c:v>60.372979999999998</c:v>
                </c:pt>
                <c:pt idx="6">
                  <c:v>72.675399999999996</c:v>
                </c:pt>
                <c:pt idx="7">
                  <c:v>88.307119999999998</c:v>
                </c:pt>
                <c:pt idx="8">
                  <c:v>106.28270000000001</c:v>
                </c:pt>
                <c:pt idx="9">
                  <c:v>126.8644</c:v>
                </c:pt>
                <c:pt idx="10">
                  <c:v>149.83449999999999</c:v>
                </c:pt>
                <c:pt idx="11">
                  <c:v>178.0198</c:v>
                </c:pt>
                <c:pt idx="12">
                  <c:v>209.11369999999999</c:v>
                </c:pt>
                <c:pt idx="13">
                  <c:v>242.95</c:v>
                </c:pt>
                <c:pt idx="14">
                  <c:v>280.86399999999998</c:v>
                </c:pt>
                <c:pt idx="15">
                  <c:v>322.17790000000002</c:v>
                </c:pt>
                <c:pt idx="16">
                  <c:v>362.35820000000001</c:v>
                </c:pt>
                <c:pt idx="17">
                  <c:v>408.33089999999999</c:v>
                </c:pt>
                <c:pt idx="18">
                  <c:v>450.32170000000002</c:v>
                </c:pt>
              </c:numCache>
            </c:numRef>
          </c:yVal>
          <c:smooth val="0"/>
        </c:ser>
        <c:ser>
          <c:idx val="5"/>
          <c:order val="5"/>
          <c:tx>
            <c:v>85 C</c:v>
          </c:tx>
          <c:spPr>
            <a:ln w="28575">
              <a:noFill/>
            </a:ln>
          </c:spPr>
          <c:marker>
            <c:symbol val="circle"/>
            <c:size val="4"/>
          </c:marker>
          <c:xVal>
            <c:numRef>
              <c:f>'Shifted plus WLF Universal'!$G$108:$G$126</c:f>
              <c:numCache>
                <c:formatCode>0.00</c:formatCode>
                <c:ptCount val="19"/>
                <c:pt idx="0">
                  <c:v>0.1</c:v>
                </c:pt>
                <c:pt idx="1">
                  <c:v>0.15</c:v>
                </c:pt>
                <c:pt idx="2">
                  <c:v>0.22</c:v>
                </c:pt>
                <c:pt idx="3">
                  <c:v>0.32</c:v>
                </c:pt>
                <c:pt idx="4">
                  <c:v>0.46</c:v>
                </c:pt>
                <c:pt idx="5">
                  <c:v>0.68</c:v>
                </c:pt>
                <c:pt idx="6">
                  <c:v>1</c:v>
                </c:pt>
                <c:pt idx="7">
                  <c:v>1.5</c:v>
                </c:pt>
                <c:pt idx="8">
                  <c:v>2.2000000000000002</c:v>
                </c:pt>
                <c:pt idx="9">
                  <c:v>3.2</c:v>
                </c:pt>
                <c:pt idx="10">
                  <c:v>4.5999999999999996</c:v>
                </c:pt>
                <c:pt idx="11">
                  <c:v>6.8</c:v>
                </c:pt>
                <c:pt idx="12">
                  <c:v>10</c:v>
                </c:pt>
                <c:pt idx="13">
                  <c:v>14.6</c:v>
                </c:pt>
                <c:pt idx="14">
                  <c:v>21.5</c:v>
                </c:pt>
                <c:pt idx="15">
                  <c:v>31.6</c:v>
                </c:pt>
                <c:pt idx="16">
                  <c:v>46.4</c:v>
                </c:pt>
                <c:pt idx="17">
                  <c:v>68</c:v>
                </c:pt>
                <c:pt idx="18">
                  <c:v>100</c:v>
                </c:pt>
              </c:numCache>
            </c:numRef>
          </c:xVal>
          <c:yVal>
            <c:numRef>
              <c:f>'Shifted plus WLF Universal'!$D$108:$D$126</c:f>
              <c:numCache>
                <c:formatCode>General</c:formatCode>
                <c:ptCount val="19"/>
                <c:pt idx="0">
                  <c:v>15.760260000000001</c:v>
                </c:pt>
                <c:pt idx="1">
                  <c:v>16.85425</c:v>
                </c:pt>
                <c:pt idx="2">
                  <c:v>18.297920000000001</c:v>
                </c:pt>
                <c:pt idx="3">
                  <c:v>20.205469999999998</c:v>
                </c:pt>
                <c:pt idx="4">
                  <c:v>22.499320000000001</c:v>
                </c:pt>
                <c:pt idx="5">
                  <c:v>25.484500000000001</c:v>
                </c:pt>
                <c:pt idx="6">
                  <c:v>28.851299999999998</c:v>
                </c:pt>
                <c:pt idx="7">
                  <c:v>33.267859999999999</c:v>
                </c:pt>
                <c:pt idx="8">
                  <c:v>38.645040000000002</c:v>
                </c:pt>
                <c:pt idx="9">
                  <c:v>45.243940000000002</c:v>
                </c:pt>
                <c:pt idx="10">
                  <c:v>53.181100000000001</c:v>
                </c:pt>
                <c:pt idx="11">
                  <c:v>71.378810000000001</c:v>
                </c:pt>
                <c:pt idx="12">
                  <c:v>83.854939999999999</c:v>
                </c:pt>
                <c:pt idx="13">
                  <c:v>97.681889999999996</c:v>
                </c:pt>
                <c:pt idx="14">
                  <c:v>116.0951</c:v>
                </c:pt>
                <c:pt idx="15">
                  <c:v>137.6859</c:v>
                </c:pt>
                <c:pt idx="16">
                  <c:v>159.84639999999999</c:v>
                </c:pt>
                <c:pt idx="17">
                  <c:v>192.13980000000001</c:v>
                </c:pt>
                <c:pt idx="18">
                  <c:v>219.71180000000001</c:v>
                </c:pt>
              </c:numCache>
            </c:numRef>
          </c:yVal>
          <c:smooth val="0"/>
        </c:ser>
        <c:ser>
          <c:idx val="6"/>
          <c:order val="6"/>
          <c:tx>
            <c:v>90 C</c:v>
          </c:tx>
          <c:spPr>
            <a:ln w="28575">
              <a:noFill/>
            </a:ln>
          </c:spPr>
          <c:marker>
            <c:symbol val="diamond"/>
            <c:size val="4"/>
          </c:marker>
          <c:xVal>
            <c:numRef>
              <c:f>'Shifted plus WLF Universal'!$G$127:$G$145</c:f>
              <c:numCache>
                <c:formatCode>0.00</c:formatCode>
                <c:ptCount val="19"/>
                <c:pt idx="0">
                  <c:v>0.1</c:v>
                </c:pt>
                <c:pt idx="1">
                  <c:v>0.15</c:v>
                </c:pt>
                <c:pt idx="2">
                  <c:v>0.22</c:v>
                </c:pt>
                <c:pt idx="3">
                  <c:v>0.32</c:v>
                </c:pt>
                <c:pt idx="4">
                  <c:v>0.46</c:v>
                </c:pt>
                <c:pt idx="5">
                  <c:v>0.68</c:v>
                </c:pt>
                <c:pt idx="6">
                  <c:v>1</c:v>
                </c:pt>
                <c:pt idx="7">
                  <c:v>1.5</c:v>
                </c:pt>
                <c:pt idx="8">
                  <c:v>2.2000000000000002</c:v>
                </c:pt>
                <c:pt idx="9">
                  <c:v>3.2</c:v>
                </c:pt>
                <c:pt idx="10">
                  <c:v>4.5999999999999996</c:v>
                </c:pt>
                <c:pt idx="11">
                  <c:v>6.8</c:v>
                </c:pt>
                <c:pt idx="12">
                  <c:v>10</c:v>
                </c:pt>
                <c:pt idx="13">
                  <c:v>14.6</c:v>
                </c:pt>
                <c:pt idx="14">
                  <c:v>21.5</c:v>
                </c:pt>
                <c:pt idx="15">
                  <c:v>31.6</c:v>
                </c:pt>
                <c:pt idx="16">
                  <c:v>46.4</c:v>
                </c:pt>
                <c:pt idx="17">
                  <c:v>68</c:v>
                </c:pt>
                <c:pt idx="18">
                  <c:v>100</c:v>
                </c:pt>
              </c:numCache>
            </c:numRef>
          </c:xVal>
          <c:yVal>
            <c:numRef>
              <c:f>'Shifted plus WLF Universal'!$D$127:$D$145</c:f>
              <c:numCache>
                <c:formatCode>General</c:formatCode>
                <c:ptCount val="19"/>
                <c:pt idx="0">
                  <c:v>12.72977</c:v>
                </c:pt>
                <c:pt idx="1">
                  <c:v>13.23512</c:v>
                </c:pt>
                <c:pt idx="2">
                  <c:v>13.8683</c:v>
                </c:pt>
                <c:pt idx="3">
                  <c:v>14.694319999999999</c:v>
                </c:pt>
                <c:pt idx="4">
                  <c:v>15.627800000000001</c:v>
                </c:pt>
                <c:pt idx="5">
                  <c:v>16.794060000000002</c:v>
                </c:pt>
                <c:pt idx="6">
                  <c:v>18.04196</c:v>
                </c:pt>
                <c:pt idx="7">
                  <c:v>19.574839999999998</c:v>
                </c:pt>
                <c:pt idx="8">
                  <c:v>21.40222</c:v>
                </c:pt>
                <c:pt idx="9">
                  <c:v>23.618490000000001</c:v>
                </c:pt>
                <c:pt idx="10">
                  <c:v>26.281099999999999</c:v>
                </c:pt>
                <c:pt idx="11">
                  <c:v>29.867999999999999</c:v>
                </c:pt>
                <c:pt idx="12">
                  <c:v>34.3065</c:v>
                </c:pt>
                <c:pt idx="13">
                  <c:v>39.740299999999998</c:v>
                </c:pt>
                <c:pt idx="14">
                  <c:v>47.036020000000001</c:v>
                </c:pt>
                <c:pt idx="15">
                  <c:v>56.865499999999997</c:v>
                </c:pt>
                <c:pt idx="16">
                  <c:v>66.214699999999993</c:v>
                </c:pt>
                <c:pt idx="17">
                  <c:v>82.694180000000003</c:v>
                </c:pt>
                <c:pt idx="18">
                  <c:v>93.186419999999998</c:v>
                </c:pt>
              </c:numCache>
            </c:numRef>
          </c:yVal>
          <c:smooth val="0"/>
        </c:ser>
        <c:ser>
          <c:idx val="7"/>
          <c:order val="7"/>
          <c:tx>
            <c:v>95 C</c:v>
          </c:tx>
          <c:spPr>
            <a:ln w="28575">
              <a:noFill/>
            </a:ln>
          </c:spPr>
          <c:marker>
            <c:symbol val="square"/>
            <c:size val="4"/>
          </c:marker>
          <c:xVal>
            <c:numRef>
              <c:f>'Shifted plus WLF Universal'!$G$146:$G$164</c:f>
              <c:numCache>
                <c:formatCode>0.00</c:formatCode>
                <c:ptCount val="19"/>
                <c:pt idx="0">
                  <c:v>0.1</c:v>
                </c:pt>
                <c:pt idx="1">
                  <c:v>0.15</c:v>
                </c:pt>
                <c:pt idx="2">
                  <c:v>0.22</c:v>
                </c:pt>
                <c:pt idx="3">
                  <c:v>0.32</c:v>
                </c:pt>
                <c:pt idx="4">
                  <c:v>0.46</c:v>
                </c:pt>
                <c:pt idx="5">
                  <c:v>0.68</c:v>
                </c:pt>
                <c:pt idx="6">
                  <c:v>1</c:v>
                </c:pt>
                <c:pt idx="7">
                  <c:v>1.5</c:v>
                </c:pt>
                <c:pt idx="8">
                  <c:v>2.2000000000000002</c:v>
                </c:pt>
                <c:pt idx="9">
                  <c:v>3.2</c:v>
                </c:pt>
                <c:pt idx="10">
                  <c:v>4.5999999999999996</c:v>
                </c:pt>
                <c:pt idx="11">
                  <c:v>6.8</c:v>
                </c:pt>
                <c:pt idx="12">
                  <c:v>10</c:v>
                </c:pt>
                <c:pt idx="13">
                  <c:v>14.6</c:v>
                </c:pt>
                <c:pt idx="14">
                  <c:v>21.5</c:v>
                </c:pt>
                <c:pt idx="15">
                  <c:v>31.6</c:v>
                </c:pt>
                <c:pt idx="16">
                  <c:v>46.4</c:v>
                </c:pt>
                <c:pt idx="17">
                  <c:v>68</c:v>
                </c:pt>
                <c:pt idx="18">
                  <c:v>100</c:v>
                </c:pt>
              </c:numCache>
            </c:numRef>
          </c:xVal>
          <c:yVal>
            <c:numRef>
              <c:f>'Shifted plus WLF Universal'!$D$146:$D$164</c:f>
              <c:numCache>
                <c:formatCode>General</c:formatCode>
                <c:ptCount val="19"/>
                <c:pt idx="0">
                  <c:v>10.840529999999999</c:v>
                </c:pt>
                <c:pt idx="1">
                  <c:v>11.172079999999999</c:v>
                </c:pt>
                <c:pt idx="2">
                  <c:v>11.54082</c:v>
                </c:pt>
                <c:pt idx="3">
                  <c:v>12.055260000000001</c:v>
                </c:pt>
                <c:pt idx="4">
                  <c:v>12.625249999999999</c:v>
                </c:pt>
                <c:pt idx="5">
                  <c:v>13.29208</c:v>
                </c:pt>
                <c:pt idx="6">
                  <c:v>13.949859999999999</c:v>
                </c:pt>
                <c:pt idx="7">
                  <c:v>14.71692</c:v>
                </c:pt>
                <c:pt idx="8">
                  <c:v>15.57686</c:v>
                </c:pt>
                <c:pt idx="9">
                  <c:v>16.568660000000001</c:v>
                </c:pt>
                <c:pt idx="10">
                  <c:v>17.71621</c:v>
                </c:pt>
                <c:pt idx="11">
                  <c:v>19.217590000000001</c:v>
                </c:pt>
                <c:pt idx="12">
                  <c:v>21.028659999999999</c:v>
                </c:pt>
                <c:pt idx="13">
                  <c:v>23.16968</c:v>
                </c:pt>
                <c:pt idx="14">
                  <c:v>26.229649999999999</c:v>
                </c:pt>
                <c:pt idx="15">
                  <c:v>30.73208</c:v>
                </c:pt>
                <c:pt idx="16">
                  <c:v>33.46902</c:v>
                </c:pt>
                <c:pt idx="17">
                  <c:v>41.88494</c:v>
                </c:pt>
                <c:pt idx="18">
                  <c:v>42.713520000000003</c:v>
                </c:pt>
              </c:numCache>
            </c:numRef>
          </c:yVal>
          <c:smooth val="0"/>
        </c:ser>
        <c:ser>
          <c:idx val="8"/>
          <c:order val="8"/>
          <c:tx>
            <c:v>100 C</c:v>
          </c:tx>
          <c:spPr>
            <a:ln w="28575">
              <a:noFill/>
            </a:ln>
          </c:spPr>
          <c:marker>
            <c:symbol val="square"/>
            <c:size val="4"/>
          </c:marker>
          <c:xVal>
            <c:numRef>
              <c:f>'Shifted plus WLF Universal'!$G$165:$G$183</c:f>
              <c:numCache>
                <c:formatCode>0.00</c:formatCode>
                <c:ptCount val="19"/>
                <c:pt idx="0">
                  <c:v>0.1</c:v>
                </c:pt>
                <c:pt idx="1">
                  <c:v>0.15</c:v>
                </c:pt>
                <c:pt idx="2">
                  <c:v>0.22</c:v>
                </c:pt>
                <c:pt idx="3">
                  <c:v>0.32</c:v>
                </c:pt>
                <c:pt idx="4">
                  <c:v>0.46</c:v>
                </c:pt>
                <c:pt idx="5">
                  <c:v>0.68</c:v>
                </c:pt>
                <c:pt idx="6">
                  <c:v>1</c:v>
                </c:pt>
                <c:pt idx="7">
                  <c:v>1.5</c:v>
                </c:pt>
                <c:pt idx="8">
                  <c:v>2.2000000000000002</c:v>
                </c:pt>
                <c:pt idx="9">
                  <c:v>3.2</c:v>
                </c:pt>
                <c:pt idx="10">
                  <c:v>4.5999999999999996</c:v>
                </c:pt>
                <c:pt idx="11">
                  <c:v>6.8</c:v>
                </c:pt>
                <c:pt idx="12">
                  <c:v>10</c:v>
                </c:pt>
                <c:pt idx="13">
                  <c:v>14.6</c:v>
                </c:pt>
                <c:pt idx="14">
                  <c:v>21.5</c:v>
                </c:pt>
                <c:pt idx="15">
                  <c:v>31.6</c:v>
                </c:pt>
                <c:pt idx="16">
                  <c:v>46.4</c:v>
                </c:pt>
                <c:pt idx="17">
                  <c:v>68</c:v>
                </c:pt>
                <c:pt idx="18">
                  <c:v>100</c:v>
                </c:pt>
              </c:numCache>
            </c:numRef>
          </c:xVal>
          <c:yVal>
            <c:numRef>
              <c:f>'Shifted plus WLF Universal'!$D$165:$D$183</c:f>
              <c:numCache>
                <c:formatCode>General</c:formatCode>
                <c:ptCount val="19"/>
                <c:pt idx="0">
                  <c:v>9.2533480000000008</c:v>
                </c:pt>
                <c:pt idx="1">
                  <c:v>9.5517459999999996</c:v>
                </c:pt>
                <c:pt idx="2">
                  <c:v>9.8949809999999996</c:v>
                </c:pt>
                <c:pt idx="3">
                  <c:v>10.31288</c:v>
                </c:pt>
                <c:pt idx="4">
                  <c:v>10.75249</c:v>
                </c:pt>
                <c:pt idx="5">
                  <c:v>11.24316</c:v>
                </c:pt>
                <c:pt idx="6">
                  <c:v>11.70074</c:v>
                </c:pt>
                <c:pt idx="7">
                  <c:v>12.21129</c:v>
                </c:pt>
                <c:pt idx="8">
                  <c:v>12.753500000000001</c:v>
                </c:pt>
                <c:pt idx="9">
                  <c:v>13.34796</c:v>
                </c:pt>
                <c:pt idx="10">
                  <c:v>14.00217</c:v>
                </c:pt>
                <c:pt idx="11">
                  <c:v>14.81527</c:v>
                </c:pt>
                <c:pt idx="12">
                  <c:v>15.74677</c:v>
                </c:pt>
                <c:pt idx="13">
                  <c:v>16.791910000000001</c:v>
                </c:pt>
                <c:pt idx="14">
                  <c:v>18.40692</c:v>
                </c:pt>
                <c:pt idx="15">
                  <c:v>21.012599999999999</c:v>
                </c:pt>
                <c:pt idx="16">
                  <c:v>21.310020000000002</c:v>
                </c:pt>
                <c:pt idx="17">
                  <c:v>26.674689999999998</c:v>
                </c:pt>
                <c:pt idx="18">
                  <c:v>23.490760000000002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808768"/>
        <c:axId val="139810304"/>
      </c:scatterChart>
      <c:valAx>
        <c:axId val="139808768"/>
        <c:scaling>
          <c:logBase val="10"/>
          <c:orientation val="minMax"/>
        </c:scaling>
        <c:delete val="0"/>
        <c:axPos val="b"/>
        <c:numFmt formatCode="0.00" sourceLinked="1"/>
        <c:majorTickMark val="out"/>
        <c:minorTickMark val="none"/>
        <c:tickLblPos val="nextTo"/>
        <c:crossAx val="139810304"/>
        <c:crosses val="autoZero"/>
        <c:crossBetween val="midCat"/>
      </c:valAx>
      <c:valAx>
        <c:axId val="139810304"/>
        <c:scaling>
          <c:logBase val="10"/>
          <c:orientation val="minMax"/>
          <c:min val="7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9808768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3100409757100096E-2"/>
          <c:y val="2.606225278178256E-2"/>
          <c:w val="0.89731555578391198"/>
          <c:h val="0.85388691730435107"/>
        </c:manualLayout>
      </c:layout>
      <c:scatterChart>
        <c:scatterStyle val="lineMarker"/>
        <c:varyColors val="0"/>
        <c:ser>
          <c:idx val="0"/>
          <c:order val="0"/>
          <c:tx>
            <c:v>60 C</c:v>
          </c:tx>
          <c:spPr>
            <a:ln w="28575">
              <a:solidFill>
                <a:schemeClr val="accent1"/>
              </a:solidFill>
            </a:ln>
          </c:spPr>
          <c:marker>
            <c:symbol val="none"/>
          </c:marker>
          <c:xVal>
            <c:numRef>
              <c:f>'Shifted plus WLF Universal'!$I$3:$I$26</c:f>
              <c:numCache>
                <c:formatCode>0.00</c:formatCode>
                <c:ptCount val="24"/>
                <c:pt idx="0">
                  <c:v>3.9999999565705497</c:v>
                </c:pt>
                <c:pt idx="1">
                  <c:v>4.3010299956639813</c:v>
                </c:pt>
                <c:pt idx="2">
                  <c:v>4.4771212547196626</c:v>
                </c:pt>
                <c:pt idx="3">
                  <c:v>4.6989700043360187</c:v>
                </c:pt>
                <c:pt idx="4">
                  <c:v>4.8450980400142569</c:v>
                </c:pt>
                <c:pt idx="5">
                  <c:v>5</c:v>
                </c:pt>
                <c:pt idx="6">
                  <c:v>5.1760912590556813</c:v>
                </c:pt>
                <c:pt idx="7">
                  <c:v>5.3424226808222066</c:v>
                </c:pt>
                <c:pt idx="8">
                  <c:v>5.5051499783199063</c:v>
                </c:pt>
                <c:pt idx="9">
                  <c:v>5.6627578316815743</c:v>
                </c:pt>
                <c:pt idx="10">
                  <c:v>5.8325089127062366</c:v>
                </c:pt>
                <c:pt idx="11">
                  <c:v>6</c:v>
                </c:pt>
                <c:pt idx="12">
                  <c:v>6.1760912590556813</c:v>
                </c:pt>
                <c:pt idx="13">
                  <c:v>6.3424226808222066</c:v>
                </c:pt>
                <c:pt idx="14">
                  <c:v>6.5051499783199063</c:v>
                </c:pt>
                <c:pt idx="15">
                  <c:v>6.6627578316815743</c:v>
                </c:pt>
                <c:pt idx="16">
                  <c:v>6.8325089127062366</c:v>
                </c:pt>
                <c:pt idx="17">
                  <c:v>7</c:v>
                </c:pt>
                <c:pt idx="18">
                  <c:v>7.1643528557844371</c:v>
                </c:pt>
                <c:pt idx="19">
                  <c:v>7.3324384599156058</c:v>
                </c:pt>
                <c:pt idx="20">
                  <c:v>7.4996870826184043</c:v>
                </c:pt>
                <c:pt idx="21">
                  <c:v>7.6665179805548807</c:v>
                </c:pt>
                <c:pt idx="22">
                  <c:v>7.8325089127062366</c:v>
                </c:pt>
                <c:pt idx="23">
                  <c:v>8</c:v>
                </c:pt>
              </c:numCache>
            </c:numRef>
          </c:xVal>
          <c:yVal>
            <c:numRef>
              <c:f>'Shifted plus WLF Universal'!$D$3:$D$26</c:f>
              <c:numCache>
                <c:formatCode>General</c:formatCode>
                <c:ptCount val="24"/>
                <c:pt idx="0">
                  <c:v>1296.5440000000001</c:v>
                </c:pt>
                <c:pt idx="1">
                  <c:v>1411.3869999999999</c:v>
                </c:pt>
                <c:pt idx="2">
                  <c:v>1475.1959999999999</c:v>
                </c:pt>
                <c:pt idx="3">
                  <c:v>1538.9570000000001</c:v>
                </c:pt>
                <c:pt idx="4">
                  <c:v>1585.059</c:v>
                </c:pt>
                <c:pt idx="5">
                  <c:v>1625.829</c:v>
                </c:pt>
                <c:pt idx="6">
                  <c:v>1666.5039999999999</c:v>
                </c:pt>
                <c:pt idx="7">
                  <c:v>1706.336</c:v>
                </c:pt>
                <c:pt idx="8">
                  <c:v>1742.52</c:v>
                </c:pt>
                <c:pt idx="9">
                  <c:v>1776.425</c:v>
                </c:pt>
                <c:pt idx="10">
                  <c:v>1812.4</c:v>
                </c:pt>
                <c:pt idx="11">
                  <c:v>1845.133</c:v>
                </c:pt>
                <c:pt idx="12">
                  <c:v>1877.809</c:v>
                </c:pt>
                <c:pt idx="13">
                  <c:v>1908.6690000000001</c:v>
                </c:pt>
                <c:pt idx="14">
                  <c:v>1938.134</c:v>
                </c:pt>
                <c:pt idx="15">
                  <c:v>1966.98</c:v>
                </c:pt>
                <c:pt idx="16">
                  <c:v>1997.537</c:v>
                </c:pt>
                <c:pt idx="17">
                  <c:v>2027.748</c:v>
                </c:pt>
                <c:pt idx="18">
                  <c:v>2056.576</c:v>
                </c:pt>
                <c:pt idx="19">
                  <c:v>2086.8580000000002</c:v>
                </c:pt>
                <c:pt idx="20">
                  <c:v>2117.4920000000002</c:v>
                </c:pt>
                <c:pt idx="21">
                  <c:v>2145.627</c:v>
                </c:pt>
                <c:pt idx="22">
                  <c:v>2173.4160000000002</c:v>
                </c:pt>
                <c:pt idx="23">
                  <c:v>2180.3760000000002</c:v>
                </c:pt>
              </c:numCache>
            </c:numRef>
          </c:yVal>
          <c:smooth val="0"/>
        </c:ser>
        <c:ser>
          <c:idx val="1"/>
          <c:order val="1"/>
          <c:tx>
            <c:v>65 C</c:v>
          </c:tx>
          <c:spPr>
            <a:ln w="28575">
              <a:solidFill>
                <a:srgbClr val="C00000"/>
              </a:solidFill>
            </a:ln>
          </c:spPr>
          <c:marker>
            <c:symbol val="none"/>
          </c:marker>
          <c:xVal>
            <c:numRef>
              <c:f>'Shifted plus WLF Universal'!$I$27:$I$50</c:f>
              <c:numCache>
                <c:formatCode>0.00</c:formatCode>
                <c:ptCount val="24"/>
                <c:pt idx="0">
                  <c:v>1.8999999565705497</c:v>
                </c:pt>
                <c:pt idx="1">
                  <c:v>2.2010299956639812</c:v>
                </c:pt>
                <c:pt idx="2">
                  <c:v>2.3771212547196621</c:v>
                </c:pt>
                <c:pt idx="3">
                  <c:v>2.5989700043360187</c:v>
                </c:pt>
                <c:pt idx="4">
                  <c:v>2.7450980400142568</c:v>
                </c:pt>
                <c:pt idx="5">
                  <c:v>2.9</c:v>
                </c:pt>
                <c:pt idx="6">
                  <c:v>3.0760912590556813</c:v>
                </c:pt>
                <c:pt idx="7">
                  <c:v>3.2424226808222061</c:v>
                </c:pt>
                <c:pt idx="8">
                  <c:v>3.4051499783199057</c:v>
                </c:pt>
                <c:pt idx="9">
                  <c:v>3.5627578316815738</c:v>
                </c:pt>
                <c:pt idx="10">
                  <c:v>3.7325089127062361</c:v>
                </c:pt>
                <c:pt idx="11">
                  <c:v>3.9</c:v>
                </c:pt>
                <c:pt idx="12">
                  <c:v>4.0760912590556808</c:v>
                </c:pt>
                <c:pt idx="13">
                  <c:v>4.2424226808222061</c:v>
                </c:pt>
                <c:pt idx="14">
                  <c:v>4.4051499783199057</c:v>
                </c:pt>
                <c:pt idx="15">
                  <c:v>4.5627578316815738</c:v>
                </c:pt>
                <c:pt idx="16">
                  <c:v>4.7325089127062361</c:v>
                </c:pt>
                <c:pt idx="17">
                  <c:v>4.9000000000000004</c:v>
                </c:pt>
                <c:pt idx="18">
                  <c:v>5.0643528557844366</c:v>
                </c:pt>
                <c:pt idx="19">
                  <c:v>5.2324384599156053</c:v>
                </c:pt>
                <c:pt idx="20">
                  <c:v>5.3996870826184038</c:v>
                </c:pt>
                <c:pt idx="21">
                  <c:v>5.566517980554881</c:v>
                </c:pt>
                <c:pt idx="22">
                  <c:v>5.7325089127062361</c:v>
                </c:pt>
                <c:pt idx="23">
                  <c:v>5.9</c:v>
                </c:pt>
              </c:numCache>
            </c:numRef>
          </c:xVal>
          <c:yVal>
            <c:numRef>
              <c:f>'Shifted plus WLF Universal'!$D$27:$D$50</c:f>
              <c:numCache>
                <c:formatCode>General</c:formatCode>
                <c:ptCount val="24"/>
                <c:pt idx="0">
                  <c:v>691.05809999999997</c:v>
                </c:pt>
                <c:pt idx="1">
                  <c:v>807.14599999999996</c:v>
                </c:pt>
                <c:pt idx="2">
                  <c:v>874.48</c:v>
                </c:pt>
                <c:pt idx="3">
                  <c:v>952.33579999999995</c:v>
                </c:pt>
                <c:pt idx="4">
                  <c:v>1003.414</c:v>
                </c:pt>
                <c:pt idx="5">
                  <c:v>1054.4970000000001</c:v>
                </c:pt>
                <c:pt idx="6">
                  <c:v>1110.02</c:v>
                </c:pt>
                <c:pt idx="7">
                  <c:v>1160.9829999999999</c:v>
                </c:pt>
                <c:pt idx="8">
                  <c:v>1210.2940000000001</c:v>
                </c:pt>
                <c:pt idx="9">
                  <c:v>1256.43</c:v>
                </c:pt>
                <c:pt idx="10">
                  <c:v>1304.481</c:v>
                </c:pt>
                <c:pt idx="11">
                  <c:v>1348.5419999999999</c:v>
                </c:pt>
                <c:pt idx="12">
                  <c:v>1395.328</c:v>
                </c:pt>
                <c:pt idx="13">
                  <c:v>1438.5450000000001</c:v>
                </c:pt>
                <c:pt idx="14">
                  <c:v>1480.018</c:v>
                </c:pt>
                <c:pt idx="15">
                  <c:v>1520.3389999999999</c:v>
                </c:pt>
                <c:pt idx="16">
                  <c:v>1562.296</c:v>
                </c:pt>
                <c:pt idx="17">
                  <c:v>1603.7</c:v>
                </c:pt>
                <c:pt idx="18">
                  <c:v>1643.249</c:v>
                </c:pt>
                <c:pt idx="19">
                  <c:v>1684.2809999999999</c:v>
                </c:pt>
                <c:pt idx="20">
                  <c:v>1724.9110000000001</c:v>
                </c:pt>
                <c:pt idx="21">
                  <c:v>1761.61</c:v>
                </c:pt>
                <c:pt idx="22">
                  <c:v>1801.5840000000001</c:v>
                </c:pt>
                <c:pt idx="23">
                  <c:v>1822.0229999999999</c:v>
                </c:pt>
              </c:numCache>
            </c:numRef>
          </c:yVal>
          <c:smooth val="0"/>
        </c:ser>
        <c:ser>
          <c:idx val="2"/>
          <c:order val="2"/>
          <c:tx>
            <c:v>70 C</c:v>
          </c:tx>
          <c:spPr>
            <a:ln w="28575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'Shifted plus WLF Universal'!$I$51:$I$69</c:f>
              <c:numCache>
                <c:formatCode>0.00</c:formatCode>
                <c:ptCount val="19"/>
                <c:pt idx="0">
                  <c:v>0.60000000000000009</c:v>
                </c:pt>
                <c:pt idx="1">
                  <c:v>0.77609125905568133</c:v>
                </c:pt>
                <c:pt idx="2">
                  <c:v>0.94242268082220637</c:v>
                </c:pt>
                <c:pt idx="3">
                  <c:v>1.1051499783199061</c:v>
                </c:pt>
                <c:pt idx="4">
                  <c:v>1.2627578316815742</c:v>
                </c:pt>
                <c:pt idx="5">
                  <c:v>1.4325089127062365</c:v>
                </c:pt>
                <c:pt idx="6">
                  <c:v>1.6</c:v>
                </c:pt>
                <c:pt idx="7">
                  <c:v>1.7760912590556814</c:v>
                </c:pt>
                <c:pt idx="8">
                  <c:v>1.9424226808222063</c:v>
                </c:pt>
                <c:pt idx="9">
                  <c:v>2.1051499783199059</c:v>
                </c:pt>
                <c:pt idx="10">
                  <c:v>2.262757831681574</c:v>
                </c:pt>
                <c:pt idx="11">
                  <c:v>2.4325089127062363</c:v>
                </c:pt>
                <c:pt idx="12">
                  <c:v>2.6</c:v>
                </c:pt>
                <c:pt idx="13">
                  <c:v>2.7643528557844372</c:v>
                </c:pt>
                <c:pt idx="14">
                  <c:v>2.9324384599156055</c:v>
                </c:pt>
                <c:pt idx="15">
                  <c:v>3.099687082618404</c:v>
                </c:pt>
                <c:pt idx="16">
                  <c:v>3.2665179805548812</c:v>
                </c:pt>
                <c:pt idx="17">
                  <c:v>3.4325089127062363</c:v>
                </c:pt>
                <c:pt idx="18">
                  <c:v>3.6</c:v>
                </c:pt>
              </c:numCache>
            </c:numRef>
          </c:xVal>
          <c:yVal>
            <c:numRef>
              <c:f>'Shifted plus WLF Universal'!$D$51:$D$69</c:f>
              <c:numCache>
                <c:formatCode>General</c:formatCode>
                <c:ptCount val="19"/>
                <c:pt idx="0">
                  <c:v>493.78960000000001</c:v>
                </c:pt>
                <c:pt idx="1">
                  <c:v>473.6807</c:v>
                </c:pt>
                <c:pt idx="2">
                  <c:v>489.50259999999997</c:v>
                </c:pt>
                <c:pt idx="3">
                  <c:v>534.02890000000002</c:v>
                </c:pt>
                <c:pt idx="4">
                  <c:v>577.97180000000003</c:v>
                </c:pt>
                <c:pt idx="5">
                  <c:v>625.17610000000002</c:v>
                </c:pt>
                <c:pt idx="6">
                  <c:v>673.65089999999998</c:v>
                </c:pt>
                <c:pt idx="7">
                  <c:v>723.61030000000005</c:v>
                </c:pt>
                <c:pt idx="8">
                  <c:v>768.02189999999996</c:v>
                </c:pt>
                <c:pt idx="9">
                  <c:v>811.76710000000003</c:v>
                </c:pt>
                <c:pt idx="10">
                  <c:v>854.01580000000001</c:v>
                </c:pt>
                <c:pt idx="11">
                  <c:v>898.55489999999998</c:v>
                </c:pt>
                <c:pt idx="12">
                  <c:v>944.40710000000001</c:v>
                </c:pt>
                <c:pt idx="13">
                  <c:v>985.64469999999994</c:v>
                </c:pt>
                <c:pt idx="14">
                  <c:v>1029.2239999999999</c:v>
                </c:pt>
                <c:pt idx="15">
                  <c:v>1069.7850000000001</c:v>
                </c:pt>
                <c:pt idx="16">
                  <c:v>1106.345</c:v>
                </c:pt>
                <c:pt idx="17">
                  <c:v>1149.43</c:v>
                </c:pt>
                <c:pt idx="18">
                  <c:v>1178.6010000000001</c:v>
                </c:pt>
              </c:numCache>
            </c:numRef>
          </c:yVal>
          <c:smooth val="0"/>
        </c:ser>
        <c:ser>
          <c:idx val="3"/>
          <c:order val="3"/>
          <c:tx>
            <c:v>75 C</c:v>
          </c:tx>
          <c:spPr>
            <a:ln w="28575">
              <a:solidFill>
                <a:srgbClr val="7030A0"/>
              </a:solidFill>
            </a:ln>
          </c:spPr>
          <c:marker>
            <c:symbol val="none"/>
          </c:marker>
          <c:xVal>
            <c:numRef>
              <c:f>'Shifted plus WLF Universal'!$I$70:$I$88</c:f>
              <c:numCache>
                <c:formatCode>0.00</c:formatCode>
                <c:ptCount val="19"/>
                <c:pt idx="0">
                  <c:v>-1</c:v>
                </c:pt>
                <c:pt idx="1">
                  <c:v>-0.82390874094431876</c:v>
                </c:pt>
                <c:pt idx="2">
                  <c:v>-0.65757731917779372</c:v>
                </c:pt>
                <c:pt idx="3">
                  <c:v>-0.49485002168009401</c:v>
                </c:pt>
                <c:pt idx="4">
                  <c:v>-0.33724216831842591</c:v>
                </c:pt>
                <c:pt idx="5">
                  <c:v>-0.16749108729376366</c:v>
                </c:pt>
                <c:pt idx="6">
                  <c:v>0</c:v>
                </c:pt>
                <c:pt idx="7">
                  <c:v>0.17609125905568124</c:v>
                </c:pt>
                <c:pt idx="8">
                  <c:v>0.34242268082220628</c:v>
                </c:pt>
                <c:pt idx="9">
                  <c:v>0.50514997831990605</c:v>
                </c:pt>
                <c:pt idx="10">
                  <c:v>0.66275783168157409</c:v>
                </c:pt>
                <c:pt idx="11">
                  <c:v>0.83250891270623628</c:v>
                </c:pt>
                <c:pt idx="12">
                  <c:v>1</c:v>
                </c:pt>
                <c:pt idx="13">
                  <c:v>1.1643528557844371</c:v>
                </c:pt>
                <c:pt idx="14">
                  <c:v>1.3324384599156054</c:v>
                </c:pt>
                <c:pt idx="15">
                  <c:v>1.4996870826184039</c:v>
                </c:pt>
                <c:pt idx="16">
                  <c:v>1.6665179805548809</c:v>
                </c:pt>
                <c:pt idx="17">
                  <c:v>1.8325089127062364</c:v>
                </c:pt>
                <c:pt idx="18">
                  <c:v>2</c:v>
                </c:pt>
              </c:numCache>
            </c:numRef>
          </c:xVal>
          <c:yVal>
            <c:numRef>
              <c:f>'Shifted plus WLF Universal'!$D$70:$D$88</c:f>
              <c:numCache>
                <c:formatCode>General</c:formatCode>
                <c:ptCount val="19"/>
                <c:pt idx="0">
                  <c:v>93.074820000000003</c:v>
                </c:pt>
                <c:pt idx="1">
                  <c:v>109.4228</c:v>
                </c:pt>
                <c:pt idx="2">
                  <c:v>128.88489999999999</c:v>
                </c:pt>
                <c:pt idx="3">
                  <c:v>154.1653</c:v>
                </c:pt>
                <c:pt idx="4">
                  <c:v>182.3681</c:v>
                </c:pt>
                <c:pt idx="5">
                  <c:v>215.51169999999999</c:v>
                </c:pt>
                <c:pt idx="6">
                  <c:v>249.88120000000001</c:v>
                </c:pt>
                <c:pt idx="7">
                  <c:v>288.8802</c:v>
                </c:pt>
                <c:pt idx="8">
                  <c:v>328.45100000000002</c:v>
                </c:pt>
                <c:pt idx="9">
                  <c:v>369.19830000000002</c:v>
                </c:pt>
                <c:pt idx="10">
                  <c:v>410.37830000000002</c:v>
                </c:pt>
                <c:pt idx="11">
                  <c:v>456.12299999999999</c:v>
                </c:pt>
                <c:pt idx="12">
                  <c:v>502.37459999999999</c:v>
                </c:pt>
                <c:pt idx="13">
                  <c:v>548.73760000000004</c:v>
                </c:pt>
                <c:pt idx="14">
                  <c:v>596.5068</c:v>
                </c:pt>
                <c:pt idx="15">
                  <c:v>643.90800000000002</c:v>
                </c:pt>
                <c:pt idx="16">
                  <c:v>687.67489999999998</c:v>
                </c:pt>
                <c:pt idx="17">
                  <c:v>732.81979999999999</c:v>
                </c:pt>
                <c:pt idx="18">
                  <c:v>768.28710000000001</c:v>
                </c:pt>
              </c:numCache>
            </c:numRef>
          </c:yVal>
          <c:smooth val="0"/>
        </c:ser>
        <c:ser>
          <c:idx val="4"/>
          <c:order val="4"/>
          <c:tx>
            <c:v>80 C</c:v>
          </c:tx>
          <c:spPr>
            <a:ln w="28575">
              <a:solidFill>
                <a:srgbClr val="0070C0"/>
              </a:solidFill>
            </a:ln>
          </c:spPr>
          <c:marker>
            <c:symbol val="none"/>
          </c:marker>
          <c:xVal>
            <c:numRef>
              <c:f>'Shifted plus WLF Universal'!$I$89:$I$107</c:f>
              <c:numCache>
                <c:formatCode>0.00</c:formatCode>
                <c:ptCount val="19"/>
                <c:pt idx="0">
                  <c:v>-2.2000000000000002</c:v>
                </c:pt>
                <c:pt idx="1">
                  <c:v>-2.0239087409443188</c:v>
                </c:pt>
                <c:pt idx="2">
                  <c:v>-1.8575773191777936</c:v>
                </c:pt>
                <c:pt idx="3">
                  <c:v>-1.6948500216800939</c:v>
                </c:pt>
                <c:pt idx="4">
                  <c:v>-1.5372421683184259</c:v>
                </c:pt>
                <c:pt idx="5">
                  <c:v>-1.3674910872937636</c:v>
                </c:pt>
                <c:pt idx="6">
                  <c:v>-1.2</c:v>
                </c:pt>
                <c:pt idx="7">
                  <c:v>-1.0239087409443188</c:v>
                </c:pt>
                <c:pt idx="8">
                  <c:v>-0.85757731917779367</c:v>
                </c:pt>
                <c:pt idx="9">
                  <c:v>-0.69485002168009391</c:v>
                </c:pt>
                <c:pt idx="10">
                  <c:v>-0.53724216831842586</c:v>
                </c:pt>
                <c:pt idx="11">
                  <c:v>-0.36749108729376367</c:v>
                </c:pt>
                <c:pt idx="12">
                  <c:v>-0.19999999999999996</c:v>
                </c:pt>
                <c:pt idx="13">
                  <c:v>-3.5647144215562809E-2</c:v>
                </c:pt>
                <c:pt idx="14">
                  <c:v>0.13243845991560543</c:v>
                </c:pt>
                <c:pt idx="15">
                  <c:v>0.29968708261840393</c:v>
                </c:pt>
                <c:pt idx="16">
                  <c:v>0.46651798055488092</c:v>
                </c:pt>
                <c:pt idx="17">
                  <c:v>0.63250891270623644</c:v>
                </c:pt>
                <c:pt idx="18">
                  <c:v>0.8</c:v>
                </c:pt>
              </c:numCache>
            </c:numRef>
          </c:xVal>
          <c:yVal>
            <c:numRef>
              <c:f>'Shifted plus WLF Universal'!$D$89:$D$107</c:f>
              <c:numCache>
                <c:formatCode>General</c:formatCode>
                <c:ptCount val="19"/>
                <c:pt idx="0">
                  <c:v>26.106940000000002</c:v>
                </c:pt>
                <c:pt idx="1">
                  <c:v>29.332159999999998</c:v>
                </c:pt>
                <c:pt idx="2">
                  <c:v>34.350360000000002</c:v>
                </c:pt>
                <c:pt idx="3">
                  <c:v>41.194580000000002</c:v>
                </c:pt>
                <c:pt idx="4">
                  <c:v>49.47898</c:v>
                </c:pt>
                <c:pt idx="5">
                  <c:v>60.372979999999998</c:v>
                </c:pt>
                <c:pt idx="6">
                  <c:v>72.675399999999996</c:v>
                </c:pt>
                <c:pt idx="7">
                  <c:v>88.307119999999998</c:v>
                </c:pt>
                <c:pt idx="8">
                  <c:v>106.28270000000001</c:v>
                </c:pt>
                <c:pt idx="9">
                  <c:v>126.8644</c:v>
                </c:pt>
                <c:pt idx="10">
                  <c:v>149.83449999999999</c:v>
                </c:pt>
                <c:pt idx="11">
                  <c:v>178.0198</c:v>
                </c:pt>
                <c:pt idx="12">
                  <c:v>209.11369999999999</c:v>
                </c:pt>
                <c:pt idx="13">
                  <c:v>242.95</c:v>
                </c:pt>
                <c:pt idx="14">
                  <c:v>280.86399999999998</c:v>
                </c:pt>
                <c:pt idx="15">
                  <c:v>322.17790000000002</c:v>
                </c:pt>
                <c:pt idx="16">
                  <c:v>362.35820000000001</c:v>
                </c:pt>
                <c:pt idx="17">
                  <c:v>408.33089999999999</c:v>
                </c:pt>
                <c:pt idx="18">
                  <c:v>450.32170000000002</c:v>
                </c:pt>
              </c:numCache>
            </c:numRef>
          </c:yVal>
          <c:smooth val="0"/>
        </c:ser>
        <c:ser>
          <c:idx val="5"/>
          <c:order val="5"/>
          <c:tx>
            <c:v>85 C</c:v>
          </c:tx>
          <c:spPr>
            <a:ln w="28575">
              <a:solidFill>
                <a:schemeClr val="accent6">
                  <a:lumMod val="75000"/>
                </a:schemeClr>
              </a:solidFill>
            </a:ln>
          </c:spPr>
          <c:marker>
            <c:symbol val="none"/>
          </c:marker>
          <c:xVal>
            <c:numRef>
              <c:f>'Shifted plus WLF Universal'!$I$108:$I$126</c:f>
              <c:numCache>
                <c:formatCode>0.00</c:formatCode>
                <c:ptCount val="19"/>
                <c:pt idx="0">
                  <c:v>-3.1</c:v>
                </c:pt>
                <c:pt idx="1">
                  <c:v>-2.9239087409443187</c:v>
                </c:pt>
                <c:pt idx="2">
                  <c:v>-2.7575773191777939</c:v>
                </c:pt>
                <c:pt idx="3">
                  <c:v>-2.5948500216800943</c:v>
                </c:pt>
                <c:pt idx="4">
                  <c:v>-2.4372421683184262</c:v>
                </c:pt>
                <c:pt idx="5">
                  <c:v>-2.2674910872937639</c:v>
                </c:pt>
                <c:pt idx="6">
                  <c:v>-2.1</c:v>
                </c:pt>
                <c:pt idx="7">
                  <c:v>-1.9239087409443187</c:v>
                </c:pt>
                <c:pt idx="8">
                  <c:v>-1.7575773191777939</c:v>
                </c:pt>
                <c:pt idx="9">
                  <c:v>-1.594850021680094</c:v>
                </c:pt>
                <c:pt idx="10">
                  <c:v>-1.437242168318426</c:v>
                </c:pt>
                <c:pt idx="11">
                  <c:v>-1.2674910872937639</c:v>
                </c:pt>
                <c:pt idx="12">
                  <c:v>-1.1000000000000001</c:v>
                </c:pt>
                <c:pt idx="13">
                  <c:v>-0.93564714421556294</c:v>
                </c:pt>
                <c:pt idx="14">
                  <c:v>-0.7675615400843947</c:v>
                </c:pt>
                <c:pt idx="15">
                  <c:v>-0.6003129173815962</c:v>
                </c:pt>
                <c:pt idx="16">
                  <c:v>-0.43348201944511922</c:v>
                </c:pt>
                <c:pt idx="17">
                  <c:v>-0.2674910872937637</c:v>
                </c:pt>
                <c:pt idx="18">
                  <c:v>-0.10000000000000009</c:v>
                </c:pt>
              </c:numCache>
            </c:numRef>
          </c:xVal>
          <c:yVal>
            <c:numRef>
              <c:f>'Shifted plus WLF Universal'!$D$108:$D$126</c:f>
              <c:numCache>
                <c:formatCode>General</c:formatCode>
                <c:ptCount val="19"/>
                <c:pt idx="0">
                  <c:v>15.760260000000001</c:v>
                </c:pt>
                <c:pt idx="1">
                  <c:v>16.85425</c:v>
                </c:pt>
                <c:pt idx="2">
                  <c:v>18.297920000000001</c:v>
                </c:pt>
                <c:pt idx="3">
                  <c:v>20.205469999999998</c:v>
                </c:pt>
                <c:pt idx="4">
                  <c:v>22.499320000000001</c:v>
                </c:pt>
                <c:pt idx="5">
                  <c:v>25.484500000000001</c:v>
                </c:pt>
                <c:pt idx="6">
                  <c:v>28.851299999999998</c:v>
                </c:pt>
                <c:pt idx="7">
                  <c:v>33.267859999999999</c:v>
                </c:pt>
                <c:pt idx="8">
                  <c:v>38.645040000000002</c:v>
                </c:pt>
                <c:pt idx="9">
                  <c:v>45.243940000000002</c:v>
                </c:pt>
                <c:pt idx="10">
                  <c:v>53.181100000000001</c:v>
                </c:pt>
                <c:pt idx="11">
                  <c:v>71.378810000000001</c:v>
                </c:pt>
                <c:pt idx="12">
                  <c:v>83.854939999999999</c:v>
                </c:pt>
                <c:pt idx="13">
                  <c:v>97.681889999999996</c:v>
                </c:pt>
                <c:pt idx="14">
                  <c:v>116.0951</c:v>
                </c:pt>
                <c:pt idx="15">
                  <c:v>137.6859</c:v>
                </c:pt>
                <c:pt idx="16">
                  <c:v>159.84639999999999</c:v>
                </c:pt>
                <c:pt idx="17">
                  <c:v>192.13980000000001</c:v>
                </c:pt>
                <c:pt idx="18">
                  <c:v>219.71180000000001</c:v>
                </c:pt>
              </c:numCache>
            </c:numRef>
          </c:yVal>
          <c:smooth val="0"/>
        </c:ser>
        <c:ser>
          <c:idx val="6"/>
          <c:order val="6"/>
          <c:tx>
            <c:v>90 C</c:v>
          </c:tx>
          <c:spPr>
            <a:ln w="28575">
              <a:solidFill>
                <a:schemeClr val="tx2">
                  <a:lumMod val="40000"/>
                  <a:lumOff val="60000"/>
                </a:schemeClr>
              </a:solidFill>
            </a:ln>
          </c:spPr>
          <c:marker>
            <c:symbol val="none"/>
          </c:marker>
          <c:xVal>
            <c:numRef>
              <c:f>'Shifted plus WLF Universal'!$I$127:$I$145</c:f>
              <c:numCache>
                <c:formatCode>0.00</c:formatCode>
                <c:ptCount val="19"/>
                <c:pt idx="0">
                  <c:v>-3.9</c:v>
                </c:pt>
                <c:pt idx="1">
                  <c:v>-3.7239087409443186</c:v>
                </c:pt>
                <c:pt idx="2">
                  <c:v>-3.5575773191777937</c:v>
                </c:pt>
                <c:pt idx="3">
                  <c:v>-3.3948500216800941</c:v>
                </c:pt>
                <c:pt idx="4">
                  <c:v>-3.237242168318426</c:v>
                </c:pt>
                <c:pt idx="5">
                  <c:v>-3.0674910872937637</c:v>
                </c:pt>
                <c:pt idx="6">
                  <c:v>-2.9</c:v>
                </c:pt>
                <c:pt idx="7">
                  <c:v>-2.7239087409443186</c:v>
                </c:pt>
                <c:pt idx="8">
                  <c:v>-2.5575773191777937</c:v>
                </c:pt>
                <c:pt idx="9">
                  <c:v>-2.3948500216800941</c:v>
                </c:pt>
                <c:pt idx="10">
                  <c:v>-2.237242168318426</c:v>
                </c:pt>
                <c:pt idx="11">
                  <c:v>-2.0674910872937637</c:v>
                </c:pt>
                <c:pt idx="12">
                  <c:v>-1.9</c:v>
                </c:pt>
                <c:pt idx="13">
                  <c:v>-1.7356471442155628</c:v>
                </c:pt>
                <c:pt idx="14">
                  <c:v>-1.5675615400843945</c:v>
                </c:pt>
                <c:pt idx="15">
                  <c:v>-1.400312917381596</c:v>
                </c:pt>
                <c:pt idx="16">
                  <c:v>-1.233482019445119</c:v>
                </c:pt>
                <c:pt idx="17">
                  <c:v>-1.0674910872937635</c:v>
                </c:pt>
                <c:pt idx="18">
                  <c:v>-0.89999999999999991</c:v>
                </c:pt>
              </c:numCache>
            </c:numRef>
          </c:xVal>
          <c:yVal>
            <c:numRef>
              <c:f>'Shifted plus WLF Universal'!$D$127:$D$145</c:f>
              <c:numCache>
                <c:formatCode>General</c:formatCode>
                <c:ptCount val="19"/>
                <c:pt idx="0">
                  <c:v>12.72977</c:v>
                </c:pt>
                <c:pt idx="1">
                  <c:v>13.23512</c:v>
                </c:pt>
                <c:pt idx="2">
                  <c:v>13.8683</c:v>
                </c:pt>
                <c:pt idx="3">
                  <c:v>14.694319999999999</c:v>
                </c:pt>
                <c:pt idx="4">
                  <c:v>15.627800000000001</c:v>
                </c:pt>
                <c:pt idx="5">
                  <c:v>16.794060000000002</c:v>
                </c:pt>
                <c:pt idx="6">
                  <c:v>18.04196</c:v>
                </c:pt>
                <c:pt idx="7">
                  <c:v>19.574839999999998</c:v>
                </c:pt>
                <c:pt idx="8">
                  <c:v>21.40222</c:v>
                </c:pt>
                <c:pt idx="9">
                  <c:v>23.618490000000001</c:v>
                </c:pt>
                <c:pt idx="10">
                  <c:v>26.281099999999999</c:v>
                </c:pt>
                <c:pt idx="11">
                  <c:v>29.867999999999999</c:v>
                </c:pt>
                <c:pt idx="12">
                  <c:v>34.3065</c:v>
                </c:pt>
                <c:pt idx="13">
                  <c:v>39.740299999999998</c:v>
                </c:pt>
                <c:pt idx="14">
                  <c:v>47.036020000000001</c:v>
                </c:pt>
                <c:pt idx="15">
                  <c:v>56.865499999999997</c:v>
                </c:pt>
                <c:pt idx="16">
                  <c:v>66.214699999999993</c:v>
                </c:pt>
                <c:pt idx="17">
                  <c:v>82.694180000000003</c:v>
                </c:pt>
                <c:pt idx="18">
                  <c:v>93.186419999999998</c:v>
                </c:pt>
              </c:numCache>
            </c:numRef>
          </c:yVal>
          <c:smooth val="0"/>
        </c:ser>
        <c:ser>
          <c:idx val="7"/>
          <c:order val="7"/>
          <c:tx>
            <c:v>95 C</c:v>
          </c:tx>
          <c:spPr>
            <a:ln w="28575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'Shifted plus WLF Universal'!$I$146:$I$164</c:f>
              <c:numCache>
                <c:formatCode>0.00</c:formatCode>
                <c:ptCount val="19"/>
                <c:pt idx="0">
                  <c:v>-4.5999999999999996</c:v>
                </c:pt>
                <c:pt idx="1">
                  <c:v>-4.4239087409443192</c:v>
                </c:pt>
                <c:pt idx="2">
                  <c:v>-4.2575773191777939</c:v>
                </c:pt>
                <c:pt idx="3">
                  <c:v>-4.0948500216800943</c:v>
                </c:pt>
                <c:pt idx="4">
                  <c:v>-3.9372421683184262</c:v>
                </c:pt>
                <c:pt idx="5">
                  <c:v>-3.7674910872937639</c:v>
                </c:pt>
                <c:pt idx="6">
                  <c:v>-3.6</c:v>
                </c:pt>
                <c:pt idx="7">
                  <c:v>-3.4239087409443187</c:v>
                </c:pt>
                <c:pt idx="8">
                  <c:v>-3.2575773191777939</c:v>
                </c:pt>
                <c:pt idx="9">
                  <c:v>-3.0948500216800943</c:v>
                </c:pt>
                <c:pt idx="10">
                  <c:v>-2.9372421683184262</c:v>
                </c:pt>
                <c:pt idx="11">
                  <c:v>-2.7674910872937639</c:v>
                </c:pt>
                <c:pt idx="12">
                  <c:v>-2.6</c:v>
                </c:pt>
                <c:pt idx="13">
                  <c:v>-2.4356471442155629</c:v>
                </c:pt>
                <c:pt idx="14">
                  <c:v>-2.2675615400843947</c:v>
                </c:pt>
                <c:pt idx="15">
                  <c:v>-2.1003129173815962</c:v>
                </c:pt>
                <c:pt idx="16">
                  <c:v>-1.9334820194451192</c:v>
                </c:pt>
                <c:pt idx="17">
                  <c:v>-1.7674910872937637</c:v>
                </c:pt>
                <c:pt idx="18">
                  <c:v>-1.6</c:v>
                </c:pt>
              </c:numCache>
            </c:numRef>
          </c:xVal>
          <c:yVal>
            <c:numRef>
              <c:f>'Shifted plus WLF Universal'!$D$146:$D$164</c:f>
              <c:numCache>
                <c:formatCode>General</c:formatCode>
                <c:ptCount val="19"/>
                <c:pt idx="0">
                  <c:v>10.840529999999999</c:v>
                </c:pt>
                <c:pt idx="1">
                  <c:v>11.172079999999999</c:v>
                </c:pt>
                <c:pt idx="2">
                  <c:v>11.54082</c:v>
                </c:pt>
                <c:pt idx="3">
                  <c:v>12.055260000000001</c:v>
                </c:pt>
                <c:pt idx="4">
                  <c:v>12.625249999999999</c:v>
                </c:pt>
                <c:pt idx="5">
                  <c:v>13.29208</c:v>
                </c:pt>
                <c:pt idx="6">
                  <c:v>13.949859999999999</c:v>
                </c:pt>
                <c:pt idx="7">
                  <c:v>14.71692</c:v>
                </c:pt>
                <c:pt idx="8">
                  <c:v>15.57686</c:v>
                </c:pt>
                <c:pt idx="9">
                  <c:v>16.568660000000001</c:v>
                </c:pt>
                <c:pt idx="10">
                  <c:v>17.71621</c:v>
                </c:pt>
                <c:pt idx="11">
                  <c:v>19.217590000000001</c:v>
                </c:pt>
                <c:pt idx="12">
                  <c:v>21.028659999999999</c:v>
                </c:pt>
                <c:pt idx="13">
                  <c:v>23.16968</c:v>
                </c:pt>
                <c:pt idx="14">
                  <c:v>26.229649999999999</c:v>
                </c:pt>
                <c:pt idx="15">
                  <c:v>30.73208</c:v>
                </c:pt>
                <c:pt idx="16">
                  <c:v>33.46902</c:v>
                </c:pt>
                <c:pt idx="17">
                  <c:v>41.88494</c:v>
                </c:pt>
                <c:pt idx="18">
                  <c:v>42.713520000000003</c:v>
                </c:pt>
              </c:numCache>
            </c:numRef>
          </c:yVal>
          <c:smooth val="0"/>
        </c:ser>
        <c:ser>
          <c:idx val="8"/>
          <c:order val="8"/>
          <c:tx>
            <c:v>100 C</c:v>
          </c:tx>
          <c:spPr>
            <a:ln w="28575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'Shifted plus WLF Universal'!$I$165:$I$183</c:f>
              <c:numCache>
                <c:formatCode>0.00</c:formatCode>
                <c:ptCount val="19"/>
                <c:pt idx="0">
                  <c:v>-5.2</c:v>
                </c:pt>
                <c:pt idx="1">
                  <c:v>-5.0239087409443188</c:v>
                </c:pt>
                <c:pt idx="2">
                  <c:v>-4.8575773191777936</c:v>
                </c:pt>
                <c:pt idx="3">
                  <c:v>-4.6948500216800939</c:v>
                </c:pt>
                <c:pt idx="4">
                  <c:v>-4.5372421683184259</c:v>
                </c:pt>
                <c:pt idx="5">
                  <c:v>-4.3674910872937636</c:v>
                </c:pt>
                <c:pt idx="6">
                  <c:v>-4.2</c:v>
                </c:pt>
                <c:pt idx="7">
                  <c:v>-4.0239087409443188</c:v>
                </c:pt>
                <c:pt idx="8">
                  <c:v>-3.857577319177794</c:v>
                </c:pt>
                <c:pt idx="9">
                  <c:v>-3.6948500216800939</c:v>
                </c:pt>
                <c:pt idx="10">
                  <c:v>-3.5372421683184259</c:v>
                </c:pt>
                <c:pt idx="11">
                  <c:v>-3.367491087293764</c:v>
                </c:pt>
                <c:pt idx="12">
                  <c:v>-3.2</c:v>
                </c:pt>
                <c:pt idx="13">
                  <c:v>-3.035647144215563</c:v>
                </c:pt>
                <c:pt idx="14">
                  <c:v>-2.8675615400843948</c:v>
                </c:pt>
                <c:pt idx="15">
                  <c:v>-2.7003129173815963</c:v>
                </c:pt>
                <c:pt idx="16">
                  <c:v>-2.5334820194451195</c:v>
                </c:pt>
                <c:pt idx="17">
                  <c:v>-2.3674910872937636</c:v>
                </c:pt>
                <c:pt idx="18">
                  <c:v>-2.2000000000000002</c:v>
                </c:pt>
              </c:numCache>
            </c:numRef>
          </c:xVal>
          <c:yVal>
            <c:numRef>
              <c:f>'Shifted plus WLF Universal'!$D$165:$D$183</c:f>
              <c:numCache>
                <c:formatCode>General</c:formatCode>
                <c:ptCount val="19"/>
                <c:pt idx="0">
                  <c:v>9.2533480000000008</c:v>
                </c:pt>
                <c:pt idx="1">
                  <c:v>9.5517459999999996</c:v>
                </c:pt>
                <c:pt idx="2">
                  <c:v>9.8949809999999996</c:v>
                </c:pt>
                <c:pt idx="3">
                  <c:v>10.31288</c:v>
                </c:pt>
                <c:pt idx="4">
                  <c:v>10.75249</c:v>
                </c:pt>
                <c:pt idx="5">
                  <c:v>11.24316</c:v>
                </c:pt>
                <c:pt idx="6">
                  <c:v>11.70074</c:v>
                </c:pt>
                <c:pt idx="7">
                  <c:v>12.21129</c:v>
                </c:pt>
                <c:pt idx="8">
                  <c:v>12.753500000000001</c:v>
                </c:pt>
                <c:pt idx="9">
                  <c:v>13.34796</c:v>
                </c:pt>
                <c:pt idx="10">
                  <c:v>14.00217</c:v>
                </c:pt>
                <c:pt idx="11">
                  <c:v>14.81527</c:v>
                </c:pt>
                <c:pt idx="12">
                  <c:v>15.74677</c:v>
                </c:pt>
                <c:pt idx="13">
                  <c:v>16.791910000000001</c:v>
                </c:pt>
                <c:pt idx="14">
                  <c:v>18.40692</c:v>
                </c:pt>
                <c:pt idx="15">
                  <c:v>21.012599999999999</c:v>
                </c:pt>
                <c:pt idx="16">
                  <c:v>21.310020000000002</c:v>
                </c:pt>
                <c:pt idx="17">
                  <c:v>26.674689999999998</c:v>
                </c:pt>
                <c:pt idx="18">
                  <c:v>23.490760000000002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843456"/>
        <c:axId val="139857920"/>
      </c:scatterChart>
      <c:valAx>
        <c:axId val="139843456"/>
        <c:scaling>
          <c:orientation val="minMax"/>
          <c:max val="8"/>
          <c:min val="-6"/>
        </c:scaling>
        <c:delete val="0"/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Log (Freq)</a:t>
                </a:r>
              </a:p>
            </c:rich>
          </c:tx>
          <c:layout/>
          <c:overlay val="0"/>
        </c:title>
        <c:numFmt formatCode="0.00" sourceLinked="1"/>
        <c:majorTickMark val="out"/>
        <c:minorTickMark val="none"/>
        <c:tickLblPos val="nextTo"/>
        <c:crossAx val="139857920"/>
        <c:crosses val="autoZero"/>
        <c:crossBetween val="midCat"/>
      </c:valAx>
      <c:valAx>
        <c:axId val="139857920"/>
        <c:scaling>
          <c:logBase val="10"/>
          <c:orientation val="minMax"/>
          <c:min val="7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en-US" sz="1400"/>
                  <a:t>Storage Modulus (MPa)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39843456"/>
        <c:crossesAt val="-6"/>
        <c:crossBetween val="midCat"/>
      </c:valAx>
    </c:plotArea>
    <c:legend>
      <c:legendPos val="r"/>
      <c:layout>
        <c:manualLayout>
          <c:xMode val="edge"/>
          <c:yMode val="edge"/>
          <c:x val="9.5377922784121841E-2"/>
          <c:y val="8.7465469531240722E-2"/>
          <c:w val="7.9864548611864289E-2"/>
          <c:h val="0.69877554898397887"/>
        </c:manualLayout>
      </c:layout>
      <c:overlay val="0"/>
      <c:txPr>
        <a:bodyPr/>
        <a:lstStyle/>
        <a:p>
          <a:pPr>
            <a:defRPr sz="12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33834044774489"/>
          <c:y val="0.11567716333623689"/>
          <c:w val="0.80657506948410718"/>
          <c:h val="0.77407533600137157"/>
        </c:manualLayout>
      </c:layout>
      <c:scatterChart>
        <c:scatterStyle val="lineMarker"/>
        <c:varyColors val="0"/>
        <c:ser>
          <c:idx val="0"/>
          <c:order val="0"/>
          <c:tx>
            <c:v>From Hand Shift of Raw Data</c:v>
          </c:tx>
          <c:spPr>
            <a:ln w="28575">
              <a:noFill/>
            </a:ln>
          </c:spPr>
          <c:xVal>
            <c:numRef>
              <c:f>'Shifted plus WLF Universal'!$U$31:$U$39</c:f>
              <c:numCache>
                <c:formatCode>General</c:formatCode>
                <c:ptCount val="9"/>
                <c:pt idx="0">
                  <c:v>60</c:v>
                </c:pt>
                <c:pt idx="1">
                  <c:v>65</c:v>
                </c:pt>
                <c:pt idx="2">
                  <c:v>70</c:v>
                </c:pt>
                <c:pt idx="3">
                  <c:v>75</c:v>
                </c:pt>
                <c:pt idx="4">
                  <c:v>80</c:v>
                </c:pt>
                <c:pt idx="5">
                  <c:v>85</c:v>
                </c:pt>
                <c:pt idx="6">
                  <c:v>90</c:v>
                </c:pt>
                <c:pt idx="7">
                  <c:v>95</c:v>
                </c:pt>
                <c:pt idx="8">
                  <c:v>100</c:v>
                </c:pt>
              </c:numCache>
            </c:numRef>
          </c:xVal>
          <c:yVal>
            <c:numRef>
              <c:f>'Shifted plus WLF Universal'!$W$31:$W$39</c:f>
              <c:numCache>
                <c:formatCode>0.0</c:formatCode>
                <c:ptCount val="9"/>
                <c:pt idx="0">
                  <c:v>6</c:v>
                </c:pt>
                <c:pt idx="1">
                  <c:v>3.9</c:v>
                </c:pt>
                <c:pt idx="2">
                  <c:v>1.6</c:v>
                </c:pt>
                <c:pt idx="3">
                  <c:v>0</c:v>
                </c:pt>
                <c:pt idx="4">
                  <c:v>-1.2</c:v>
                </c:pt>
                <c:pt idx="5">
                  <c:v>-2.1</c:v>
                </c:pt>
                <c:pt idx="6">
                  <c:v>-2.9</c:v>
                </c:pt>
                <c:pt idx="7">
                  <c:v>-3.6</c:v>
                </c:pt>
                <c:pt idx="8">
                  <c:v>-4.2</c:v>
                </c:pt>
              </c:numCache>
            </c:numRef>
          </c:yVal>
          <c:smooth val="0"/>
        </c:ser>
        <c:ser>
          <c:idx val="1"/>
          <c:order val="1"/>
          <c:tx>
            <c:v>WLF</c:v>
          </c:tx>
          <c:spPr>
            <a:ln w="28575">
              <a:solidFill>
                <a:srgbClr val="C00000"/>
              </a:solidFill>
            </a:ln>
          </c:spPr>
          <c:marker>
            <c:symbol val="none"/>
          </c:marker>
          <c:xVal>
            <c:numRef>
              <c:f>'Shifted plus WLF Universal'!$U$29:$U$41</c:f>
              <c:numCache>
                <c:formatCode>General</c:formatCode>
                <c:ptCount val="13"/>
                <c:pt idx="0">
                  <c:v>50</c:v>
                </c:pt>
                <c:pt idx="1">
                  <c:v>55</c:v>
                </c:pt>
                <c:pt idx="2">
                  <c:v>60</c:v>
                </c:pt>
                <c:pt idx="3">
                  <c:v>65</c:v>
                </c:pt>
                <c:pt idx="4">
                  <c:v>70</c:v>
                </c:pt>
                <c:pt idx="5">
                  <c:v>75</c:v>
                </c:pt>
                <c:pt idx="6">
                  <c:v>80</c:v>
                </c:pt>
                <c:pt idx="7">
                  <c:v>85</c:v>
                </c:pt>
                <c:pt idx="8">
                  <c:v>90</c:v>
                </c:pt>
                <c:pt idx="9">
                  <c:v>95</c:v>
                </c:pt>
                <c:pt idx="10">
                  <c:v>100</c:v>
                </c:pt>
                <c:pt idx="11">
                  <c:v>105</c:v>
                </c:pt>
                <c:pt idx="12">
                  <c:v>110</c:v>
                </c:pt>
              </c:numCache>
            </c:numRef>
          </c:xVal>
          <c:yVal>
            <c:numRef>
              <c:f>'Shifted plus WLF Universal'!$X$29:$X$41</c:f>
              <c:numCache>
                <c:formatCode>0.00</c:formatCode>
                <c:ptCount val="13"/>
                <c:pt idx="0">
                  <c:v>16.353383458646615</c:v>
                </c:pt>
                <c:pt idx="1">
                  <c:v>11.012658227848101</c:v>
                </c:pt>
                <c:pt idx="2">
                  <c:v>7.1311475409836067</c:v>
                </c:pt>
                <c:pt idx="3">
                  <c:v>4.1826923076923075</c:v>
                </c:pt>
                <c:pt idx="4">
                  <c:v>1.8669527896995708</c:v>
                </c:pt>
                <c:pt idx="5">
                  <c:v>0</c:v>
                </c:pt>
                <c:pt idx="6">
                  <c:v>-1.5371024734982333</c:v>
                </c:pt>
                <c:pt idx="7">
                  <c:v>-2.8246753246753245</c:v>
                </c:pt>
                <c:pt idx="8">
                  <c:v>-3.9189189189189193</c:v>
                </c:pt>
                <c:pt idx="9">
                  <c:v>-4.8603351955307268</c:v>
                </c:pt>
                <c:pt idx="10">
                  <c:v>-5.6788511749347252</c:v>
                </c:pt>
                <c:pt idx="11">
                  <c:v>-6.3970588235294121</c:v>
                </c:pt>
                <c:pt idx="12">
                  <c:v>-7.0323325635103933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991680"/>
        <c:axId val="139997952"/>
      </c:scatterChart>
      <c:valAx>
        <c:axId val="139991680"/>
        <c:scaling>
          <c:orientation val="minMax"/>
          <c:min val="40"/>
        </c:scaling>
        <c:delete val="0"/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Temp C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39997952"/>
        <c:crossesAt val="-10"/>
        <c:crossBetween val="midCat"/>
      </c:valAx>
      <c:valAx>
        <c:axId val="13999795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en-US" sz="1400"/>
                  <a:t>log aT</a:t>
                </a:r>
              </a:p>
            </c:rich>
          </c:tx>
          <c:layout/>
          <c:overlay val="0"/>
        </c:title>
        <c:numFmt formatCode="0.0" sourceLinked="1"/>
        <c:majorTickMark val="out"/>
        <c:minorTickMark val="none"/>
        <c:tickLblPos val="nextTo"/>
        <c:crossAx val="13999168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44512456197922884"/>
          <c:y val="0.15299556847050755"/>
          <c:w val="0.48953566782399899"/>
          <c:h val="0.19520852779360398"/>
        </c:manualLayout>
      </c:layout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60 C</c:v>
          </c:tx>
          <c:spPr>
            <a:ln w="28575">
              <a:noFill/>
            </a:ln>
          </c:spPr>
          <c:marker>
            <c:symbol val="diamond"/>
            <c:size val="4"/>
          </c:marker>
          <c:xVal>
            <c:numRef>
              <c:f>'Shifted plus WLF Best Fit'!$G$3:$G$26</c:f>
              <c:numCache>
                <c:formatCode>0.00</c:formatCode>
                <c:ptCount val="24"/>
                <c:pt idx="0">
                  <c:v>9.9999990000000007E-3</c:v>
                </c:pt>
                <c:pt idx="1">
                  <c:v>0.02</c:v>
                </c:pt>
                <c:pt idx="2">
                  <c:v>0.03</c:v>
                </c:pt>
                <c:pt idx="3">
                  <c:v>0.05</c:v>
                </c:pt>
                <c:pt idx="4">
                  <c:v>7.0000000000000007E-2</c:v>
                </c:pt>
                <c:pt idx="5">
                  <c:v>0.1</c:v>
                </c:pt>
                <c:pt idx="6">
                  <c:v>0.15</c:v>
                </c:pt>
                <c:pt idx="7">
                  <c:v>0.22</c:v>
                </c:pt>
                <c:pt idx="8">
                  <c:v>0.32</c:v>
                </c:pt>
                <c:pt idx="9">
                  <c:v>0.46</c:v>
                </c:pt>
                <c:pt idx="10">
                  <c:v>0.68</c:v>
                </c:pt>
                <c:pt idx="11">
                  <c:v>1</c:v>
                </c:pt>
                <c:pt idx="12">
                  <c:v>1.5</c:v>
                </c:pt>
                <c:pt idx="13">
                  <c:v>2.2000000000000002</c:v>
                </c:pt>
                <c:pt idx="14">
                  <c:v>3.2</c:v>
                </c:pt>
                <c:pt idx="15">
                  <c:v>4.5999999999999996</c:v>
                </c:pt>
                <c:pt idx="16">
                  <c:v>6.8</c:v>
                </c:pt>
                <c:pt idx="17">
                  <c:v>10</c:v>
                </c:pt>
                <c:pt idx="18">
                  <c:v>14.6</c:v>
                </c:pt>
                <c:pt idx="19">
                  <c:v>21.5</c:v>
                </c:pt>
                <c:pt idx="20">
                  <c:v>31.6</c:v>
                </c:pt>
                <c:pt idx="21">
                  <c:v>46.4</c:v>
                </c:pt>
                <c:pt idx="22">
                  <c:v>68</c:v>
                </c:pt>
                <c:pt idx="23">
                  <c:v>100</c:v>
                </c:pt>
              </c:numCache>
            </c:numRef>
          </c:xVal>
          <c:yVal>
            <c:numRef>
              <c:f>'Shifted plus WLF Best Fit'!$D$3:$D$26</c:f>
              <c:numCache>
                <c:formatCode>General</c:formatCode>
                <c:ptCount val="24"/>
                <c:pt idx="0">
                  <c:v>1296.5440000000001</c:v>
                </c:pt>
                <c:pt idx="1">
                  <c:v>1411.3869999999999</c:v>
                </c:pt>
                <c:pt idx="2">
                  <c:v>1475.1959999999999</c:v>
                </c:pt>
                <c:pt idx="3">
                  <c:v>1538.9570000000001</c:v>
                </c:pt>
                <c:pt idx="4">
                  <c:v>1585.059</c:v>
                </c:pt>
                <c:pt idx="5">
                  <c:v>1625.829</c:v>
                </c:pt>
                <c:pt idx="6">
                  <c:v>1666.5039999999999</c:v>
                </c:pt>
                <c:pt idx="7">
                  <c:v>1706.336</c:v>
                </c:pt>
                <c:pt idx="8">
                  <c:v>1742.52</c:v>
                </c:pt>
                <c:pt idx="9">
                  <c:v>1776.425</c:v>
                </c:pt>
                <c:pt idx="10">
                  <c:v>1812.4</c:v>
                </c:pt>
                <c:pt idx="11">
                  <c:v>1845.133</c:v>
                </c:pt>
                <c:pt idx="12">
                  <c:v>1877.809</c:v>
                </c:pt>
                <c:pt idx="13">
                  <c:v>1908.6690000000001</c:v>
                </c:pt>
                <c:pt idx="14">
                  <c:v>1938.134</c:v>
                </c:pt>
                <c:pt idx="15">
                  <c:v>1966.98</c:v>
                </c:pt>
                <c:pt idx="16">
                  <c:v>1997.537</c:v>
                </c:pt>
                <c:pt idx="17">
                  <c:v>2027.748</c:v>
                </c:pt>
                <c:pt idx="18">
                  <c:v>2056.576</c:v>
                </c:pt>
                <c:pt idx="19">
                  <c:v>2086.8580000000002</c:v>
                </c:pt>
                <c:pt idx="20">
                  <c:v>2117.4920000000002</c:v>
                </c:pt>
                <c:pt idx="21">
                  <c:v>2145.627</c:v>
                </c:pt>
                <c:pt idx="22">
                  <c:v>2173.4160000000002</c:v>
                </c:pt>
                <c:pt idx="23">
                  <c:v>2180.3760000000002</c:v>
                </c:pt>
              </c:numCache>
            </c:numRef>
          </c:yVal>
          <c:smooth val="0"/>
        </c:ser>
        <c:ser>
          <c:idx val="1"/>
          <c:order val="1"/>
          <c:tx>
            <c:v>65 C</c:v>
          </c:tx>
          <c:spPr>
            <a:ln w="28575">
              <a:noFill/>
            </a:ln>
          </c:spPr>
          <c:marker>
            <c:symbol val="square"/>
            <c:size val="4"/>
          </c:marker>
          <c:xVal>
            <c:numRef>
              <c:f>'Shifted plus WLF Best Fit'!$G$27:$G$50</c:f>
              <c:numCache>
                <c:formatCode>0.00</c:formatCode>
                <c:ptCount val="24"/>
                <c:pt idx="0">
                  <c:v>9.9999990000000007E-3</c:v>
                </c:pt>
                <c:pt idx="1">
                  <c:v>0.02</c:v>
                </c:pt>
                <c:pt idx="2">
                  <c:v>0.03</c:v>
                </c:pt>
                <c:pt idx="3">
                  <c:v>0.05</c:v>
                </c:pt>
                <c:pt idx="4">
                  <c:v>7.0000000000000007E-2</c:v>
                </c:pt>
                <c:pt idx="5">
                  <c:v>0.1</c:v>
                </c:pt>
                <c:pt idx="6">
                  <c:v>0.15</c:v>
                </c:pt>
                <c:pt idx="7">
                  <c:v>0.22</c:v>
                </c:pt>
                <c:pt idx="8">
                  <c:v>0.32</c:v>
                </c:pt>
                <c:pt idx="9">
                  <c:v>0.46</c:v>
                </c:pt>
                <c:pt idx="10">
                  <c:v>0.68</c:v>
                </c:pt>
                <c:pt idx="11">
                  <c:v>1</c:v>
                </c:pt>
                <c:pt idx="12">
                  <c:v>1.5</c:v>
                </c:pt>
                <c:pt idx="13">
                  <c:v>2.2000000000000002</c:v>
                </c:pt>
                <c:pt idx="14">
                  <c:v>3.2</c:v>
                </c:pt>
                <c:pt idx="15">
                  <c:v>4.5999999999999996</c:v>
                </c:pt>
                <c:pt idx="16">
                  <c:v>6.8</c:v>
                </c:pt>
                <c:pt idx="17">
                  <c:v>10</c:v>
                </c:pt>
                <c:pt idx="18">
                  <c:v>14.6</c:v>
                </c:pt>
                <c:pt idx="19">
                  <c:v>21.5</c:v>
                </c:pt>
                <c:pt idx="20">
                  <c:v>31.6</c:v>
                </c:pt>
                <c:pt idx="21">
                  <c:v>46.4</c:v>
                </c:pt>
                <c:pt idx="22">
                  <c:v>68</c:v>
                </c:pt>
                <c:pt idx="23">
                  <c:v>100</c:v>
                </c:pt>
              </c:numCache>
            </c:numRef>
          </c:xVal>
          <c:yVal>
            <c:numRef>
              <c:f>'Shifted plus WLF Best Fit'!$D$27:$D$50</c:f>
              <c:numCache>
                <c:formatCode>General</c:formatCode>
                <c:ptCount val="24"/>
                <c:pt idx="0">
                  <c:v>691.05809999999997</c:v>
                </c:pt>
                <c:pt idx="1">
                  <c:v>807.14599999999996</c:v>
                </c:pt>
                <c:pt idx="2">
                  <c:v>874.48</c:v>
                </c:pt>
                <c:pt idx="3">
                  <c:v>952.33579999999995</c:v>
                </c:pt>
                <c:pt idx="4">
                  <c:v>1003.414</c:v>
                </c:pt>
                <c:pt idx="5">
                  <c:v>1054.4970000000001</c:v>
                </c:pt>
                <c:pt idx="6">
                  <c:v>1110.02</c:v>
                </c:pt>
                <c:pt idx="7">
                  <c:v>1160.9829999999999</c:v>
                </c:pt>
                <c:pt idx="8">
                  <c:v>1210.2940000000001</c:v>
                </c:pt>
                <c:pt idx="9">
                  <c:v>1256.43</c:v>
                </c:pt>
                <c:pt idx="10">
                  <c:v>1304.481</c:v>
                </c:pt>
                <c:pt idx="11">
                  <c:v>1348.5419999999999</c:v>
                </c:pt>
                <c:pt idx="12">
                  <c:v>1395.328</c:v>
                </c:pt>
                <c:pt idx="13">
                  <c:v>1438.5450000000001</c:v>
                </c:pt>
                <c:pt idx="14">
                  <c:v>1480.018</c:v>
                </c:pt>
                <c:pt idx="15">
                  <c:v>1520.3389999999999</c:v>
                </c:pt>
                <c:pt idx="16">
                  <c:v>1562.296</c:v>
                </c:pt>
                <c:pt idx="17">
                  <c:v>1603.7</c:v>
                </c:pt>
                <c:pt idx="18">
                  <c:v>1643.249</c:v>
                </c:pt>
                <c:pt idx="19">
                  <c:v>1684.2809999999999</c:v>
                </c:pt>
                <c:pt idx="20">
                  <c:v>1724.9110000000001</c:v>
                </c:pt>
                <c:pt idx="21">
                  <c:v>1761.61</c:v>
                </c:pt>
                <c:pt idx="22">
                  <c:v>1801.5840000000001</c:v>
                </c:pt>
                <c:pt idx="23">
                  <c:v>1822.0229999999999</c:v>
                </c:pt>
              </c:numCache>
            </c:numRef>
          </c:yVal>
          <c:smooth val="0"/>
        </c:ser>
        <c:ser>
          <c:idx val="2"/>
          <c:order val="2"/>
          <c:tx>
            <c:v>70 C</c:v>
          </c:tx>
          <c:spPr>
            <a:ln w="28575">
              <a:noFill/>
            </a:ln>
          </c:spPr>
          <c:marker>
            <c:symbol val="diamond"/>
            <c:size val="4"/>
          </c:marker>
          <c:xVal>
            <c:numRef>
              <c:f>'Shifted plus WLF Best Fit'!$G$51:$G$69</c:f>
              <c:numCache>
                <c:formatCode>0.00</c:formatCode>
                <c:ptCount val="19"/>
                <c:pt idx="0">
                  <c:v>0.1</c:v>
                </c:pt>
                <c:pt idx="1">
                  <c:v>0.15</c:v>
                </c:pt>
                <c:pt idx="2">
                  <c:v>0.22</c:v>
                </c:pt>
                <c:pt idx="3">
                  <c:v>0.32</c:v>
                </c:pt>
                <c:pt idx="4">
                  <c:v>0.46</c:v>
                </c:pt>
                <c:pt idx="5">
                  <c:v>0.68</c:v>
                </c:pt>
                <c:pt idx="6">
                  <c:v>1</c:v>
                </c:pt>
                <c:pt idx="7">
                  <c:v>1.5</c:v>
                </c:pt>
                <c:pt idx="8">
                  <c:v>2.2000000000000002</c:v>
                </c:pt>
                <c:pt idx="9">
                  <c:v>3.2</c:v>
                </c:pt>
                <c:pt idx="10">
                  <c:v>4.5999999999999996</c:v>
                </c:pt>
                <c:pt idx="11">
                  <c:v>6.8</c:v>
                </c:pt>
                <c:pt idx="12">
                  <c:v>10</c:v>
                </c:pt>
                <c:pt idx="13">
                  <c:v>14.6</c:v>
                </c:pt>
                <c:pt idx="14">
                  <c:v>21.5</c:v>
                </c:pt>
                <c:pt idx="15">
                  <c:v>31.6</c:v>
                </c:pt>
                <c:pt idx="16">
                  <c:v>46.4</c:v>
                </c:pt>
                <c:pt idx="17">
                  <c:v>68</c:v>
                </c:pt>
                <c:pt idx="18">
                  <c:v>100</c:v>
                </c:pt>
              </c:numCache>
            </c:numRef>
          </c:xVal>
          <c:yVal>
            <c:numRef>
              <c:f>'Shifted plus WLF Best Fit'!$D$51:$D$69</c:f>
              <c:numCache>
                <c:formatCode>General</c:formatCode>
                <c:ptCount val="19"/>
                <c:pt idx="0">
                  <c:v>493.78960000000001</c:v>
                </c:pt>
                <c:pt idx="1">
                  <c:v>473.6807</c:v>
                </c:pt>
                <c:pt idx="2">
                  <c:v>489.50259999999997</c:v>
                </c:pt>
                <c:pt idx="3">
                  <c:v>534.02890000000002</c:v>
                </c:pt>
                <c:pt idx="4">
                  <c:v>577.97180000000003</c:v>
                </c:pt>
                <c:pt idx="5">
                  <c:v>625.17610000000002</c:v>
                </c:pt>
                <c:pt idx="6">
                  <c:v>673.65089999999998</c:v>
                </c:pt>
                <c:pt idx="7">
                  <c:v>723.61030000000005</c:v>
                </c:pt>
                <c:pt idx="8">
                  <c:v>768.02189999999996</c:v>
                </c:pt>
                <c:pt idx="9">
                  <c:v>811.76710000000003</c:v>
                </c:pt>
                <c:pt idx="10">
                  <c:v>854.01580000000001</c:v>
                </c:pt>
                <c:pt idx="11">
                  <c:v>898.55489999999998</c:v>
                </c:pt>
                <c:pt idx="12">
                  <c:v>944.40710000000001</c:v>
                </c:pt>
                <c:pt idx="13">
                  <c:v>985.64469999999994</c:v>
                </c:pt>
                <c:pt idx="14">
                  <c:v>1029.2239999999999</c:v>
                </c:pt>
                <c:pt idx="15">
                  <c:v>1069.7850000000001</c:v>
                </c:pt>
                <c:pt idx="16">
                  <c:v>1106.345</c:v>
                </c:pt>
                <c:pt idx="17">
                  <c:v>1149.43</c:v>
                </c:pt>
                <c:pt idx="18">
                  <c:v>1178.6010000000001</c:v>
                </c:pt>
              </c:numCache>
            </c:numRef>
          </c:yVal>
          <c:smooth val="0"/>
        </c:ser>
        <c:ser>
          <c:idx val="3"/>
          <c:order val="3"/>
          <c:tx>
            <c:v>75 C</c:v>
          </c:tx>
          <c:spPr>
            <a:ln w="28575">
              <a:noFill/>
            </a:ln>
          </c:spPr>
          <c:marker>
            <c:symbol val="diamond"/>
            <c:size val="4"/>
          </c:marker>
          <c:xVal>
            <c:numRef>
              <c:f>'Shifted plus WLF Best Fit'!$G$70:$G$88</c:f>
              <c:numCache>
                <c:formatCode>0.00</c:formatCode>
                <c:ptCount val="19"/>
                <c:pt idx="0">
                  <c:v>0.1</c:v>
                </c:pt>
                <c:pt idx="1">
                  <c:v>0.15</c:v>
                </c:pt>
                <c:pt idx="2">
                  <c:v>0.22</c:v>
                </c:pt>
                <c:pt idx="3">
                  <c:v>0.32</c:v>
                </c:pt>
                <c:pt idx="4">
                  <c:v>0.46</c:v>
                </c:pt>
                <c:pt idx="5">
                  <c:v>0.68</c:v>
                </c:pt>
                <c:pt idx="6">
                  <c:v>1</c:v>
                </c:pt>
                <c:pt idx="7">
                  <c:v>1.5</c:v>
                </c:pt>
                <c:pt idx="8">
                  <c:v>2.2000000000000002</c:v>
                </c:pt>
                <c:pt idx="9">
                  <c:v>3.2</c:v>
                </c:pt>
                <c:pt idx="10">
                  <c:v>4.5999999999999996</c:v>
                </c:pt>
                <c:pt idx="11">
                  <c:v>6.8</c:v>
                </c:pt>
                <c:pt idx="12">
                  <c:v>10</c:v>
                </c:pt>
                <c:pt idx="13">
                  <c:v>14.6</c:v>
                </c:pt>
                <c:pt idx="14">
                  <c:v>21.5</c:v>
                </c:pt>
                <c:pt idx="15">
                  <c:v>31.6</c:v>
                </c:pt>
                <c:pt idx="16">
                  <c:v>46.4</c:v>
                </c:pt>
                <c:pt idx="17">
                  <c:v>68</c:v>
                </c:pt>
                <c:pt idx="18">
                  <c:v>100</c:v>
                </c:pt>
              </c:numCache>
            </c:numRef>
          </c:xVal>
          <c:yVal>
            <c:numRef>
              <c:f>'Shifted plus WLF Best Fit'!$D$70:$D$88</c:f>
              <c:numCache>
                <c:formatCode>General</c:formatCode>
                <c:ptCount val="19"/>
                <c:pt idx="0">
                  <c:v>93.074820000000003</c:v>
                </c:pt>
                <c:pt idx="1">
                  <c:v>109.4228</c:v>
                </c:pt>
                <c:pt idx="2">
                  <c:v>128.88489999999999</c:v>
                </c:pt>
                <c:pt idx="3">
                  <c:v>154.1653</c:v>
                </c:pt>
                <c:pt idx="4">
                  <c:v>182.3681</c:v>
                </c:pt>
                <c:pt idx="5">
                  <c:v>215.51169999999999</c:v>
                </c:pt>
                <c:pt idx="6">
                  <c:v>249.88120000000001</c:v>
                </c:pt>
                <c:pt idx="7">
                  <c:v>288.8802</c:v>
                </c:pt>
                <c:pt idx="8">
                  <c:v>328.45100000000002</c:v>
                </c:pt>
                <c:pt idx="9">
                  <c:v>369.19830000000002</c:v>
                </c:pt>
                <c:pt idx="10">
                  <c:v>410.37830000000002</c:v>
                </c:pt>
                <c:pt idx="11">
                  <c:v>456.12299999999999</c:v>
                </c:pt>
                <c:pt idx="12">
                  <c:v>502.37459999999999</c:v>
                </c:pt>
                <c:pt idx="13">
                  <c:v>548.73760000000004</c:v>
                </c:pt>
                <c:pt idx="14">
                  <c:v>596.5068</c:v>
                </c:pt>
                <c:pt idx="15">
                  <c:v>643.90800000000002</c:v>
                </c:pt>
                <c:pt idx="16">
                  <c:v>687.67489999999998</c:v>
                </c:pt>
                <c:pt idx="17">
                  <c:v>732.81979999999999</c:v>
                </c:pt>
                <c:pt idx="18">
                  <c:v>768.28710000000001</c:v>
                </c:pt>
              </c:numCache>
            </c:numRef>
          </c:yVal>
          <c:smooth val="0"/>
        </c:ser>
        <c:ser>
          <c:idx val="4"/>
          <c:order val="4"/>
          <c:tx>
            <c:v>80 C</c:v>
          </c:tx>
          <c:spPr>
            <a:ln w="28575">
              <a:noFill/>
            </a:ln>
          </c:spPr>
          <c:marker>
            <c:symbol val="square"/>
            <c:size val="4"/>
          </c:marker>
          <c:xVal>
            <c:numRef>
              <c:f>'Shifted plus WLF Best Fit'!$G$89:$G$107</c:f>
              <c:numCache>
                <c:formatCode>0.00</c:formatCode>
                <c:ptCount val="19"/>
                <c:pt idx="0">
                  <c:v>0.1</c:v>
                </c:pt>
                <c:pt idx="1">
                  <c:v>0.15</c:v>
                </c:pt>
                <c:pt idx="2">
                  <c:v>0.22</c:v>
                </c:pt>
                <c:pt idx="3">
                  <c:v>0.32</c:v>
                </c:pt>
                <c:pt idx="4">
                  <c:v>0.46</c:v>
                </c:pt>
                <c:pt idx="5">
                  <c:v>0.68</c:v>
                </c:pt>
                <c:pt idx="6">
                  <c:v>1</c:v>
                </c:pt>
                <c:pt idx="7">
                  <c:v>1.5</c:v>
                </c:pt>
                <c:pt idx="8">
                  <c:v>2.2000000000000002</c:v>
                </c:pt>
                <c:pt idx="9">
                  <c:v>3.2</c:v>
                </c:pt>
                <c:pt idx="10">
                  <c:v>4.5999999999999996</c:v>
                </c:pt>
                <c:pt idx="11">
                  <c:v>6.8</c:v>
                </c:pt>
                <c:pt idx="12">
                  <c:v>10</c:v>
                </c:pt>
                <c:pt idx="13">
                  <c:v>14.6</c:v>
                </c:pt>
                <c:pt idx="14">
                  <c:v>21.5</c:v>
                </c:pt>
                <c:pt idx="15">
                  <c:v>31.6</c:v>
                </c:pt>
                <c:pt idx="16">
                  <c:v>46.4</c:v>
                </c:pt>
                <c:pt idx="17">
                  <c:v>68</c:v>
                </c:pt>
                <c:pt idx="18">
                  <c:v>100</c:v>
                </c:pt>
              </c:numCache>
            </c:numRef>
          </c:xVal>
          <c:yVal>
            <c:numRef>
              <c:f>'Shifted plus WLF Best Fit'!$D$89:$D$107</c:f>
              <c:numCache>
                <c:formatCode>General</c:formatCode>
                <c:ptCount val="19"/>
                <c:pt idx="0">
                  <c:v>26.106940000000002</c:v>
                </c:pt>
                <c:pt idx="1">
                  <c:v>29.332159999999998</c:v>
                </c:pt>
                <c:pt idx="2">
                  <c:v>34.350360000000002</c:v>
                </c:pt>
                <c:pt idx="3">
                  <c:v>41.194580000000002</c:v>
                </c:pt>
                <c:pt idx="4">
                  <c:v>49.47898</c:v>
                </c:pt>
                <c:pt idx="5">
                  <c:v>60.372979999999998</c:v>
                </c:pt>
                <c:pt idx="6">
                  <c:v>72.675399999999996</c:v>
                </c:pt>
                <c:pt idx="7">
                  <c:v>88.307119999999998</c:v>
                </c:pt>
                <c:pt idx="8">
                  <c:v>106.28270000000001</c:v>
                </c:pt>
                <c:pt idx="9">
                  <c:v>126.8644</c:v>
                </c:pt>
                <c:pt idx="10">
                  <c:v>149.83449999999999</c:v>
                </c:pt>
                <c:pt idx="11">
                  <c:v>178.0198</c:v>
                </c:pt>
                <c:pt idx="12">
                  <c:v>209.11369999999999</c:v>
                </c:pt>
                <c:pt idx="13">
                  <c:v>242.95</c:v>
                </c:pt>
                <c:pt idx="14">
                  <c:v>280.86399999999998</c:v>
                </c:pt>
                <c:pt idx="15">
                  <c:v>322.17790000000002</c:v>
                </c:pt>
                <c:pt idx="16">
                  <c:v>362.35820000000001</c:v>
                </c:pt>
                <c:pt idx="17">
                  <c:v>408.33089999999999</c:v>
                </c:pt>
                <c:pt idx="18">
                  <c:v>450.32170000000002</c:v>
                </c:pt>
              </c:numCache>
            </c:numRef>
          </c:yVal>
          <c:smooth val="0"/>
        </c:ser>
        <c:ser>
          <c:idx val="5"/>
          <c:order val="5"/>
          <c:tx>
            <c:v>85 C</c:v>
          </c:tx>
          <c:spPr>
            <a:ln w="28575">
              <a:noFill/>
            </a:ln>
          </c:spPr>
          <c:marker>
            <c:symbol val="circle"/>
            <c:size val="4"/>
          </c:marker>
          <c:xVal>
            <c:numRef>
              <c:f>'Shifted plus WLF Best Fit'!$G$108:$G$126</c:f>
              <c:numCache>
                <c:formatCode>0.00</c:formatCode>
                <c:ptCount val="19"/>
                <c:pt idx="0">
                  <c:v>0.1</c:v>
                </c:pt>
                <c:pt idx="1">
                  <c:v>0.15</c:v>
                </c:pt>
                <c:pt idx="2">
                  <c:v>0.22</c:v>
                </c:pt>
                <c:pt idx="3">
                  <c:v>0.32</c:v>
                </c:pt>
                <c:pt idx="4">
                  <c:v>0.46</c:v>
                </c:pt>
                <c:pt idx="5">
                  <c:v>0.68</c:v>
                </c:pt>
                <c:pt idx="6">
                  <c:v>1</c:v>
                </c:pt>
                <c:pt idx="7">
                  <c:v>1.5</c:v>
                </c:pt>
                <c:pt idx="8">
                  <c:v>2.2000000000000002</c:v>
                </c:pt>
                <c:pt idx="9">
                  <c:v>3.2</c:v>
                </c:pt>
                <c:pt idx="10">
                  <c:v>4.5999999999999996</c:v>
                </c:pt>
                <c:pt idx="11">
                  <c:v>6.8</c:v>
                </c:pt>
                <c:pt idx="12">
                  <c:v>10</c:v>
                </c:pt>
                <c:pt idx="13">
                  <c:v>14.6</c:v>
                </c:pt>
                <c:pt idx="14">
                  <c:v>21.5</c:v>
                </c:pt>
                <c:pt idx="15">
                  <c:v>31.6</c:v>
                </c:pt>
                <c:pt idx="16">
                  <c:v>46.4</c:v>
                </c:pt>
                <c:pt idx="17">
                  <c:v>68</c:v>
                </c:pt>
                <c:pt idx="18">
                  <c:v>100</c:v>
                </c:pt>
              </c:numCache>
            </c:numRef>
          </c:xVal>
          <c:yVal>
            <c:numRef>
              <c:f>'Shifted plus WLF Best Fit'!$D$108:$D$126</c:f>
              <c:numCache>
                <c:formatCode>General</c:formatCode>
                <c:ptCount val="19"/>
                <c:pt idx="0">
                  <c:v>15.760260000000001</c:v>
                </c:pt>
                <c:pt idx="1">
                  <c:v>16.85425</c:v>
                </c:pt>
                <c:pt idx="2">
                  <c:v>18.297920000000001</c:v>
                </c:pt>
                <c:pt idx="3">
                  <c:v>20.205469999999998</c:v>
                </c:pt>
                <c:pt idx="4">
                  <c:v>22.499320000000001</c:v>
                </c:pt>
                <c:pt idx="5">
                  <c:v>25.484500000000001</c:v>
                </c:pt>
                <c:pt idx="6">
                  <c:v>28.851299999999998</c:v>
                </c:pt>
                <c:pt idx="7">
                  <c:v>33.267859999999999</c:v>
                </c:pt>
                <c:pt idx="8">
                  <c:v>38.645040000000002</c:v>
                </c:pt>
                <c:pt idx="9">
                  <c:v>45.243940000000002</c:v>
                </c:pt>
                <c:pt idx="10">
                  <c:v>53.181100000000001</c:v>
                </c:pt>
                <c:pt idx="11">
                  <c:v>71.378810000000001</c:v>
                </c:pt>
                <c:pt idx="12">
                  <c:v>83.854939999999999</c:v>
                </c:pt>
                <c:pt idx="13">
                  <c:v>97.681889999999996</c:v>
                </c:pt>
                <c:pt idx="14">
                  <c:v>116.0951</c:v>
                </c:pt>
                <c:pt idx="15">
                  <c:v>137.6859</c:v>
                </c:pt>
                <c:pt idx="16">
                  <c:v>159.84639999999999</c:v>
                </c:pt>
                <c:pt idx="17">
                  <c:v>192.13980000000001</c:v>
                </c:pt>
                <c:pt idx="18">
                  <c:v>219.71180000000001</c:v>
                </c:pt>
              </c:numCache>
            </c:numRef>
          </c:yVal>
          <c:smooth val="0"/>
        </c:ser>
        <c:ser>
          <c:idx val="6"/>
          <c:order val="6"/>
          <c:tx>
            <c:v>90 C</c:v>
          </c:tx>
          <c:spPr>
            <a:ln w="28575">
              <a:noFill/>
            </a:ln>
          </c:spPr>
          <c:marker>
            <c:symbol val="diamond"/>
            <c:size val="4"/>
          </c:marker>
          <c:xVal>
            <c:numRef>
              <c:f>'Shifted plus WLF Best Fit'!$G$127:$G$145</c:f>
              <c:numCache>
                <c:formatCode>0.00</c:formatCode>
                <c:ptCount val="19"/>
                <c:pt idx="0">
                  <c:v>0.1</c:v>
                </c:pt>
                <c:pt idx="1">
                  <c:v>0.15</c:v>
                </c:pt>
                <c:pt idx="2">
                  <c:v>0.22</c:v>
                </c:pt>
                <c:pt idx="3">
                  <c:v>0.32</c:v>
                </c:pt>
                <c:pt idx="4">
                  <c:v>0.46</c:v>
                </c:pt>
                <c:pt idx="5">
                  <c:v>0.68</c:v>
                </c:pt>
                <c:pt idx="6">
                  <c:v>1</c:v>
                </c:pt>
                <c:pt idx="7">
                  <c:v>1.5</c:v>
                </c:pt>
                <c:pt idx="8">
                  <c:v>2.2000000000000002</c:v>
                </c:pt>
                <c:pt idx="9">
                  <c:v>3.2</c:v>
                </c:pt>
                <c:pt idx="10">
                  <c:v>4.5999999999999996</c:v>
                </c:pt>
                <c:pt idx="11">
                  <c:v>6.8</c:v>
                </c:pt>
                <c:pt idx="12">
                  <c:v>10</c:v>
                </c:pt>
                <c:pt idx="13">
                  <c:v>14.6</c:v>
                </c:pt>
                <c:pt idx="14">
                  <c:v>21.5</c:v>
                </c:pt>
                <c:pt idx="15">
                  <c:v>31.6</c:v>
                </c:pt>
                <c:pt idx="16">
                  <c:v>46.4</c:v>
                </c:pt>
                <c:pt idx="17">
                  <c:v>68</c:v>
                </c:pt>
                <c:pt idx="18">
                  <c:v>100</c:v>
                </c:pt>
              </c:numCache>
            </c:numRef>
          </c:xVal>
          <c:yVal>
            <c:numRef>
              <c:f>'Shifted plus WLF Best Fit'!$D$127:$D$145</c:f>
              <c:numCache>
                <c:formatCode>General</c:formatCode>
                <c:ptCount val="19"/>
                <c:pt idx="0">
                  <c:v>12.72977</c:v>
                </c:pt>
                <c:pt idx="1">
                  <c:v>13.23512</c:v>
                </c:pt>
                <c:pt idx="2">
                  <c:v>13.8683</c:v>
                </c:pt>
                <c:pt idx="3">
                  <c:v>14.694319999999999</c:v>
                </c:pt>
                <c:pt idx="4">
                  <c:v>15.627800000000001</c:v>
                </c:pt>
                <c:pt idx="5">
                  <c:v>16.794060000000002</c:v>
                </c:pt>
                <c:pt idx="6">
                  <c:v>18.04196</c:v>
                </c:pt>
                <c:pt idx="7">
                  <c:v>19.574839999999998</c:v>
                </c:pt>
                <c:pt idx="8">
                  <c:v>21.40222</c:v>
                </c:pt>
                <c:pt idx="9">
                  <c:v>23.618490000000001</c:v>
                </c:pt>
                <c:pt idx="10">
                  <c:v>26.281099999999999</c:v>
                </c:pt>
                <c:pt idx="11">
                  <c:v>29.867999999999999</c:v>
                </c:pt>
                <c:pt idx="12">
                  <c:v>34.3065</c:v>
                </c:pt>
                <c:pt idx="13">
                  <c:v>39.740299999999998</c:v>
                </c:pt>
                <c:pt idx="14">
                  <c:v>47.036020000000001</c:v>
                </c:pt>
                <c:pt idx="15">
                  <c:v>56.865499999999997</c:v>
                </c:pt>
                <c:pt idx="16">
                  <c:v>66.214699999999993</c:v>
                </c:pt>
                <c:pt idx="17">
                  <c:v>82.694180000000003</c:v>
                </c:pt>
                <c:pt idx="18">
                  <c:v>93.186419999999998</c:v>
                </c:pt>
              </c:numCache>
            </c:numRef>
          </c:yVal>
          <c:smooth val="0"/>
        </c:ser>
        <c:ser>
          <c:idx val="7"/>
          <c:order val="7"/>
          <c:tx>
            <c:v>95 C</c:v>
          </c:tx>
          <c:spPr>
            <a:ln w="28575">
              <a:noFill/>
            </a:ln>
          </c:spPr>
          <c:marker>
            <c:symbol val="square"/>
            <c:size val="4"/>
          </c:marker>
          <c:xVal>
            <c:numRef>
              <c:f>'Shifted plus WLF Best Fit'!$G$146:$G$164</c:f>
              <c:numCache>
                <c:formatCode>0.00</c:formatCode>
                <c:ptCount val="19"/>
                <c:pt idx="0">
                  <c:v>0.1</c:v>
                </c:pt>
                <c:pt idx="1">
                  <c:v>0.15</c:v>
                </c:pt>
                <c:pt idx="2">
                  <c:v>0.22</c:v>
                </c:pt>
                <c:pt idx="3">
                  <c:v>0.32</c:v>
                </c:pt>
                <c:pt idx="4">
                  <c:v>0.46</c:v>
                </c:pt>
                <c:pt idx="5">
                  <c:v>0.68</c:v>
                </c:pt>
                <c:pt idx="6">
                  <c:v>1</c:v>
                </c:pt>
                <c:pt idx="7">
                  <c:v>1.5</c:v>
                </c:pt>
                <c:pt idx="8">
                  <c:v>2.2000000000000002</c:v>
                </c:pt>
                <c:pt idx="9">
                  <c:v>3.2</c:v>
                </c:pt>
                <c:pt idx="10">
                  <c:v>4.5999999999999996</c:v>
                </c:pt>
                <c:pt idx="11">
                  <c:v>6.8</c:v>
                </c:pt>
                <c:pt idx="12">
                  <c:v>10</c:v>
                </c:pt>
                <c:pt idx="13">
                  <c:v>14.6</c:v>
                </c:pt>
                <c:pt idx="14">
                  <c:v>21.5</c:v>
                </c:pt>
                <c:pt idx="15">
                  <c:v>31.6</c:v>
                </c:pt>
                <c:pt idx="16">
                  <c:v>46.4</c:v>
                </c:pt>
                <c:pt idx="17">
                  <c:v>68</c:v>
                </c:pt>
                <c:pt idx="18">
                  <c:v>100</c:v>
                </c:pt>
              </c:numCache>
            </c:numRef>
          </c:xVal>
          <c:yVal>
            <c:numRef>
              <c:f>'Shifted plus WLF Best Fit'!$D$146:$D$164</c:f>
              <c:numCache>
                <c:formatCode>General</c:formatCode>
                <c:ptCount val="19"/>
                <c:pt idx="0">
                  <c:v>10.840529999999999</c:v>
                </c:pt>
                <c:pt idx="1">
                  <c:v>11.172079999999999</c:v>
                </c:pt>
                <c:pt idx="2">
                  <c:v>11.54082</c:v>
                </c:pt>
                <c:pt idx="3">
                  <c:v>12.055260000000001</c:v>
                </c:pt>
                <c:pt idx="4">
                  <c:v>12.625249999999999</c:v>
                </c:pt>
                <c:pt idx="5">
                  <c:v>13.29208</c:v>
                </c:pt>
                <c:pt idx="6">
                  <c:v>13.949859999999999</c:v>
                </c:pt>
                <c:pt idx="7">
                  <c:v>14.71692</c:v>
                </c:pt>
                <c:pt idx="8">
                  <c:v>15.57686</c:v>
                </c:pt>
                <c:pt idx="9">
                  <c:v>16.568660000000001</c:v>
                </c:pt>
                <c:pt idx="10">
                  <c:v>17.71621</c:v>
                </c:pt>
                <c:pt idx="11">
                  <c:v>19.217590000000001</c:v>
                </c:pt>
                <c:pt idx="12">
                  <c:v>21.028659999999999</c:v>
                </c:pt>
                <c:pt idx="13">
                  <c:v>23.16968</c:v>
                </c:pt>
                <c:pt idx="14">
                  <c:v>26.229649999999999</c:v>
                </c:pt>
                <c:pt idx="15">
                  <c:v>30.73208</c:v>
                </c:pt>
                <c:pt idx="16">
                  <c:v>33.46902</c:v>
                </c:pt>
                <c:pt idx="17">
                  <c:v>41.88494</c:v>
                </c:pt>
                <c:pt idx="18">
                  <c:v>42.713520000000003</c:v>
                </c:pt>
              </c:numCache>
            </c:numRef>
          </c:yVal>
          <c:smooth val="0"/>
        </c:ser>
        <c:ser>
          <c:idx val="8"/>
          <c:order val="8"/>
          <c:tx>
            <c:v>100 C</c:v>
          </c:tx>
          <c:spPr>
            <a:ln w="28575">
              <a:noFill/>
            </a:ln>
          </c:spPr>
          <c:marker>
            <c:symbol val="square"/>
            <c:size val="4"/>
          </c:marker>
          <c:xVal>
            <c:numRef>
              <c:f>'Shifted plus WLF Best Fit'!$G$165:$G$183</c:f>
              <c:numCache>
                <c:formatCode>0.00</c:formatCode>
                <c:ptCount val="19"/>
                <c:pt idx="0">
                  <c:v>0.1</c:v>
                </c:pt>
                <c:pt idx="1">
                  <c:v>0.15</c:v>
                </c:pt>
                <c:pt idx="2">
                  <c:v>0.22</c:v>
                </c:pt>
                <c:pt idx="3">
                  <c:v>0.32</c:v>
                </c:pt>
                <c:pt idx="4">
                  <c:v>0.46</c:v>
                </c:pt>
                <c:pt idx="5">
                  <c:v>0.68</c:v>
                </c:pt>
                <c:pt idx="6">
                  <c:v>1</c:v>
                </c:pt>
                <c:pt idx="7">
                  <c:v>1.5</c:v>
                </c:pt>
                <c:pt idx="8">
                  <c:v>2.2000000000000002</c:v>
                </c:pt>
                <c:pt idx="9">
                  <c:v>3.2</c:v>
                </c:pt>
                <c:pt idx="10">
                  <c:v>4.5999999999999996</c:v>
                </c:pt>
                <c:pt idx="11">
                  <c:v>6.8</c:v>
                </c:pt>
                <c:pt idx="12">
                  <c:v>10</c:v>
                </c:pt>
                <c:pt idx="13">
                  <c:v>14.6</c:v>
                </c:pt>
                <c:pt idx="14">
                  <c:v>21.5</c:v>
                </c:pt>
                <c:pt idx="15">
                  <c:v>31.6</c:v>
                </c:pt>
                <c:pt idx="16">
                  <c:v>46.4</c:v>
                </c:pt>
                <c:pt idx="17">
                  <c:v>68</c:v>
                </c:pt>
                <c:pt idx="18">
                  <c:v>100</c:v>
                </c:pt>
              </c:numCache>
            </c:numRef>
          </c:xVal>
          <c:yVal>
            <c:numRef>
              <c:f>'Shifted plus WLF Best Fit'!$D$165:$D$183</c:f>
              <c:numCache>
                <c:formatCode>General</c:formatCode>
                <c:ptCount val="19"/>
                <c:pt idx="0">
                  <c:v>9.2533480000000008</c:v>
                </c:pt>
                <c:pt idx="1">
                  <c:v>9.5517459999999996</c:v>
                </c:pt>
                <c:pt idx="2">
                  <c:v>9.8949809999999996</c:v>
                </c:pt>
                <c:pt idx="3">
                  <c:v>10.31288</c:v>
                </c:pt>
                <c:pt idx="4">
                  <c:v>10.75249</c:v>
                </c:pt>
                <c:pt idx="5">
                  <c:v>11.24316</c:v>
                </c:pt>
                <c:pt idx="6">
                  <c:v>11.70074</c:v>
                </c:pt>
                <c:pt idx="7">
                  <c:v>12.21129</c:v>
                </c:pt>
                <c:pt idx="8">
                  <c:v>12.753500000000001</c:v>
                </c:pt>
                <c:pt idx="9">
                  <c:v>13.34796</c:v>
                </c:pt>
                <c:pt idx="10">
                  <c:v>14.00217</c:v>
                </c:pt>
                <c:pt idx="11">
                  <c:v>14.81527</c:v>
                </c:pt>
                <c:pt idx="12">
                  <c:v>15.74677</c:v>
                </c:pt>
                <c:pt idx="13">
                  <c:v>16.791910000000001</c:v>
                </c:pt>
                <c:pt idx="14">
                  <c:v>18.40692</c:v>
                </c:pt>
                <c:pt idx="15">
                  <c:v>21.012599999999999</c:v>
                </c:pt>
                <c:pt idx="16">
                  <c:v>21.310020000000002</c:v>
                </c:pt>
                <c:pt idx="17">
                  <c:v>26.674689999999998</c:v>
                </c:pt>
                <c:pt idx="18">
                  <c:v>23.490760000000002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121600"/>
        <c:axId val="140123136"/>
      </c:scatterChart>
      <c:valAx>
        <c:axId val="140121600"/>
        <c:scaling>
          <c:logBase val="10"/>
          <c:orientation val="minMax"/>
        </c:scaling>
        <c:delete val="0"/>
        <c:axPos val="b"/>
        <c:numFmt formatCode="0.00" sourceLinked="1"/>
        <c:majorTickMark val="out"/>
        <c:minorTickMark val="none"/>
        <c:tickLblPos val="nextTo"/>
        <c:crossAx val="140123136"/>
        <c:crosses val="autoZero"/>
        <c:crossBetween val="midCat"/>
      </c:valAx>
      <c:valAx>
        <c:axId val="140123136"/>
        <c:scaling>
          <c:logBase val="10"/>
          <c:orientation val="minMax"/>
          <c:min val="7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0121600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3100368783016054E-2"/>
          <c:y val="3.2095343285709198E-2"/>
          <c:w val="0.89731555578391198"/>
          <c:h val="0.85388691730435107"/>
        </c:manualLayout>
      </c:layout>
      <c:scatterChart>
        <c:scatterStyle val="lineMarker"/>
        <c:varyColors val="0"/>
        <c:ser>
          <c:idx val="0"/>
          <c:order val="0"/>
          <c:tx>
            <c:v>60 C</c:v>
          </c:tx>
          <c:spPr>
            <a:ln w="28575">
              <a:solidFill>
                <a:schemeClr val="accent1"/>
              </a:solidFill>
            </a:ln>
          </c:spPr>
          <c:marker>
            <c:symbol val="none"/>
          </c:marker>
          <c:xVal>
            <c:numRef>
              <c:f>'Shifted plus WLF Best Fit'!$I$3:$I$26</c:f>
              <c:numCache>
                <c:formatCode>0.00</c:formatCode>
                <c:ptCount val="24"/>
                <c:pt idx="0">
                  <c:v>3.9999999565705497</c:v>
                </c:pt>
                <c:pt idx="1">
                  <c:v>4.3010299956639813</c:v>
                </c:pt>
                <c:pt idx="2">
                  <c:v>4.4771212547196626</c:v>
                </c:pt>
                <c:pt idx="3">
                  <c:v>4.6989700043360187</c:v>
                </c:pt>
                <c:pt idx="4">
                  <c:v>4.8450980400142569</c:v>
                </c:pt>
                <c:pt idx="5">
                  <c:v>5</c:v>
                </c:pt>
                <c:pt idx="6">
                  <c:v>5.1760912590556813</c:v>
                </c:pt>
                <c:pt idx="7">
                  <c:v>5.3424226808222066</c:v>
                </c:pt>
                <c:pt idx="8">
                  <c:v>5.5051499783199063</c:v>
                </c:pt>
                <c:pt idx="9">
                  <c:v>5.6627578316815743</c:v>
                </c:pt>
                <c:pt idx="10">
                  <c:v>5.8325089127062366</c:v>
                </c:pt>
                <c:pt idx="11">
                  <c:v>6</c:v>
                </c:pt>
                <c:pt idx="12">
                  <c:v>6.1760912590556813</c:v>
                </c:pt>
                <c:pt idx="13">
                  <c:v>6.3424226808222066</c:v>
                </c:pt>
                <c:pt idx="14">
                  <c:v>6.5051499783199063</c:v>
                </c:pt>
                <c:pt idx="15">
                  <c:v>6.6627578316815743</c:v>
                </c:pt>
                <c:pt idx="16">
                  <c:v>6.8325089127062366</c:v>
                </c:pt>
                <c:pt idx="17">
                  <c:v>7</c:v>
                </c:pt>
                <c:pt idx="18">
                  <c:v>7.1643528557844371</c:v>
                </c:pt>
                <c:pt idx="19">
                  <c:v>7.3324384599156058</c:v>
                </c:pt>
                <c:pt idx="20">
                  <c:v>7.4996870826184043</c:v>
                </c:pt>
                <c:pt idx="21">
                  <c:v>7.6665179805548807</c:v>
                </c:pt>
                <c:pt idx="22">
                  <c:v>7.8325089127062366</c:v>
                </c:pt>
                <c:pt idx="23">
                  <c:v>8</c:v>
                </c:pt>
              </c:numCache>
            </c:numRef>
          </c:xVal>
          <c:yVal>
            <c:numRef>
              <c:f>'Shifted plus WLF Best Fit'!$D$3:$D$26</c:f>
              <c:numCache>
                <c:formatCode>General</c:formatCode>
                <c:ptCount val="24"/>
                <c:pt idx="0">
                  <c:v>1296.5440000000001</c:v>
                </c:pt>
                <c:pt idx="1">
                  <c:v>1411.3869999999999</c:v>
                </c:pt>
                <c:pt idx="2">
                  <c:v>1475.1959999999999</c:v>
                </c:pt>
                <c:pt idx="3">
                  <c:v>1538.9570000000001</c:v>
                </c:pt>
                <c:pt idx="4">
                  <c:v>1585.059</c:v>
                </c:pt>
                <c:pt idx="5">
                  <c:v>1625.829</c:v>
                </c:pt>
                <c:pt idx="6">
                  <c:v>1666.5039999999999</c:v>
                </c:pt>
                <c:pt idx="7">
                  <c:v>1706.336</c:v>
                </c:pt>
                <c:pt idx="8">
                  <c:v>1742.52</c:v>
                </c:pt>
                <c:pt idx="9">
                  <c:v>1776.425</c:v>
                </c:pt>
                <c:pt idx="10">
                  <c:v>1812.4</c:v>
                </c:pt>
                <c:pt idx="11">
                  <c:v>1845.133</c:v>
                </c:pt>
                <c:pt idx="12">
                  <c:v>1877.809</c:v>
                </c:pt>
                <c:pt idx="13">
                  <c:v>1908.6690000000001</c:v>
                </c:pt>
                <c:pt idx="14">
                  <c:v>1938.134</c:v>
                </c:pt>
                <c:pt idx="15">
                  <c:v>1966.98</c:v>
                </c:pt>
                <c:pt idx="16">
                  <c:v>1997.537</c:v>
                </c:pt>
                <c:pt idx="17">
                  <c:v>2027.748</c:v>
                </c:pt>
                <c:pt idx="18">
                  <c:v>2056.576</c:v>
                </c:pt>
                <c:pt idx="19">
                  <c:v>2086.8580000000002</c:v>
                </c:pt>
                <c:pt idx="20">
                  <c:v>2117.4920000000002</c:v>
                </c:pt>
                <c:pt idx="21">
                  <c:v>2145.627</c:v>
                </c:pt>
                <c:pt idx="22">
                  <c:v>2173.4160000000002</c:v>
                </c:pt>
                <c:pt idx="23">
                  <c:v>2180.3760000000002</c:v>
                </c:pt>
              </c:numCache>
            </c:numRef>
          </c:yVal>
          <c:smooth val="0"/>
        </c:ser>
        <c:ser>
          <c:idx val="1"/>
          <c:order val="1"/>
          <c:tx>
            <c:v>65 C</c:v>
          </c:tx>
          <c:spPr>
            <a:ln w="28575">
              <a:solidFill>
                <a:srgbClr val="C00000"/>
              </a:solidFill>
            </a:ln>
          </c:spPr>
          <c:marker>
            <c:symbol val="none"/>
          </c:marker>
          <c:xVal>
            <c:numRef>
              <c:f>'Shifted plus WLF Best Fit'!$I$27:$I$50</c:f>
              <c:numCache>
                <c:formatCode>0.00</c:formatCode>
                <c:ptCount val="24"/>
                <c:pt idx="0">
                  <c:v>1.8999999565705497</c:v>
                </c:pt>
                <c:pt idx="1">
                  <c:v>2.2010299956639812</c:v>
                </c:pt>
                <c:pt idx="2">
                  <c:v>2.3771212547196621</c:v>
                </c:pt>
                <c:pt idx="3">
                  <c:v>2.5989700043360187</c:v>
                </c:pt>
                <c:pt idx="4">
                  <c:v>2.7450980400142568</c:v>
                </c:pt>
                <c:pt idx="5">
                  <c:v>2.9</c:v>
                </c:pt>
                <c:pt idx="6">
                  <c:v>3.0760912590556813</c:v>
                </c:pt>
                <c:pt idx="7">
                  <c:v>3.2424226808222061</c:v>
                </c:pt>
                <c:pt idx="8">
                  <c:v>3.4051499783199057</c:v>
                </c:pt>
                <c:pt idx="9">
                  <c:v>3.5627578316815738</c:v>
                </c:pt>
                <c:pt idx="10">
                  <c:v>3.7325089127062361</c:v>
                </c:pt>
                <c:pt idx="11">
                  <c:v>3.9</c:v>
                </c:pt>
                <c:pt idx="12">
                  <c:v>4.0760912590556808</c:v>
                </c:pt>
                <c:pt idx="13">
                  <c:v>4.2424226808222061</c:v>
                </c:pt>
                <c:pt idx="14">
                  <c:v>4.4051499783199057</c:v>
                </c:pt>
                <c:pt idx="15">
                  <c:v>4.5627578316815738</c:v>
                </c:pt>
                <c:pt idx="16">
                  <c:v>4.7325089127062361</c:v>
                </c:pt>
                <c:pt idx="17">
                  <c:v>4.9000000000000004</c:v>
                </c:pt>
                <c:pt idx="18">
                  <c:v>5.0643528557844366</c:v>
                </c:pt>
                <c:pt idx="19">
                  <c:v>5.2324384599156053</c:v>
                </c:pt>
                <c:pt idx="20">
                  <c:v>5.3996870826184038</c:v>
                </c:pt>
                <c:pt idx="21">
                  <c:v>5.566517980554881</c:v>
                </c:pt>
                <c:pt idx="22">
                  <c:v>5.7325089127062361</c:v>
                </c:pt>
                <c:pt idx="23">
                  <c:v>5.9</c:v>
                </c:pt>
              </c:numCache>
            </c:numRef>
          </c:xVal>
          <c:yVal>
            <c:numRef>
              <c:f>'Shifted plus WLF Best Fit'!$D$27:$D$50</c:f>
              <c:numCache>
                <c:formatCode>General</c:formatCode>
                <c:ptCount val="24"/>
                <c:pt idx="0">
                  <c:v>691.05809999999997</c:v>
                </c:pt>
                <c:pt idx="1">
                  <c:v>807.14599999999996</c:v>
                </c:pt>
                <c:pt idx="2">
                  <c:v>874.48</c:v>
                </c:pt>
                <c:pt idx="3">
                  <c:v>952.33579999999995</c:v>
                </c:pt>
                <c:pt idx="4">
                  <c:v>1003.414</c:v>
                </c:pt>
                <c:pt idx="5">
                  <c:v>1054.4970000000001</c:v>
                </c:pt>
                <c:pt idx="6">
                  <c:v>1110.02</c:v>
                </c:pt>
                <c:pt idx="7">
                  <c:v>1160.9829999999999</c:v>
                </c:pt>
                <c:pt idx="8">
                  <c:v>1210.2940000000001</c:v>
                </c:pt>
                <c:pt idx="9">
                  <c:v>1256.43</c:v>
                </c:pt>
                <c:pt idx="10">
                  <c:v>1304.481</c:v>
                </c:pt>
                <c:pt idx="11">
                  <c:v>1348.5419999999999</c:v>
                </c:pt>
                <c:pt idx="12">
                  <c:v>1395.328</c:v>
                </c:pt>
                <c:pt idx="13">
                  <c:v>1438.5450000000001</c:v>
                </c:pt>
                <c:pt idx="14">
                  <c:v>1480.018</c:v>
                </c:pt>
                <c:pt idx="15">
                  <c:v>1520.3389999999999</c:v>
                </c:pt>
                <c:pt idx="16">
                  <c:v>1562.296</c:v>
                </c:pt>
                <c:pt idx="17">
                  <c:v>1603.7</c:v>
                </c:pt>
                <c:pt idx="18">
                  <c:v>1643.249</c:v>
                </c:pt>
                <c:pt idx="19">
                  <c:v>1684.2809999999999</c:v>
                </c:pt>
                <c:pt idx="20">
                  <c:v>1724.9110000000001</c:v>
                </c:pt>
                <c:pt idx="21">
                  <c:v>1761.61</c:v>
                </c:pt>
                <c:pt idx="22">
                  <c:v>1801.5840000000001</c:v>
                </c:pt>
                <c:pt idx="23">
                  <c:v>1822.0229999999999</c:v>
                </c:pt>
              </c:numCache>
            </c:numRef>
          </c:yVal>
          <c:smooth val="0"/>
        </c:ser>
        <c:ser>
          <c:idx val="2"/>
          <c:order val="2"/>
          <c:tx>
            <c:v>70 C</c:v>
          </c:tx>
          <c:spPr>
            <a:ln w="28575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'Shifted plus WLF Best Fit'!$I$51:$I$69</c:f>
              <c:numCache>
                <c:formatCode>0.00</c:formatCode>
                <c:ptCount val="19"/>
                <c:pt idx="0">
                  <c:v>0.60000000000000009</c:v>
                </c:pt>
                <c:pt idx="1">
                  <c:v>0.77609125905568133</c:v>
                </c:pt>
                <c:pt idx="2">
                  <c:v>0.94242268082220637</c:v>
                </c:pt>
                <c:pt idx="3">
                  <c:v>1.1051499783199061</c:v>
                </c:pt>
                <c:pt idx="4">
                  <c:v>1.2627578316815742</c:v>
                </c:pt>
                <c:pt idx="5">
                  <c:v>1.4325089127062365</c:v>
                </c:pt>
                <c:pt idx="6">
                  <c:v>1.6</c:v>
                </c:pt>
                <c:pt idx="7">
                  <c:v>1.7760912590556814</c:v>
                </c:pt>
                <c:pt idx="8">
                  <c:v>1.9424226808222063</c:v>
                </c:pt>
                <c:pt idx="9">
                  <c:v>2.1051499783199059</c:v>
                </c:pt>
                <c:pt idx="10">
                  <c:v>2.262757831681574</c:v>
                </c:pt>
                <c:pt idx="11">
                  <c:v>2.4325089127062363</c:v>
                </c:pt>
                <c:pt idx="12">
                  <c:v>2.6</c:v>
                </c:pt>
                <c:pt idx="13">
                  <c:v>2.7643528557844372</c:v>
                </c:pt>
                <c:pt idx="14">
                  <c:v>2.9324384599156055</c:v>
                </c:pt>
                <c:pt idx="15">
                  <c:v>3.099687082618404</c:v>
                </c:pt>
                <c:pt idx="16">
                  <c:v>3.2665179805548812</c:v>
                </c:pt>
                <c:pt idx="17">
                  <c:v>3.4325089127062363</c:v>
                </c:pt>
                <c:pt idx="18">
                  <c:v>3.6</c:v>
                </c:pt>
              </c:numCache>
            </c:numRef>
          </c:xVal>
          <c:yVal>
            <c:numRef>
              <c:f>'Shifted plus WLF Best Fit'!$D$51:$D$69</c:f>
              <c:numCache>
                <c:formatCode>General</c:formatCode>
                <c:ptCount val="19"/>
                <c:pt idx="0">
                  <c:v>493.78960000000001</c:v>
                </c:pt>
                <c:pt idx="1">
                  <c:v>473.6807</c:v>
                </c:pt>
                <c:pt idx="2">
                  <c:v>489.50259999999997</c:v>
                </c:pt>
                <c:pt idx="3">
                  <c:v>534.02890000000002</c:v>
                </c:pt>
                <c:pt idx="4">
                  <c:v>577.97180000000003</c:v>
                </c:pt>
                <c:pt idx="5">
                  <c:v>625.17610000000002</c:v>
                </c:pt>
                <c:pt idx="6">
                  <c:v>673.65089999999998</c:v>
                </c:pt>
                <c:pt idx="7">
                  <c:v>723.61030000000005</c:v>
                </c:pt>
                <c:pt idx="8">
                  <c:v>768.02189999999996</c:v>
                </c:pt>
                <c:pt idx="9">
                  <c:v>811.76710000000003</c:v>
                </c:pt>
                <c:pt idx="10">
                  <c:v>854.01580000000001</c:v>
                </c:pt>
                <c:pt idx="11">
                  <c:v>898.55489999999998</c:v>
                </c:pt>
                <c:pt idx="12">
                  <c:v>944.40710000000001</c:v>
                </c:pt>
                <c:pt idx="13">
                  <c:v>985.64469999999994</c:v>
                </c:pt>
                <c:pt idx="14">
                  <c:v>1029.2239999999999</c:v>
                </c:pt>
                <c:pt idx="15">
                  <c:v>1069.7850000000001</c:v>
                </c:pt>
                <c:pt idx="16">
                  <c:v>1106.345</c:v>
                </c:pt>
                <c:pt idx="17">
                  <c:v>1149.43</c:v>
                </c:pt>
                <c:pt idx="18">
                  <c:v>1178.6010000000001</c:v>
                </c:pt>
              </c:numCache>
            </c:numRef>
          </c:yVal>
          <c:smooth val="0"/>
        </c:ser>
        <c:ser>
          <c:idx val="3"/>
          <c:order val="3"/>
          <c:tx>
            <c:v>75 C</c:v>
          </c:tx>
          <c:spPr>
            <a:ln w="28575">
              <a:solidFill>
                <a:srgbClr val="7030A0"/>
              </a:solidFill>
            </a:ln>
          </c:spPr>
          <c:marker>
            <c:symbol val="diamond"/>
            <c:size val="5"/>
          </c:marker>
          <c:xVal>
            <c:numRef>
              <c:f>'Shifted plus WLF Best Fit'!$I$70:$I$88</c:f>
              <c:numCache>
                <c:formatCode>0.00</c:formatCode>
                <c:ptCount val="19"/>
                <c:pt idx="0">
                  <c:v>-1</c:v>
                </c:pt>
                <c:pt idx="1">
                  <c:v>-0.82390874094431876</c:v>
                </c:pt>
                <c:pt idx="2">
                  <c:v>-0.65757731917779372</c:v>
                </c:pt>
                <c:pt idx="3">
                  <c:v>-0.49485002168009401</c:v>
                </c:pt>
                <c:pt idx="4">
                  <c:v>-0.33724216831842591</c:v>
                </c:pt>
                <c:pt idx="5">
                  <c:v>-0.16749108729376366</c:v>
                </c:pt>
                <c:pt idx="6">
                  <c:v>0</c:v>
                </c:pt>
                <c:pt idx="7">
                  <c:v>0.17609125905568124</c:v>
                </c:pt>
                <c:pt idx="8">
                  <c:v>0.34242268082220628</c:v>
                </c:pt>
                <c:pt idx="9">
                  <c:v>0.50514997831990605</c:v>
                </c:pt>
                <c:pt idx="10">
                  <c:v>0.66275783168157409</c:v>
                </c:pt>
                <c:pt idx="11">
                  <c:v>0.83250891270623628</c:v>
                </c:pt>
                <c:pt idx="12">
                  <c:v>1</c:v>
                </c:pt>
                <c:pt idx="13">
                  <c:v>1.1643528557844371</c:v>
                </c:pt>
                <c:pt idx="14">
                  <c:v>1.3324384599156054</c:v>
                </c:pt>
                <c:pt idx="15">
                  <c:v>1.4996870826184039</c:v>
                </c:pt>
                <c:pt idx="16">
                  <c:v>1.6665179805548809</c:v>
                </c:pt>
                <c:pt idx="17">
                  <c:v>1.8325089127062364</c:v>
                </c:pt>
                <c:pt idx="18">
                  <c:v>2</c:v>
                </c:pt>
              </c:numCache>
            </c:numRef>
          </c:xVal>
          <c:yVal>
            <c:numRef>
              <c:f>'Shifted plus WLF Best Fit'!$D$70:$D$88</c:f>
              <c:numCache>
                <c:formatCode>General</c:formatCode>
                <c:ptCount val="19"/>
                <c:pt idx="0">
                  <c:v>93.074820000000003</c:v>
                </c:pt>
                <c:pt idx="1">
                  <c:v>109.4228</c:v>
                </c:pt>
                <c:pt idx="2">
                  <c:v>128.88489999999999</c:v>
                </c:pt>
                <c:pt idx="3">
                  <c:v>154.1653</c:v>
                </c:pt>
                <c:pt idx="4">
                  <c:v>182.3681</c:v>
                </c:pt>
                <c:pt idx="5">
                  <c:v>215.51169999999999</c:v>
                </c:pt>
                <c:pt idx="6">
                  <c:v>249.88120000000001</c:v>
                </c:pt>
                <c:pt idx="7">
                  <c:v>288.8802</c:v>
                </c:pt>
                <c:pt idx="8">
                  <c:v>328.45100000000002</c:v>
                </c:pt>
                <c:pt idx="9">
                  <c:v>369.19830000000002</c:v>
                </c:pt>
                <c:pt idx="10">
                  <c:v>410.37830000000002</c:v>
                </c:pt>
                <c:pt idx="11">
                  <c:v>456.12299999999999</c:v>
                </c:pt>
                <c:pt idx="12">
                  <c:v>502.37459999999999</c:v>
                </c:pt>
                <c:pt idx="13">
                  <c:v>548.73760000000004</c:v>
                </c:pt>
                <c:pt idx="14">
                  <c:v>596.5068</c:v>
                </c:pt>
                <c:pt idx="15">
                  <c:v>643.90800000000002</c:v>
                </c:pt>
                <c:pt idx="16">
                  <c:v>687.67489999999998</c:v>
                </c:pt>
                <c:pt idx="17">
                  <c:v>732.81979999999999</c:v>
                </c:pt>
                <c:pt idx="18">
                  <c:v>768.28710000000001</c:v>
                </c:pt>
              </c:numCache>
            </c:numRef>
          </c:yVal>
          <c:smooth val="0"/>
        </c:ser>
        <c:ser>
          <c:idx val="4"/>
          <c:order val="4"/>
          <c:tx>
            <c:v>80 C</c:v>
          </c:tx>
          <c:spPr>
            <a:ln w="28575">
              <a:solidFill>
                <a:srgbClr val="0070C0"/>
              </a:solidFill>
            </a:ln>
          </c:spPr>
          <c:marker>
            <c:symbol val="none"/>
          </c:marker>
          <c:xVal>
            <c:numRef>
              <c:f>'Shifted plus WLF Best Fit'!$I$89:$I$107</c:f>
              <c:numCache>
                <c:formatCode>0.00</c:formatCode>
                <c:ptCount val="19"/>
                <c:pt idx="0">
                  <c:v>-2.2000000000000002</c:v>
                </c:pt>
                <c:pt idx="1">
                  <c:v>-2.0239087409443188</c:v>
                </c:pt>
                <c:pt idx="2">
                  <c:v>-1.8575773191777936</c:v>
                </c:pt>
                <c:pt idx="3">
                  <c:v>-1.6948500216800939</c:v>
                </c:pt>
                <c:pt idx="4">
                  <c:v>-1.5372421683184259</c:v>
                </c:pt>
                <c:pt idx="5">
                  <c:v>-1.3674910872937636</c:v>
                </c:pt>
                <c:pt idx="6">
                  <c:v>-1.2</c:v>
                </c:pt>
                <c:pt idx="7">
                  <c:v>-1.0239087409443188</c:v>
                </c:pt>
                <c:pt idx="8">
                  <c:v>-0.85757731917779367</c:v>
                </c:pt>
                <c:pt idx="9">
                  <c:v>-0.69485002168009391</c:v>
                </c:pt>
                <c:pt idx="10">
                  <c:v>-0.53724216831842586</c:v>
                </c:pt>
                <c:pt idx="11">
                  <c:v>-0.36749108729376367</c:v>
                </c:pt>
                <c:pt idx="12">
                  <c:v>-0.19999999999999996</c:v>
                </c:pt>
                <c:pt idx="13">
                  <c:v>-3.5647144215562809E-2</c:v>
                </c:pt>
                <c:pt idx="14">
                  <c:v>0.13243845991560543</c:v>
                </c:pt>
                <c:pt idx="15">
                  <c:v>0.29968708261840393</c:v>
                </c:pt>
                <c:pt idx="16">
                  <c:v>0.46651798055488092</c:v>
                </c:pt>
                <c:pt idx="17">
                  <c:v>0.63250891270623644</c:v>
                </c:pt>
                <c:pt idx="18">
                  <c:v>0.8</c:v>
                </c:pt>
              </c:numCache>
            </c:numRef>
          </c:xVal>
          <c:yVal>
            <c:numRef>
              <c:f>'Shifted plus WLF Best Fit'!$D$89:$D$107</c:f>
              <c:numCache>
                <c:formatCode>General</c:formatCode>
                <c:ptCount val="19"/>
                <c:pt idx="0">
                  <c:v>26.106940000000002</c:v>
                </c:pt>
                <c:pt idx="1">
                  <c:v>29.332159999999998</c:v>
                </c:pt>
                <c:pt idx="2">
                  <c:v>34.350360000000002</c:v>
                </c:pt>
                <c:pt idx="3">
                  <c:v>41.194580000000002</c:v>
                </c:pt>
                <c:pt idx="4">
                  <c:v>49.47898</c:v>
                </c:pt>
                <c:pt idx="5">
                  <c:v>60.372979999999998</c:v>
                </c:pt>
                <c:pt idx="6">
                  <c:v>72.675399999999996</c:v>
                </c:pt>
                <c:pt idx="7">
                  <c:v>88.307119999999998</c:v>
                </c:pt>
                <c:pt idx="8">
                  <c:v>106.28270000000001</c:v>
                </c:pt>
                <c:pt idx="9">
                  <c:v>126.8644</c:v>
                </c:pt>
                <c:pt idx="10">
                  <c:v>149.83449999999999</c:v>
                </c:pt>
                <c:pt idx="11">
                  <c:v>178.0198</c:v>
                </c:pt>
                <c:pt idx="12">
                  <c:v>209.11369999999999</c:v>
                </c:pt>
                <c:pt idx="13">
                  <c:v>242.95</c:v>
                </c:pt>
                <c:pt idx="14">
                  <c:v>280.86399999999998</c:v>
                </c:pt>
                <c:pt idx="15">
                  <c:v>322.17790000000002</c:v>
                </c:pt>
                <c:pt idx="16">
                  <c:v>362.35820000000001</c:v>
                </c:pt>
                <c:pt idx="17">
                  <c:v>408.33089999999999</c:v>
                </c:pt>
                <c:pt idx="18">
                  <c:v>450.32170000000002</c:v>
                </c:pt>
              </c:numCache>
            </c:numRef>
          </c:yVal>
          <c:smooth val="0"/>
        </c:ser>
        <c:ser>
          <c:idx val="5"/>
          <c:order val="5"/>
          <c:tx>
            <c:v>85 C</c:v>
          </c:tx>
          <c:spPr>
            <a:ln w="28575">
              <a:solidFill>
                <a:schemeClr val="accent6">
                  <a:lumMod val="75000"/>
                </a:schemeClr>
              </a:solidFill>
            </a:ln>
          </c:spPr>
          <c:marker>
            <c:symbol val="none"/>
          </c:marker>
          <c:xVal>
            <c:numRef>
              <c:f>'Shifted plus WLF Best Fit'!$I$108:$I$126</c:f>
              <c:numCache>
                <c:formatCode>0.00</c:formatCode>
                <c:ptCount val="19"/>
                <c:pt idx="0">
                  <c:v>-3.1</c:v>
                </c:pt>
                <c:pt idx="1">
                  <c:v>-2.9239087409443187</c:v>
                </c:pt>
                <c:pt idx="2">
                  <c:v>-2.7575773191777939</c:v>
                </c:pt>
                <c:pt idx="3">
                  <c:v>-2.5948500216800943</c:v>
                </c:pt>
                <c:pt idx="4">
                  <c:v>-2.4372421683184262</c:v>
                </c:pt>
                <c:pt idx="5">
                  <c:v>-2.2674910872937639</c:v>
                </c:pt>
                <c:pt idx="6">
                  <c:v>-2.1</c:v>
                </c:pt>
                <c:pt idx="7">
                  <c:v>-1.9239087409443187</c:v>
                </c:pt>
                <c:pt idx="8">
                  <c:v>-1.7575773191777939</c:v>
                </c:pt>
                <c:pt idx="9">
                  <c:v>-1.594850021680094</c:v>
                </c:pt>
                <c:pt idx="10">
                  <c:v>-1.437242168318426</c:v>
                </c:pt>
                <c:pt idx="11">
                  <c:v>-1.2674910872937639</c:v>
                </c:pt>
                <c:pt idx="12">
                  <c:v>-1.1000000000000001</c:v>
                </c:pt>
                <c:pt idx="13">
                  <c:v>-0.93564714421556294</c:v>
                </c:pt>
                <c:pt idx="14">
                  <c:v>-0.7675615400843947</c:v>
                </c:pt>
                <c:pt idx="15">
                  <c:v>-0.6003129173815962</c:v>
                </c:pt>
                <c:pt idx="16">
                  <c:v>-0.43348201944511922</c:v>
                </c:pt>
                <c:pt idx="17">
                  <c:v>-0.2674910872937637</c:v>
                </c:pt>
                <c:pt idx="18">
                  <c:v>-0.10000000000000009</c:v>
                </c:pt>
              </c:numCache>
            </c:numRef>
          </c:xVal>
          <c:yVal>
            <c:numRef>
              <c:f>'Shifted plus WLF Best Fit'!$D$108:$D$126</c:f>
              <c:numCache>
                <c:formatCode>General</c:formatCode>
                <c:ptCount val="19"/>
                <c:pt idx="0">
                  <c:v>15.760260000000001</c:v>
                </c:pt>
                <c:pt idx="1">
                  <c:v>16.85425</c:v>
                </c:pt>
                <c:pt idx="2">
                  <c:v>18.297920000000001</c:v>
                </c:pt>
                <c:pt idx="3">
                  <c:v>20.205469999999998</c:v>
                </c:pt>
                <c:pt idx="4">
                  <c:v>22.499320000000001</c:v>
                </c:pt>
                <c:pt idx="5">
                  <c:v>25.484500000000001</c:v>
                </c:pt>
                <c:pt idx="6">
                  <c:v>28.851299999999998</c:v>
                </c:pt>
                <c:pt idx="7">
                  <c:v>33.267859999999999</c:v>
                </c:pt>
                <c:pt idx="8">
                  <c:v>38.645040000000002</c:v>
                </c:pt>
                <c:pt idx="9">
                  <c:v>45.243940000000002</c:v>
                </c:pt>
                <c:pt idx="10">
                  <c:v>53.181100000000001</c:v>
                </c:pt>
                <c:pt idx="11">
                  <c:v>71.378810000000001</c:v>
                </c:pt>
                <c:pt idx="12">
                  <c:v>83.854939999999999</c:v>
                </c:pt>
                <c:pt idx="13">
                  <c:v>97.681889999999996</c:v>
                </c:pt>
                <c:pt idx="14">
                  <c:v>116.0951</c:v>
                </c:pt>
                <c:pt idx="15">
                  <c:v>137.6859</c:v>
                </c:pt>
                <c:pt idx="16">
                  <c:v>159.84639999999999</c:v>
                </c:pt>
                <c:pt idx="17">
                  <c:v>192.13980000000001</c:v>
                </c:pt>
                <c:pt idx="18">
                  <c:v>219.71180000000001</c:v>
                </c:pt>
              </c:numCache>
            </c:numRef>
          </c:yVal>
          <c:smooth val="0"/>
        </c:ser>
        <c:ser>
          <c:idx val="6"/>
          <c:order val="6"/>
          <c:tx>
            <c:v>90 C</c:v>
          </c:tx>
          <c:spPr>
            <a:ln w="28575">
              <a:solidFill>
                <a:schemeClr val="tx2">
                  <a:lumMod val="40000"/>
                  <a:lumOff val="60000"/>
                </a:schemeClr>
              </a:solidFill>
            </a:ln>
          </c:spPr>
          <c:marker>
            <c:symbol val="none"/>
          </c:marker>
          <c:xVal>
            <c:numRef>
              <c:f>'Shifted plus WLF Best Fit'!$I$127:$I$145</c:f>
              <c:numCache>
                <c:formatCode>0.00</c:formatCode>
                <c:ptCount val="19"/>
                <c:pt idx="0">
                  <c:v>-3.9</c:v>
                </c:pt>
                <c:pt idx="1">
                  <c:v>-3.7239087409443186</c:v>
                </c:pt>
                <c:pt idx="2">
                  <c:v>-3.5575773191777937</c:v>
                </c:pt>
                <c:pt idx="3">
                  <c:v>-3.3948500216800941</c:v>
                </c:pt>
                <c:pt idx="4">
                  <c:v>-3.237242168318426</c:v>
                </c:pt>
                <c:pt idx="5">
                  <c:v>-3.0674910872937637</c:v>
                </c:pt>
                <c:pt idx="6">
                  <c:v>-2.9</c:v>
                </c:pt>
                <c:pt idx="7">
                  <c:v>-2.7239087409443186</c:v>
                </c:pt>
                <c:pt idx="8">
                  <c:v>-2.5575773191777937</c:v>
                </c:pt>
                <c:pt idx="9">
                  <c:v>-2.3948500216800941</c:v>
                </c:pt>
                <c:pt idx="10">
                  <c:v>-2.237242168318426</c:v>
                </c:pt>
                <c:pt idx="11">
                  <c:v>-2.0674910872937637</c:v>
                </c:pt>
                <c:pt idx="12">
                  <c:v>-1.9</c:v>
                </c:pt>
                <c:pt idx="13">
                  <c:v>-1.7356471442155628</c:v>
                </c:pt>
                <c:pt idx="14">
                  <c:v>-1.5675615400843945</c:v>
                </c:pt>
                <c:pt idx="15">
                  <c:v>-1.400312917381596</c:v>
                </c:pt>
                <c:pt idx="16">
                  <c:v>-1.233482019445119</c:v>
                </c:pt>
                <c:pt idx="17">
                  <c:v>-1.0674910872937635</c:v>
                </c:pt>
                <c:pt idx="18">
                  <c:v>-0.89999999999999991</c:v>
                </c:pt>
              </c:numCache>
            </c:numRef>
          </c:xVal>
          <c:yVal>
            <c:numRef>
              <c:f>'Shifted plus WLF Best Fit'!$D$127:$D$145</c:f>
              <c:numCache>
                <c:formatCode>General</c:formatCode>
                <c:ptCount val="19"/>
                <c:pt idx="0">
                  <c:v>12.72977</c:v>
                </c:pt>
                <c:pt idx="1">
                  <c:v>13.23512</c:v>
                </c:pt>
                <c:pt idx="2">
                  <c:v>13.8683</c:v>
                </c:pt>
                <c:pt idx="3">
                  <c:v>14.694319999999999</c:v>
                </c:pt>
                <c:pt idx="4">
                  <c:v>15.627800000000001</c:v>
                </c:pt>
                <c:pt idx="5">
                  <c:v>16.794060000000002</c:v>
                </c:pt>
                <c:pt idx="6">
                  <c:v>18.04196</c:v>
                </c:pt>
                <c:pt idx="7">
                  <c:v>19.574839999999998</c:v>
                </c:pt>
                <c:pt idx="8">
                  <c:v>21.40222</c:v>
                </c:pt>
                <c:pt idx="9">
                  <c:v>23.618490000000001</c:v>
                </c:pt>
                <c:pt idx="10">
                  <c:v>26.281099999999999</c:v>
                </c:pt>
                <c:pt idx="11">
                  <c:v>29.867999999999999</c:v>
                </c:pt>
                <c:pt idx="12">
                  <c:v>34.3065</c:v>
                </c:pt>
                <c:pt idx="13">
                  <c:v>39.740299999999998</c:v>
                </c:pt>
                <c:pt idx="14">
                  <c:v>47.036020000000001</c:v>
                </c:pt>
                <c:pt idx="15">
                  <c:v>56.865499999999997</c:v>
                </c:pt>
                <c:pt idx="16">
                  <c:v>66.214699999999993</c:v>
                </c:pt>
                <c:pt idx="17">
                  <c:v>82.694180000000003</c:v>
                </c:pt>
                <c:pt idx="18">
                  <c:v>93.186419999999998</c:v>
                </c:pt>
              </c:numCache>
            </c:numRef>
          </c:yVal>
          <c:smooth val="0"/>
        </c:ser>
        <c:ser>
          <c:idx val="7"/>
          <c:order val="7"/>
          <c:tx>
            <c:v>95 C</c:v>
          </c:tx>
          <c:spPr>
            <a:ln w="28575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'Shifted plus WLF Best Fit'!$I$146:$I$164</c:f>
              <c:numCache>
                <c:formatCode>0.00</c:formatCode>
                <c:ptCount val="19"/>
                <c:pt idx="0">
                  <c:v>-4.5999999999999996</c:v>
                </c:pt>
                <c:pt idx="1">
                  <c:v>-4.4239087409443192</c:v>
                </c:pt>
                <c:pt idx="2">
                  <c:v>-4.2575773191777939</c:v>
                </c:pt>
                <c:pt idx="3">
                  <c:v>-4.0948500216800943</c:v>
                </c:pt>
                <c:pt idx="4">
                  <c:v>-3.9372421683184262</c:v>
                </c:pt>
                <c:pt idx="5">
                  <c:v>-3.7674910872937639</c:v>
                </c:pt>
                <c:pt idx="6">
                  <c:v>-3.6</c:v>
                </c:pt>
                <c:pt idx="7">
                  <c:v>-3.4239087409443187</c:v>
                </c:pt>
                <c:pt idx="8">
                  <c:v>-3.2575773191777939</c:v>
                </c:pt>
                <c:pt idx="9">
                  <c:v>-3.0948500216800943</c:v>
                </c:pt>
                <c:pt idx="10">
                  <c:v>-2.9372421683184262</c:v>
                </c:pt>
                <c:pt idx="11">
                  <c:v>-2.7674910872937639</c:v>
                </c:pt>
                <c:pt idx="12">
                  <c:v>-2.6</c:v>
                </c:pt>
                <c:pt idx="13">
                  <c:v>-2.4356471442155629</c:v>
                </c:pt>
                <c:pt idx="14">
                  <c:v>-2.2675615400843947</c:v>
                </c:pt>
                <c:pt idx="15">
                  <c:v>-2.1003129173815962</c:v>
                </c:pt>
                <c:pt idx="16">
                  <c:v>-1.9334820194451192</c:v>
                </c:pt>
                <c:pt idx="17">
                  <c:v>-1.7674910872937637</c:v>
                </c:pt>
                <c:pt idx="18">
                  <c:v>-1.6</c:v>
                </c:pt>
              </c:numCache>
            </c:numRef>
          </c:xVal>
          <c:yVal>
            <c:numRef>
              <c:f>'Shifted plus WLF Best Fit'!$D$146:$D$164</c:f>
              <c:numCache>
                <c:formatCode>General</c:formatCode>
                <c:ptCount val="19"/>
                <c:pt idx="0">
                  <c:v>10.840529999999999</c:v>
                </c:pt>
                <c:pt idx="1">
                  <c:v>11.172079999999999</c:v>
                </c:pt>
                <c:pt idx="2">
                  <c:v>11.54082</c:v>
                </c:pt>
                <c:pt idx="3">
                  <c:v>12.055260000000001</c:v>
                </c:pt>
                <c:pt idx="4">
                  <c:v>12.625249999999999</c:v>
                </c:pt>
                <c:pt idx="5">
                  <c:v>13.29208</c:v>
                </c:pt>
                <c:pt idx="6">
                  <c:v>13.949859999999999</c:v>
                </c:pt>
                <c:pt idx="7">
                  <c:v>14.71692</c:v>
                </c:pt>
                <c:pt idx="8">
                  <c:v>15.57686</c:v>
                </c:pt>
                <c:pt idx="9">
                  <c:v>16.568660000000001</c:v>
                </c:pt>
                <c:pt idx="10">
                  <c:v>17.71621</c:v>
                </c:pt>
                <c:pt idx="11">
                  <c:v>19.217590000000001</c:v>
                </c:pt>
                <c:pt idx="12">
                  <c:v>21.028659999999999</c:v>
                </c:pt>
                <c:pt idx="13">
                  <c:v>23.16968</c:v>
                </c:pt>
                <c:pt idx="14">
                  <c:v>26.229649999999999</c:v>
                </c:pt>
                <c:pt idx="15">
                  <c:v>30.73208</c:v>
                </c:pt>
                <c:pt idx="16">
                  <c:v>33.46902</c:v>
                </c:pt>
                <c:pt idx="17">
                  <c:v>41.88494</c:v>
                </c:pt>
                <c:pt idx="18">
                  <c:v>42.713520000000003</c:v>
                </c:pt>
              </c:numCache>
            </c:numRef>
          </c:yVal>
          <c:smooth val="0"/>
        </c:ser>
        <c:ser>
          <c:idx val="8"/>
          <c:order val="8"/>
          <c:tx>
            <c:v>100 C</c:v>
          </c:tx>
          <c:spPr>
            <a:ln w="28575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'Shifted plus WLF Best Fit'!$I$165:$I$183</c:f>
              <c:numCache>
                <c:formatCode>0.00</c:formatCode>
                <c:ptCount val="19"/>
                <c:pt idx="0">
                  <c:v>-5.2</c:v>
                </c:pt>
                <c:pt idx="1">
                  <c:v>-5.0239087409443188</c:v>
                </c:pt>
                <c:pt idx="2">
                  <c:v>-4.8575773191777936</c:v>
                </c:pt>
                <c:pt idx="3">
                  <c:v>-4.6948500216800939</c:v>
                </c:pt>
                <c:pt idx="4">
                  <c:v>-4.5372421683184259</c:v>
                </c:pt>
                <c:pt idx="5">
                  <c:v>-4.3674910872937636</c:v>
                </c:pt>
                <c:pt idx="6">
                  <c:v>-4.2</c:v>
                </c:pt>
                <c:pt idx="7">
                  <c:v>-4.0239087409443188</c:v>
                </c:pt>
                <c:pt idx="8">
                  <c:v>-3.857577319177794</c:v>
                </c:pt>
                <c:pt idx="9">
                  <c:v>-3.6948500216800939</c:v>
                </c:pt>
                <c:pt idx="10">
                  <c:v>-3.5372421683184259</c:v>
                </c:pt>
                <c:pt idx="11">
                  <c:v>-3.367491087293764</c:v>
                </c:pt>
                <c:pt idx="12">
                  <c:v>-3.2</c:v>
                </c:pt>
                <c:pt idx="13">
                  <c:v>-3.035647144215563</c:v>
                </c:pt>
                <c:pt idx="14">
                  <c:v>-2.8675615400843948</c:v>
                </c:pt>
                <c:pt idx="15">
                  <c:v>-2.7003129173815963</c:v>
                </c:pt>
                <c:pt idx="16">
                  <c:v>-2.5334820194451195</c:v>
                </c:pt>
                <c:pt idx="17">
                  <c:v>-2.3674910872937636</c:v>
                </c:pt>
                <c:pt idx="18">
                  <c:v>-2.2000000000000002</c:v>
                </c:pt>
              </c:numCache>
            </c:numRef>
          </c:xVal>
          <c:yVal>
            <c:numRef>
              <c:f>'Shifted plus WLF Best Fit'!$D$165:$D$183</c:f>
              <c:numCache>
                <c:formatCode>General</c:formatCode>
                <c:ptCount val="19"/>
                <c:pt idx="0">
                  <c:v>9.2533480000000008</c:v>
                </c:pt>
                <c:pt idx="1">
                  <c:v>9.5517459999999996</c:v>
                </c:pt>
                <c:pt idx="2">
                  <c:v>9.8949809999999996</c:v>
                </c:pt>
                <c:pt idx="3">
                  <c:v>10.31288</c:v>
                </c:pt>
                <c:pt idx="4">
                  <c:v>10.75249</c:v>
                </c:pt>
                <c:pt idx="5">
                  <c:v>11.24316</c:v>
                </c:pt>
                <c:pt idx="6">
                  <c:v>11.70074</c:v>
                </c:pt>
                <c:pt idx="7">
                  <c:v>12.21129</c:v>
                </c:pt>
                <c:pt idx="8">
                  <c:v>12.753500000000001</c:v>
                </c:pt>
                <c:pt idx="9">
                  <c:v>13.34796</c:v>
                </c:pt>
                <c:pt idx="10">
                  <c:v>14.00217</c:v>
                </c:pt>
                <c:pt idx="11">
                  <c:v>14.81527</c:v>
                </c:pt>
                <c:pt idx="12">
                  <c:v>15.74677</c:v>
                </c:pt>
                <c:pt idx="13">
                  <c:v>16.791910000000001</c:v>
                </c:pt>
                <c:pt idx="14">
                  <c:v>18.40692</c:v>
                </c:pt>
                <c:pt idx="15">
                  <c:v>21.012599999999999</c:v>
                </c:pt>
                <c:pt idx="16">
                  <c:v>21.310020000000002</c:v>
                </c:pt>
                <c:pt idx="17">
                  <c:v>26.674689999999998</c:v>
                </c:pt>
                <c:pt idx="18">
                  <c:v>23.490760000000002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174464"/>
        <c:axId val="140176384"/>
      </c:scatterChart>
      <c:valAx>
        <c:axId val="140174464"/>
        <c:scaling>
          <c:orientation val="minMax"/>
          <c:max val="8"/>
          <c:min val="-6"/>
        </c:scaling>
        <c:delete val="0"/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Log (Freq)</a:t>
                </a:r>
              </a:p>
            </c:rich>
          </c:tx>
          <c:layout/>
          <c:overlay val="0"/>
        </c:title>
        <c:numFmt formatCode="0.00" sourceLinked="1"/>
        <c:majorTickMark val="out"/>
        <c:minorTickMark val="none"/>
        <c:tickLblPos val="nextTo"/>
        <c:crossAx val="140176384"/>
        <c:crosses val="autoZero"/>
        <c:crossBetween val="midCat"/>
      </c:valAx>
      <c:valAx>
        <c:axId val="140176384"/>
        <c:scaling>
          <c:logBase val="10"/>
          <c:orientation val="minMax"/>
          <c:min val="7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en-US" sz="1400"/>
                  <a:t>Storage Modulus (MPa)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40174464"/>
        <c:crossesAt val="-6"/>
        <c:crossBetween val="midCat"/>
      </c:valAx>
    </c:plotArea>
    <c:legend>
      <c:legendPos val="r"/>
      <c:layout>
        <c:manualLayout>
          <c:xMode val="edge"/>
          <c:yMode val="edge"/>
          <c:x val="0.10723722825786021"/>
          <c:y val="8.7465469531240722E-2"/>
          <c:w val="7.204979124444888E-2"/>
          <c:h val="0.68670918397643732"/>
        </c:manualLayout>
      </c:layout>
      <c:overlay val="0"/>
      <c:txPr>
        <a:bodyPr/>
        <a:lstStyle/>
        <a:p>
          <a:pPr>
            <a:defRPr sz="12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Shift Factors, Tg = 75 </a:t>
            </a:r>
            <a:r>
              <a:rPr lang="en-US" baseline="30000"/>
              <a:t>o</a:t>
            </a:r>
            <a:r>
              <a:rPr lang="en-US"/>
              <a:t>C</a:t>
            </a:r>
          </a:p>
        </c:rich>
      </c:tx>
      <c:layout/>
      <c:overlay val="1"/>
    </c:title>
    <c:autoTitleDeleted val="0"/>
    <c:plotArea>
      <c:layout>
        <c:manualLayout>
          <c:layoutTarget val="inner"/>
          <c:xMode val="edge"/>
          <c:yMode val="edge"/>
          <c:x val="0.1333834044774489"/>
          <c:y val="0.11567716333623689"/>
          <c:w val="0.80657506948410718"/>
          <c:h val="0.77407533600137157"/>
        </c:manualLayout>
      </c:layout>
      <c:scatterChart>
        <c:scatterStyle val="lineMarker"/>
        <c:varyColors val="0"/>
        <c:ser>
          <c:idx val="0"/>
          <c:order val="0"/>
          <c:tx>
            <c:v>From Hand Shift of Raw Data</c:v>
          </c:tx>
          <c:spPr>
            <a:ln w="28575">
              <a:noFill/>
            </a:ln>
          </c:spPr>
          <c:xVal>
            <c:numRef>
              <c:f>'Shifted plus WLF Best Fit'!$U$32:$U$40</c:f>
              <c:numCache>
                <c:formatCode>General</c:formatCode>
                <c:ptCount val="9"/>
                <c:pt idx="0">
                  <c:v>60</c:v>
                </c:pt>
                <c:pt idx="1">
                  <c:v>65</c:v>
                </c:pt>
                <c:pt idx="2">
                  <c:v>70</c:v>
                </c:pt>
                <c:pt idx="3">
                  <c:v>75</c:v>
                </c:pt>
                <c:pt idx="4">
                  <c:v>80</c:v>
                </c:pt>
                <c:pt idx="5">
                  <c:v>85</c:v>
                </c:pt>
                <c:pt idx="6">
                  <c:v>90</c:v>
                </c:pt>
                <c:pt idx="7">
                  <c:v>95</c:v>
                </c:pt>
                <c:pt idx="8">
                  <c:v>100</c:v>
                </c:pt>
              </c:numCache>
            </c:numRef>
          </c:xVal>
          <c:yVal>
            <c:numRef>
              <c:f>'Shifted plus WLF Best Fit'!$W$32:$W$40</c:f>
              <c:numCache>
                <c:formatCode>0.0</c:formatCode>
                <c:ptCount val="9"/>
                <c:pt idx="0">
                  <c:v>6</c:v>
                </c:pt>
                <c:pt idx="1">
                  <c:v>3.9</c:v>
                </c:pt>
                <c:pt idx="2">
                  <c:v>1.6</c:v>
                </c:pt>
                <c:pt idx="3">
                  <c:v>0</c:v>
                </c:pt>
                <c:pt idx="4">
                  <c:v>-1.2</c:v>
                </c:pt>
                <c:pt idx="5">
                  <c:v>-2.1</c:v>
                </c:pt>
                <c:pt idx="6">
                  <c:v>-2.9</c:v>
                </c:pt>
                <c:pt idx="7">
                  <c:v>-3.6</c:v>
                </c:pt>
                <c:pt idx="8">
                  <c:v>-4.2</c:v>
                </c:pt>
              </c:numCache>
            </c:numRef>
          </c:yVal>
          <c:smooth val="0"/>
        </c:ser>
        <c:ser>
          <c:idx val="1"/>
          <c:order val="1"/>
          <c:tx>
            <c:v>WLF</c:v>
          </c:tx>
          <c:spPr>
            <a:ln w="28575">
              <a:solidFill>
                <a:srgbClr val="C00000"/>
              </a:solidFill>
            </a:ln>
          </c:spPr>
          <c:marker>
            <c:symbol val="none"/>
          </c:marker>
          <c:xVal>
            <c:numRef>
              <c:f>'Shifted plus WLF Best Fit'!$U$30:$U$42</c:f>
              <c:numCache>
                <c:formatCode>General</c:formatCode>
                <c:ptCount val="13"/>
                <c:pt idx="0">
                  <c:v>50</c:v>
                </c:pt>
                <c:pt idx="1">
                  <c:v>55</c:v>
                </c:pt>
                <c:pt idx="2">
                  <c:v>60</c:v>
                </c:pt>
                <c:pt idx="3">
                  <c:v>65</c:v>
                </c:pt>
                <c:pt idx="4">
                  <c:v>70</c:v>
                </c:pt>
                <c:pt idx="5">
                  <c:v>75</c:v>
                </c:pt>
                <c:pt idx="6">
                  <c:v>80</c:v>
                </c:pt>
                <c:pt idx="7">
                  <c:v>85</c:v>
                </c:pt>
                <c:pt idx="8">
                  <c:v>90</c:v>
                </c:pt>
                <c:pt idx="9">
                  <c:v>95</c:v>
                </c:pt>
                <c:pt idx="10">
                  <c:v>100</c:v>
                </c:pt>
                <c:pt idx="11">
                  <c:v>105</c:v>
                </c:pt>
                <c:pt idx="12">
                  <c:v>110</c:v>
                </c:pt>
              </c:numCache>
            </c:numRef>
          </c:xVal>
          <c:yVal>
            <c:numRef>
              <c:f>'Shifted plus WLF Best Fit'!$X$30:$X$42</c:f>
              <c:numCache>
                <c:formatCode>0.00</c:formatCode>
                <c:ptCount val="13"/>
                <c:pt idx="0">
                  <c:v>17.417046733288032</c:v>
                </c:pt>
                <c:pt idx="1">
                  <c:v>10.57733621207386</c:v>
                </c:pt>
                <c:pt idx="2">
                  <c:v>6.3930577358885436</c:v>
                </c:pt>
                <c:pt idx="3">
                  <c:v>3.5691915133669827</c:v>
                </c:pt>
                <c:pt idx="4">
                  <c:v>1.5350538079102616</c:v>
                </c:pt>
                <c:pt idx="5">
                  <c:v>0</c:v>
                </c:pt>
                <c:pt idx="6">
                  <c:v>-1.1995774043015772</c:v>
                </c:pt>
                <c:pt idx="7">
                  <c:v>-2.1628194774826008</c:v>
                </c:pt>
                <c:pt idx="8">
                  <c:v>-2.9533057274615304</c:v>
                </c:pt>
                <c:pt idx="9">
                  <c:v>-3.6136866966483829</c:v>
                </c:pt>
                <c:pt idx="10">
                  <c:v>-4.1736408443401407</c:v>
                </c:pt>
                <c:pt idx="11">
                  <c:v>-4.6544578403408448</c:v>
                </c:pt>
                <c:pt idx="12">
                  <c:v>-5.0718068708178405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736768"/>
        <c:axId val="140743040"/>
      </c:scatterChart>
      <c:valAx>
        <c:axId val="140736768"/>
        <c:scaling>
          <c:orientation val="minMax"/>
          <c:min val="40"/>
        </c:scaling>
        <c:delete val="0"/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Temp C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40743040"/>
        <c:crossesAt val="-10"/>
        <c:crossBetween val="midCat"/>
      </c:valAx>
      <c:valAx>
        <c:axId val="14074304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en-US" sz="1400"/>
                  <a:t>log aT</a:t>
                </a:r>
              </a:p>
            </c:rich>
          </c:tx>
          <c:layout/>
          <c:overlay val="0"/>
        </c:title>
        <c:numFmt formatCode="0.0" sourceLinked="1"/>
        <c:majorTickMark val="out"/>
        <c:minorTickMark val="none"/>
        <c:tickLblPos val="nextTo"/>
        <c:crossAx val="140736768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44512456197922884"/>
          <c:y val="0.15299556847050755"/>
          <c:w val="0.48953566782399899"/>
          <c:h val="0.19520852779360398"/>
        </c:manualLayout>
      </c:layout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/>
            </a:pPr>
            <a:r>
              <a:rPr lang="en-US" sz="1600"/>
              <a:t>Raw Data, Sorted, Not Decimated</a:t>
            </a:r>
          </a:p>
        </c:rich>
      </c:tx>
      <c:layout>
        <c:manualLayout>
          <c:xMode val="edge"/>
          <c:yMode val="edge"/>
          <c:x val="0.23096644124188073"/>
          <c:y val="9.7222222222222224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5.1051779150624088E-2"/>
          <c:y val="5.1400554097404488E-2"/>
          <c:w val="0.90807637061615543"/>
          <c:h val="0.79397209546402514"/>
        </c:manualLayout>
      </c:layout>
      <c:scatterChart>
        <c:scatterStyle val="lineMarker"/>
        <c:varyColors val="0"/>
        <c:ser>
          <c:idx val="0"/>
          <c:order val="0"/>
          <c:tx>
            <c:v>Storage Mod</c:v>
          </c:tx>
          <c:spPr>
            <a:ln w="28575">
              <a:noFill/>
            </a:ln>
          </c:spPr>
          <c:marker>
            <c:symbol val="diamond"/>
            <c:size val="3"/>
          </c:marker>
          <c:xVal>
            <c:numRef>
              <c:f>'Prony Setup'!$P$6:$P$186</c:f>
              <c:numCache>
                <c:formatCode>0.00000</c:formatCode>
                <c:ptCount val="181"/>
                <c:pt idx="0">
                  <c:v>6.3095734448019212E-6</c:v>
                </c:pt>
                <c:pt idx="1">
                  <c:v>9.4643601672028919E-6</c:v>
                </c:pt>
                <c:pt idx="2">
                  <c:v>1.3881061578564237E-5</c:v>
                </c:pt>
                <c:pt idx="3">
                  <c:v>2.0190635023366168E-5</c:v>
                </c:pt>
                <c:pt idx="4">
                  <c:v>2.5118864315095791E-5</c:v>
                </c:pt>
                <c:pt idx="5">
                  <c:v>2.9024037846088861E-5</c:v>
                </c:pt>
                <c:pt idx="6">
                  <c:v>3.7678296472643657E-5</c:v>
                </c:pt>
                <c:pt idx="7">
                  <c:v>4.2905099424653145E-5</c:v>
                </c:pt>
                <c:pt idx="8">
                  <c:v>5.5261501493210685E-5</c:v>
                </c:pt>
                <c:pt idx="9">
                  <c:v>6.3095734448019279E-5</c:v>
                </c:pt>
                <c:pt idx="10">
                  <c:v>8.0380365808306484E-5</c:v>
                </c:pt>
                <c:pt idx="11">
                  <c:v>9.4643601672028858E-5</c:v>
                </c:pt>
                <c:pt idx="12">
                  <c:v>1.155467758494405E-4</c:v>
                </c:pt>
                <c:pt idx="13">
                  <c:v>1.2589254117941672E-4</c:v>
                </c:pt>
                <c:pt idx="14">
                  <c:v>1.3881061578564229E-4</c:v>
                </c:pt>
                <c:pt idx="15">
                  <c:v>1.7080827734265106E-4</c:v>
                </c:pt>
                <c:pt idx="16">
                  <c:v>1.8883881176912494E-4</c:v>
                </c:pt>
                <c:pt idx="17">
                  <c:v>2.0190635023366153E-4</c:v>
                </c:pt>
                <c:pt idx="18">
                  <c:v>2.5118864315095774E-4</c:v>
                </c:pt>
                <c:pt idx="19">
                  <c:v>2.7696359059471655E-4</c:v>
                </c:pt>
                <c:pt idx="20">
                  <c:v>2.9024037846088892E-4</c:v>
                </c:pt>
                <c:pt idx="21">
                  <c:v>3.7678296472643669E-4</c:v>
                </c:pt>
                <c:pt idx="22">
                  <c:v>4.0285613177413321E-4</c:v>
                </c:pt>
                <c:pt idx="23">
                  <c:v>4.2905099424653069E-4</c:v>
                </c:pt>
                <c:pt idx="24">
                  <c:v>5.5261501493210699E-4</c:v>
                </c:pt>
                <c:pt idx="25">
                  <c:v>5.7910568942531632E-4</c:v>
                </c:pt>
                <c:pt idx="26">
                  <c:v>6.3095734448019244E-4</c:v>
                </c:pt>
                <c:pt idx="27">
                  <c:v>7.9432823472428099E-4</c:v>
                </c:pt>
                <c:pt idx="28">
                  <c:v>8.0380365808306489E-4</c:v>
                </c:pt>
                <c:pt idx="29">
                  <c:v>8.5606928002003287E-4</c:v>
                </c:pt>
                <c:pt idx="30">
                  <c:v>9.2119772294108114E-4</c:v>
                </c:pt>
                <c:pt idx="31">
                  <c:v>1.1554677584944054E-3</c:v>
                </c:pt>
                <c:pt idx="32">
                  <c:v>1.1914923520864218E-3</c:v>
                </c:pt>
                <c:pt idx="33">
                  <c:v>1.2589254117941662E-3</c:v>
                </c:pt>
                <c:pt idx="34">
                  <c:v>1.3565582906324136E-3</c:v>
                </c:pt>
                <c:pt idx="35">
                  <c:v>1.7080827734265126E-3</c:v>
                </c:pt>
                <c:pt idx="36">
                  <c:v>1.7475221163934182E-3</c:v>
                </c:pt>
                <c:pt idx="37">
                  <c:v>1.8883881176912499E-3</c:v>
                </c:pt>
                <c:pt idx="38">
                  <c:v>1.993825208557409E-3</c:v>
                </c:pt>
                <c:pt idx="39">
                  <c:v>2.5118864315095777E-3</c:v>
                </c:pt>
                <c:pt idx="40">
                  <c:v>2.5418503511176979E-3</c:v>
                </c:pt>
                <c:pt idx="41">
                  <c:v>2.7696359059471661E-3</c:v>
                </c:pt>
                <c:pt idx="42">
                  <c:v>2.9276420783880914E-3</c:v>
                </c:pt>
                <c:pt idx="43">
                  <c:v>3.6539098797316889E-3</c:v>
                </c:pt>
                <c:pt idx="44">
                  <c:v>3.667354190003985E-3</c:v>
                </c:pt>
                <c:pt idx="45">
                  <c:v>4.0285613177413332E-3</c:v>
                </c:pt>
                <c:pt idx="46">
                  <c:v>4.290509942465312E-3</c:v>
                </c:pt>
                <c:pt idx="47">
                  <c:v>5.400555827745593E-3</c:v>
                </c:pt>
                <c:pt idx="48">
                  <c:v>5.4014319961251068E-3</c:v>
                </c:pt>
                <c:pt idx="49">
                  <c:v>5.7910568942531639E-3</c:v>
                </c:pt>
                <c:pt idx="50">
                  <c:v>6.3095734448019251E-3</c:v>
                </c:pt>
                <c:pt idx="51">
                  <c:v>6.3095734448019251E-3</c:v>
                </c:pt>
                <c:pt idx="52">
                  <c:v>7.9375611235702713E-3</c:v>
                </c:pt>
                <c:pt idx="53">
                  <c:v>7.9432823472428121E-3</c:v>
                </c:pt>
                <c:pt idx="54">
                  <c:v>8.5606928002003313E-3</c:v>
                </c:pt>
                <c:pt idx="55">
                  <c:v>9.4643601672028902E-3</c:v>
                </c:pt>
                <c:pt idx="56">
                  <c:v>1.1655153042204448E-2</c:v>
                </c:pt>
                <c:pt idx="57">
                  <c:v>1.1914923520864221E-2</c:v>
                </c:pt>
                <c:pt idx="58">
                  <c:v>1.2589254117941664E-2</c:v>
                </c:pt>
                <c:pt idx="59">
                  <c:v>1.3881061578564249E-2</c:v>
                </c:pt>
                <c:pt idx="60">
                  <c:v>1.7080827734265145E-2</c:v>
                </c:pt>
                <c:pt idx="61">
                  <c:v>1.7475221163934188E-2</c:v>
                </c:pt>
                <c:pt idx="62">
                  <c:v>1.8380311012194839E-2</c:v>
                </c:pt>
                <c:pt idx="63">
                  <c:v>2.0190635023366182E-2</c:v>
                </c:pt>
                <c:pt idx="64">
                  <c:v>2.511886431509578E-2</c:v>
                </c:pt>
                <c:pt idx="65">
                  <c:v>2.5418503511176992E-2</c:v>
                </c:pt>
                <c:pt idx="66">
                  <c:v>2.7066896353574597E-2</c:v>
                </c:pt>
                <c:pt idx="67">
                  <c:v>2.9024037846088889E-2</c:v>
                </c:pt>
                <c:pt idx="68">
                  <c:v>3.6539098797316927E-2</c:v>
                </c:pt>
                <c:pt idx="69">
                  <c:v>3.9782043012695688E-2</c:v>
                </c:pt>
                <c:pt idx="70">
                  <c:v>4.2905099424653148E-2</c:v>
                </c:pt>
                <c:pt idx="71">
                  <c:v>5.4014319961251098E-2</c:v>
                </c:pt>
                <c:pt idx="72">
                  <c:v>5.8414139107249366E-2</c:v>
                </c:pt>
                <c:pt idx="73">
                  <c:v>6.3095734448019317E-2</c:v>
                </c:pt>
                <c:pt idx="74">
                  <c:v>7.9432823472428096E-2</c:v>
                </c:pt>
                <c:pt idx="75">
                  <c:v>8.5606928002003368E-2</c:v>
                </c:pt>
                <c:pt idx="76">
                  <c:v>9.4643601672028968E-2</c:v>
                </c:pt>
                <c:pt idx="77">
                  <c:v>0.1</c:v>
                </c:pt>
                <c:pt idx="78">
                  <c:v>0.11597192226974508</c:v>
                </c:pt>
                <c:pt idx="79">
                  <c:v>0.12589254117941673</c:v>
                </c:pt>
                <c:pt idx="80">
                  <c:v>0.13881061578564249</c:v>
                </c:pt>
                <c:pt idx="81">
                  <c:v>0.14999999999999997</c:v>
                </c:pt>
                <c:pt idx="82">
                  <c:v>0.17078057046572045</c:v>
                </c:pt>
                <c:pt idx="83">
                  <c:v>0.20190635023366185</c:v>
                </c:pt>
                <c:pt idx="84">
                  <c:v>0.21999999999999997</c:v>
                </c:pt>
                <c:pt idx="85">
                  <c:v>0.25100772217287293</c:v>
                </c:pt>
                <c:pt idx="86">
                  <c:v>0.2902403784608889</c:v>
                </c:pt>
                <c:pt idx="87">
                  <c:v>0.32</c:v>
                </c:pt>
                <c:pt idx="88">
                  <c:v>0.36856830091206649</c:v>
                </c:pt>
                <c:pt idx="89">
                  <c:v>0.42905099424653137</c:v>
                </c:pt>
                <c:pt idx="90">
                  <c:v>0.46</c:v>
                </c:pt>
                <c:pt idx="91">
                  <c:v>0.54014319961251134</c:v>
                </c:pt>
                <c:pt idx="92">
                  <c:v>0.63095734448019325</c:v>
                </c:pt>
                <c:pt idx="93">
                  <c:v>0.67999999999999994</c:v>
                </c:pt>
                <c:pt idx="94">
                  <c:v>0.79432823472428127</c:v>
                </c:pt>
                <c:pt idx="95">
                  <c:v>0.92119772294108238</c:v>
                </c:pt>
                <c:pt idx="96">
                  <c:v>1</c:v>
                </c:pt>
                <c:pt idx="97">
                  <c:v>1.3565582906324158</c:v>
                </c:pt>
                <c:pt idx="98">
                  <c:v>1.5</c:v>
                </c:pt>
                <c:pt idx="99">
                  <c:v>1.9938252085574113</c:v>
                </c:pt>
                <c:pt idx="100">
                  <c:v>2.2000000000000006</c:v>
                </c:pt>
                <c:pt idx="101">
                  <c:v>2.927642078388097</c:v>
                </c:pt>
                <c:pt idx="102">
                  <c:v>3.2000000000000006</c:v>
                </c:pt>
                <c:pt idx="103">
                  <c:v>3.9810717055349736</c:v>
                </c:pt>
                <c:pt idx="104">
                  <c:v>4.2905099424653157</c:v>
                </c:pt>
                <c:pt idx="105">
                  <c:v>4.6000000000000014</c:v>
                </c:pt>
                <c:pt idx="106">
                  <c:v>5.9716075583024599</c:v>
                </c:pt>
                <c:pt idx="107">
                  <c:v>6.3095734448019343</c:v>
                </c:pt>
                <c:pt idx="108">
                  <c:v>6.8000000000000007</c:v>
                </c:pt>
                <c:pt idx="109">
                  <c:v>8.7583577521769431</c:v>
                </c:pt>
                <c:pt idx="110">
                  <c:v>10</c:v>
                </c:pt>
                <c:pt idx="111">
                  <c:v>12.739429457711921</c:v>
                </c:pt>
                <c:pt idx="112">
                  <c:v>14.600000000000009</c:v>
                </c:pt>
                <c:pt idx="113">
                  <c:v>18.312929845460879</c:v>
                </c:pt>
                <c:pt idx="114">
                  <c:v>21.500000000000007</c:v>
                </c:pt>
                <c:pt idx="115">
                  <c:v>27.071287597637827</c:v>
                </c:pt>
                <c:pt idx="116">
                  <c:v>31.600000000000012</c:v>
                </c:pt>
                <c:pt idx="117">
                  <c:v>39.810717055349755</c:v>
                </c:pt>
                <c:pt idx="118">
                  <c:v>46.400000000000013</c:v>
                </c:pt>
                <c:pt idx="119">
                  <c:v>59.71607558302464</c:v>
                </c:pt>
                <c:pt idx="120">
                  <c:v>68.000000000000014</c:v>
                </c:pt>
                <c:pt idx="121">
                  <c:v>79.43281552914587</c:v>
                </c:pt>
                <c:pt idx="122">
                  <c:v>87.583577521769456</c:v>
                </c:pt>
                <c:pt idx="123">
                  <c:v>100</c:v>
                </c:pt>
                <c:pt idx="124">
                  <c:v>127.39429457711913</c:v>
                </c:pt>
                <c:pt idx="125">
                  <c:v>158.86564694485639</c:v>
                </c:pt>
                <c:pt idx="126">
                  <c:v>183.12929845460883</c:v>
                </c:pt>
                <c:pt idx="127">
                  <c:v>238.29847041728442</c:v>
                </c:pt>
                <c:pt idx="128">
                  <c:v>270.71287597637831</c:v>
                </c:pt>
                <c:pt idx="129">
                  <c:v>397.16411736214098</c:v>
                </c:pt>
                <c:pt idx="130">
                  <c:v>398.10717055349761</c:v>
                </c:pt>
                <c:pt idx="131">
                  <c:v>556.02976430699744</c:v>
                </c:pt>
                <c:pt idx="132">
                  <c:v>581.23646900810672</c:v>
                </c:pt>
                <c:pt idx="133">
                  <c:v>794.32823472428208</c:v>
                </c:pt>
                <c:pt idx="134">
                  <c:v>855.93041669001991</c:v>
                </c:pt>
                <c:pt idx="135">
                  <c:v>1191.4923520864234</c:v>
                </c:pt>
                <c:pt idx="136">
                  <c:v>1258.0186589490522</c:v>
                </c:pt>
                <c:pt idx="137">
                  <c:v>1747.5221163934204</c:v>
                </c:pt>
                <c:pt idx="138">
                  <c:v>1847.2172713682298</c:v>
                </c:pt>
                <c:pt idx="139">
                  <c:v>2541.8503511177009</c:v>
                </c:pt>
                <c:pt idx="140">
                  <c:v>2707.1287597637838</c:v>
                </c:pt>
                <c:pt idx="141">
                  <c:v>3653.9098797316938</c:v>
                </c:pt>
                <c:pt idx="142">
                  <c:v>3981.0717055349769</c:v>
                </c:pt>
                <c:pt idx="143">
                  <c:v>5401.4319961251185</c:v>
                </c:pt>
                <c:pt idx="144">
                  <c:v>7943.2823472428154</c:v>
                </c:pt>
                <c:pt idx="145">
                  <c:v>9999.9990000000107</c:v>
                </c:pt>
                <c:pt idx="146">
                  <c:v>11914.923520864215</c:v>
                </c:pt>
                <c:pt idx="147">
                  <c:v>17475.221163934209</c:v>
                </c:pt>
                <c:pt idx="148">
                  <c:v>20000.000000000018</c:v>
                </c:pt>
                <c:pt idx="149">
                  <c:v>25418.503511177038</c:v>
                </c:pt>
                <c:pt idx="150">
                  <c:v>30000.000000000062</c:v>
                </c:pt>
                <c:pt idx="151">
                  <c:v>36539.098797316976</c:v>
                </c:pt>
                <c:pt idx="152">
                  <c:v>50000.000000000007</c:v>
                </c:pt>
                <c:pt idx="153">
                  <c:v>54014.319961251145</c:v>
                </c:pt>
                <c:pt idx="154">
                  <c:v>70000.000000000073</c:v>
                </c:pt>
                <c:pt idx="155">
                  <c:v>79432.823472428237</c:v>
                </c:pt>
                <c:pt idx="156">
                  <c:v>100000</c:v>
                </c:pt>
                <c:pt idx="157">
                  <c:v>115971.92226974518</c:v>
                </c:pt>
                <c:pt idx="158">
                  <c:v>150000.0000000002</c:v>
                </c:pt>
                <c:pt idx="159">
                  <c:v>170780.57046572072</c:v>
                </c:pt>
                <c:pt idx="160">
                  <c:v>220000.00000000064</c:v>
                </c:pt>
                <c:pt idx="161">
                  <c:v>251007.72217287341</c:v>
                </c:pt>
                <c:pt idx="162">
                  <c:v>320000.00000000041</c:v>
                </c:pt>
                <c:pt idx="163">
                  <c:v>368568.30091206724</c:v>
                </c:pt>
                <c:pt idx="164">
                  <c:v>460000.00000000041</c:v>
                </c:pt>
                <c:pt idx="165">
                  <c:v>540143.19961251202</c:v>
                </c:pt>
                <c:pt idx="166">
                  <c:v>680000.0000000014</c:v>
                </c:pt>
                <c:pt idx="167">
                  <c:v>794328.23472428333</c:v>
                </c:pt>
                <c:pt idx="168">
                  <c:v>1000000</c:v>
                </c:pt>
                <c:pt idx="169">
                  <c:v>1500000.0000000037</c:v>
                </c:pt>
                <c:pt idx="170">
                  <c:v>2200000.0000000047</c:v>
                </c:pt>
                <c:pt idx="171">
                  <c:v>3200000.0000000079</c:v>
                </c:pt>
                <c:pt idx="172">
                  <c:v>4600000.0000000093</c:v>
                </c:pt>
                <c:pt idx="173">
                  <c:v>6800000.0000000093</c:v>
                </c:pt>
                <c:pt idx="174">
                  <c:v>10000000</c:v>
                </c:pt>
                <c:pt idx="175">
                  <c:v>14600000.000000028</c:v>
                </c:pt>
                <c:pt idx="176">
                  <c:v>21500000.000000093</c:v>
                </c:pt>
                <c:pt idx="177">
                  <c:v>31600000.000000097</c:v>
                </c:pt>
                <c:pt idx="178">
                  <c:v>46400000.000000134</c:v>
                </c:pt>
                <c:pt idx="179">
                  <c:v>68000000.000000164</c:v>
                </c:pt>
                <c:pt idx="180">
                  <c:v>100000000</c:v>
                </c:pt>
              </c:numCache>
            </c:numRef>
          </c:xVal>
          <c:yVal>
            <c:numRef>
              <c:f>'Prony Setup'!$Q$6:$Q$186</c:f>
              <c:numCache>
                <c:formatCode>General</c:formatCode>
                <c:ptCount val="181"/>
                <c:pt idx="0">
                  <c:v>9.2533480000000008</c:v>
                </c:pt>
                <c:pt idx="1">
                  <c:v>9.5517459999999996</c:v>
                </c:pt>
                <c:pt idx="2">
                  <c:v>9.8949809999999996</c:v>
                </c:pt>
                <c:pt idx="3">
                  <c:v>10.31288</c:v>
                </c:pt>
                <c:pt idx="4">
                  <c:v>10.840529999999999</c:v>
                </c:pt>
                <c:pt idx="5">
                  <c:v>10.75249</c:v>
                </c:pt>
                <c:pt idx="6">
                  <c:v>11.172079999999999</c:v>
                </c:pt>
                <c:pt idx="7">
                  <c:v>11.24316</c:v>
                </c:pt>
                <c:pt idx="8">
                  <c:v>11.54082</c:v>
                </c:pt>
                <c:pt idx="9">
                  <c:v>11.70074</c:v>
                </c:pt>
                <c:pt idx="10">
                  <c:v>12.055260000000001</c:v>
                </c:pt>
                <c:pt idx="11">
                  <c:v>12.21129</c:v>
                </c:pt>
                <c:pt idx="12">
                  <c:v>12.625249999999999</c:v>
                </c:pt>
                <c:pt idx="13">
                  <c:v>12.72977</c:v>
                </c:pt>
                <c:pt idx="14">
                  <c:v>12.753500000000001</c:v>
                </c:pt>
                <c:pt idx="15">
                  <c:v>13.29208</c:v>
                </c:pt>
                <c:pt idx="16">
                  <c:v>13.23512</c:v>
                </c:pt>
                <c:pt idx="17">
                  <c:v>13.34796</c:v>
                </c:pt>
                <c:pt idx="18">
                  <c:v>13.949859999999999</c:v>
                </c:pt>
                <c:pt idx="19">
                  <c:v>13.8683</c:v>
                </c:pt>
                <c:pt idx="20">
                  <c:v>14.00217</c:v>
                </c:pt>
                <c:pt idx="21">
                  <c:v>14.71692</c:v>
                </c:pt>
                <c:pt idx="22">
                  <c:v>14.694319999999999</c:v>
                </c:pt>
                <c:pt idx="23">
                  <c:v>14.81527</c:v>
                </c:pt>
                <c:pt idx="24">
                  <c:v>15.57686</c:v>
                </c:pt>
                <c:pt idx="25">
                  <c:v>15.627800000000001</c:v>
                </c:pt>
                <c:pt idx="26">
                  <c:v>15.74677</c:v>
                </c:pt>
                <c:pt idx="27">
                  <c:v>15.760260000000001</c:v>
                </c:pt>
                <c:pt idx="28">
                  <c:v>16.568660000000001</c:v>
                </c:pt>
                <c:pt idx="29">
                  <c:v>16.794060000000002</c:v>
                </c:pt>
                <c:pt idx="30">
                  <c:v>16.791910000000001</c:v>
                </c:pt>
                <c:pt idx="31">
                  <c:v>17.71621</c:v>
                </c:pt>
                <c:pt idx="32">
                  <c:v>16.85425</c:v>
                </c:pt>
                <c:pt idx="33">
                  <c:v>18.04196</c:v>
                </c:pt>
                <c:pt idx="34">
                  <c:v>18.40692</c:v>
                </c:pt>
                <c:pt idx="35">
                  <c:v>19.217590000000001</c:v>
                </c:pt>
                <c:pt idx="36">
                  <c:v>18.297920000000001</c:v>
                </c:pt>
                <c:pt idx="37">
                  <c:v>19.574839999999998</c:v>
                </c:pt>
                <c:pt idx="38">
                  <c:v>21.012599999999999</c:v>
                </c:pt>
                <c:pt idx="39">
                  <c:v>21.028659999999999</c:v>
                </c:pt>
                <c:pt idx="40">
                  <c:v>20.205469999999998</c:v>
                </c:pt>
                <c:pt idx="41">
                  <c:v>21.40222</c:v>
                </c:pt>
                <c:pt idx="42">
                  <c:v>21.310020000000002</c:v>
                </c:pt>
                <c:pt idx="43">
                  <c:v>22.499320000000001</c:v>
                </c:pt>
                <c:pt idx="44">
                  <c:v>23.16968</c:v>
                </c:pt>
                <c:pt idx="45">
                  <c:v>23.618490000000001</c:v>
                </c:pt>
                <c:pt idx="46">
                  <c:v>26.674689999999998</c:v>
                </c:pt>
                <c:pt idx="47">
                  <c:v>26.229649999999999</c:v>
                </c:pt>
                <c:pt idx="48">
                  <c:v>25.484500000000001</c:v>
                </c:pt>
                <c:pt idx="49">
                  <c:v>26.281099999999999</c:v>
                </c:pt>
                <c:pt idx="50">
                  <c:v>26.106940000000002</c:v>
                </c:pt>
                <c:pt idx="51">
                  <c:v>23.490760000000002</c:v>
                </c:pt>
                <c:pt idx="52">
                  <c:v>30.73208</c:v>
                </c:pt>
                <c:pt idx="53">
                  <c:v>28.851299999999998</c:v>
                </c:pt>
                <c:pt idx="54">
                  <c:v>29.867999999999999</c:v>
                </c:pt>
                <c:pt idx="55">
                  <c:v>29.332159999999998</c:v>
                </c:pt>
                <c:pt idx="56">
                  <c:v>33.46902</c:v>
                </c:pt>
                <c:pt idx="57">
                  <c:v>33.267859999999999</c:v>
                </c:pt>
                <c:pt idx="58">
                  <c:v>34.3065</c:v>
                </c:pt>
                <c:pt idx="59">
                  <c:v>34.350360000000002</c:v>
                </c:pt>
                <c:pt idx="60">
                  <c:v>41.88494</c:v>
                </c:pt>
                <c:pt idx="61">
                  <c:v>38.645040000000002</c:v>
                </c:pt>
                <c:pt idx="62">
                  <c:v>39.740299999999998</c:v>
                </c:pt>
                <c:pt idx="63">
                  <c:v>41.194580000000002</c:v>
                </c:pt>
                <c:pt idx="64">
                  <c:v>42.713520000000003</c:v>
                </c:pt>
                <c:pt idx="65">
                  <c:v>45.243940000000002</c:v>
                </c:pt>
                <c:pt idx="66">
                  <c:v>47.036020000000001</c:v>
                </c:pt>
                <c:pt idx="67">
                  <c:v>49.47898</c:v>
                </c:pt>
                <c:pt idx="68">
                  <c:v>53.181100000000001</c:v>
                </c:pt>
                <c:pt idx="69">
                  <c:v>56.865499999999997</c:v>
                </c:pt>
                <c:pt idx="70">
                  <c:v>60.372979999999998</c:v>
                </c:pt>
                <c:pt idx="71">
                  <c:v>71.378810000000001</c:v>
                </c:pt>
                <c:pt idx="72">
                  <c:v>66.214699999999993</c:v>
                </c:pt>
                <c:pt idx="73">
                  <c:v>72.675399999999996</c:v>
                </c:pt>
                <c:pt idx="74">
                  <c:v>83.854939999999999</c:v>
                </c:pt>
                <c:pt idx="75">
                  <c:v>82.694180000000003</c:v>
                </c:pt>
                <c:pt idx="76">
                  <c:v>88.307119999999998</c:v>
                </c:pt>
                <c:pt idx="77">
                  <c:v>93.074820000000003</c:v>
                </c:pt>
                <c:pt idx="78">
                  <c:v>97.681889999999996</c:v>
                </c:pt>
                <c:pt idx="79">
                  <c:v>93.186419999999998</c:v>
                </c:pt>
                <c:pt idx="80">
                  <c:v>106.28270000000001</c:v>
                </c:pt>
                <c:pt idx="81">
                  <c:v>109.4228</c:v>
                </c:pt>
                <c:pt idx="82">
                  <c:v>116.0951</c:v>
                </c:pt>
                <c:pt idx="83">
                  <c:v>126.8644</c:v>
                </c:pt>
                <c:pt idx="84">
                  <c:v>128.88489999999999</c:v>
                </c:pt>
                <c:pt idx="85">
                  <c:v>137.6859</c:v>
                </c:pt>
                <c:pt idx="86">
                  <c:v>149.83449999999999</c:v>
                </c:pt>
                <c:pt idx="87">
                  <c:v>154.1653</c:v>
                </c:pt>
                <c:pt idx="88">
                  <c:v>159.84639999999999</c:v>
                </c:pt>
                <c:pt idx="89">
                  <c:v>178.0198</c:v>
                </c:pt>
                <c:pt idx="90">
                  <c:v>182.3681</c:v>
                </c:pt>
                <c:pt idx="91">
                  <c:v>192.13980000000001</c:v>
                </c:pt>
                <c:pt idx="92">
                  <c:v>209.11369999999999</c:v>
                </c:pt>
                <c:pt idx="93">
                  <c:v>215.51169999999999</c:v>
                </c:pt>
                <c:pt idx="94">
                  <c:v>219.71180000000001</c:v>
                </c:pt>
                <c:pt idx="95">
                  <c:v>242.95</c:v>
                </c:pt>
                <c:pt idx="96">
                  <c:v>249.88120000000001</c:v>
                </c:pt>
                <c:pt idx="97">
                  <c:v>280.86399999999998</c:v>
                </c:pt>
                <c:pt idx="98">
                  <c:v>288.8802</c:v>
                </c:pt>
                <c:pt idx="99">
                  <c:v>322.17790000000002</c:v>
                </c:pt>
                <c:pt idx="100">
                  <c:v>328.45100000000002</c:v>
                </c:pt>
                <c:pt idx="101">
                  <c:v>362.35820000000001</c:v>
                </c:pt>
                <c:pt idx="102">
                  <c:v>369.19830000000002</c:v>
                </c:pt>
                <c:pt idx="103">
                  <c:v>493.78960000000001</c:v>
                </c:pt>
                <c:pt idx="104">
                  <c:v>408.33089999999999</c:v>
                </c:pt>
                <c:pt idx="105">
                  <c:v>410.37830000000002</c:v>
                </c:pt>
                <c:pt idx="106">
                  <c:v>473.6807</c:v>
                </c:pt>
                <c:pt idx="107">
                  <c:v>450.32170000000002</c:v>
                </c:pt>
                <c:pt idx="108">
                  <c:v>456.12299999999999</c:v>
                </c:pt>
                <c:pt idx="109">
                  <c:v>489.50259999999997</c:v>
                </c:pt>
                <c:pt idx="110">
                  <c:v>502.37459999999999</c:v>
                </c:pt>
                <c:pt idx="111">
                  <c:v>534.02890000000002</c:v>
                </c:pt>
                <c:pt idx="112">
                  <c:v>548.73760000000004</c:v>
                </c:pt>
                <c:pt idx="113">
                  <c:v>577.97180000000003</c:v>
                </c:pt>
                <c:pt idx="114">
                  <c:v>596.5068</c:v>
                </c:pt>
                <c:pt idx="115">
                  <c:v>625.17610000000002</c:v>
                </c:pt>
                <c:pt idx="116">
                  <c:v>643.90800000000002</c:v>
                </c:pt>
                <c:pt idx="117">
                  <c:v>673.65089999999998</c:v>
                </c:pt>
                <c:pt idx="118">
                  <c:v>687.67489999999998</c:v>
                </c:pt>
                <c:pt idx="119">
                  <c:v>723.61030000000005</c:v>
                </c:pt>
                <c:pt idx="120">
                  <c:v>732.81979999999999</c:v>
                </c:pt>
                <c:pt idx="121">
                  <c:v>691.05809999999997</c:v>
                </c:pt>
                <c:pt idx="122">
                  <c:v>768.02189999999996</c:v>
                </c:pt>
                <c:pt idx="123">
                  <c:v>768.28710000000001</c:v>
                </c:pt>
                <c:pt idx="124">
                  <c:v>811.76710000000003</c:v>
                </c:pt>
                <c:pt idx="125">
                  <c:v>807.14599999999996</c:v>
                </c:pt>
                <c:pt idx="126">
                  <c:v>854.01580000000001</c:v>
                </c:pt>
                <c:pt idx="127">
                  <c:v>874.48</c:v>
                </c:pt>
                <c:pt idx="128">
                  <c:v>898.55489999999998</c:v>
                </c:pt>
                <c:pt idx="129">
                  <c:v>952.33579999999995</c:v>
                </c:pt>
                <c:pt idx="130">
                  <c:v>944.40710000000001</c:v>
                </c:pt>
                <c:pt idx="131">
                  <c:v>1003.414</c:v>
                </c:pt>
                <c:pt idx="132">
                  <c:v>985.64469999999994</c:v>
                </c:pt>
                <c:pt idx="133">
                  <c:v>1054.4970000000001</c:v>
                </c:pt>
                <c:pt idx="134">
                  <c:v>1029.2239999999999</c:v>
                </c:pt>
                <c:pt idx="135">
                  <c:v>1110.02</c:v>
                </c:pt>
                <c:pt idx="136">
                  <c:v>1069.7850000000001</c:v>
                </c:pt>
                <c:pt idx="137">
                  <c:v>1160.9829999999999</c:v>
                </c:pt>
                <c:pt idx="138">
                  <c:v>1106.345</c:v>
                </c:pt>
                <c:pt idx="139">
                  <c:v>1210.2940000000001</c:v>
                </c:pt>
                <c:pt idx="140">
                  <c:v>1149.43</c:v>
                </c:pt>
                <c:pt idx="141">
                  <c:v>1256.43</c:v>
                </c:pt>
                <c:pt idx="142">
                  <c:v>1178.6010000000001</c:v>
                </c:pt>
                <c:pt idx="143">
                  <c:v>1304.481</c:v>
                </c:pt>
                <c:pt idx="144">
                  <c:v>1348.5419999999999</c:v>
                </c:pt>
                <c:pt idx="145">
                  <c:v>1296.5440000000001</c:v>
                </c:pt>
                <c:pt idx="146">
                  <c:v>1395.328</c:v>
                </c:pt>
                <c:pt idx="147">
                  <c:v>1438.5450000000001</c:v>
                </c:pt>
                <c:pt idx="148">
                  <c:v>1411.3869999999999</c:v>
                </c:pt>
                <c:pt idx="149">
                  <c:v>1480.018</c:v>
                </c:pt>
                <c:pt idx="150">
                  <c:v>1475.1959999999999</c:v>
                </c:pt>
                <c:pt idx="151">
                  <c:v>1520.3389999999999</c:v>
                </c:pt>
                <c:pt idx="152">
                  <c:v>1538.9570000000001</c:v>
                </c:pt>
                <c:pt idx="153">
                  <c:v>1562.296</c:v>
                </c:pt>
                <c:pt idx="154">
                  <c:v>1585.059</c:v>
                </c:pt>
                <c:pt idx="155">
                  <c:v>1603.7</c:v>
                </c:pt>
                <c:pt idx="156">
                  <c:v>1625.829</c:v>
                </c:pt>
                <c:pt idx="157">
                  <c:v>1643.249</c:v>
                </c:pt>
                <c:pt idx="158">
                  <c:v>1666.5039999999999</c:v>
                </c:pt>
                <c:pt idx="159">
                  <c:v>1684.2809999999999</c:v>
                </c:pt>
                <c:pt idx="160">
                  <c:v>1706.336</c:v>
                </c:pt>
                <c:pt idx="161">
                  <c:v>1724.9110000000001</c:v>
                </c:pt>
                <c:pt idx="162">
                  <c:v>1742.52</c:v>
                </c:pt>
                <c:pt idx="163">
                  <c:v>1761.61</c:v>
                </c:pt>
                <c:pt idx="164">
                  <c:v>1776.425</c:v>
                </c:pt>
                <c:pt idx="165">
                  <c:v>1801.5840000000001</c:v>
                </c:pt>
                <c:pt idx="166">
                  <c:v>1812.4</c:v>
                </c:pt>
                <c:pt idx="167">
                  <c:v>1822.0229999999999</c:v>
                </c:pt>
                <c:pt idx="168">
                  <c:v>1845.133</c:v>
                </c:pt>
                <c:pt idx="169">
                  <c:v>1877.809</c:v>
                </c:pt>
                <c:pt idx="170">
                  <c:v>1908.6690000000001</c:v>
                </c:pt>
                <c:pt idx="171">
                  <c:v>1938.134</c:v>
                </c:pt>
                <c:pt idx="172">
                  <c:v>1966.98</c:v>
                </c:pt>
                <c:pt idx="173">
                  <c:v>1997.537</c:v>
                </c:pt>
                <c:pt idx="174">
                  <c:v>2027.748</c:v>
                </c:pt>
                <c:pt idx="175">
                  <c:v>2056.576</c:v>
                </c:pt>
                <c:pt idx="176">
                  <c:v>2086.8580000000002</c:v>
                </c:pt>
                <c:pt idx="177">
                  <c:v>2117.4920000000002</c:v>
                </c:pt>
                <c:pt idx="178">
                  <c:v>2145.627</c:v>
                </c:pt>
                <c:pt idx="179">
                  <c:v>2173.4160000000002</c:v>
                </c:pt>
                <c:pt idx="180">
                  <c:v>2180.3760000000002</c:v>
                </c:pt>
              </c:numCache>
            </c:numRef>
          </c:yVal>
          <c:smooth val="0"/>
        </c:ser>
        <c:ser>
          <c:idx val="1"/>
          <c:order val="1"/>
          <c:tx>
            <c:v>Loss Mod</c:v>
          </c:tx>
          <c:spPr>
            <a:ln w="28575">
              <a:noFill/>
            </a:ln>
          </c:spPr>
          <c:marker>
            <c:symbol val="diamond"/>
            <c:size val="3"/>
          </c:marker>
          <c:xVal>
            <c:numRef>
              <c:f>'Prony Setup'!$P$6:$P$186</c:f>
              <c:numCache>
                <c:formatCode>0.00000</c:formatCode>
                <c:ptCount val="181"/>
                <c:pt idx="0">
                  <c:v>6.3095734448019212E-6</c:v>
                </c:pt>
                <c:pt idx="1">
                  <c:v>9.4643601672028919E-6</c:v>
                </c:pt>
                <c:pt idx="2">
                  <c:v>1.3881061578564237E-5</c:v>
                </c:pt>
                <c:pt idx="3">
                  <c:v>2.0190635023366168E-5</c:v>
                </c:pt>
                <c:pt idx="4">
                  <c:v>2.5118864315095791E-5</c:v>
                </c:pt>
                <c:pt idx="5">
                  <c:v>2.9024037846088861E-5</c:v>
                </c:pt>
                <c:pt idx="6">
                  <c:v>3.7678296472643657E-5</c:v>
                </c:pt>
                <c:pt idx="7">
                  <c:v>4.2905099424653145E-5</c:v>
                </c:pt>
                <c:pt idx="8">
                  <c:v>5.5261501493210685E-5</c:v>
                </c:pt>
                <c:pt idx="9">
                  <c:v>6.3095734448019279E-5</c:v>
                </c:pt>
                <c:pt idx="10">
                  <c:v>8.0380365808306484E-5</c:v>
                </c:pt>
                <c:pt idx="11">
                  <c:v>9.4643601672028858E-5</c:v>
                </c:pt>
                <c:pt idx="12">
                  <c:v>1.155467758494405E-4</c:v>
                </c:pt>
                <c:pt idx="13">
                  <c:v>1.2589254117941672E-4</c:v>
                </c:pt>
                <c:pt idx="14">
                  <c:v>1.3881061578564229E-4</c:v>
                </c:pt>
                <c:pt idx="15">
                  <c:v>1.7080827734265106E-4</c:v>
                </c:pt>
                <c:pt idx="16">
                  <c:v>1.8883881176912494E-4</c:v>
                </c:pt>
                <c:pt idx="17">
                  <c:v>2.0190635023366153E-4</c:v>
                </c:pt>
                <c:pt idx="18">
                  <c:v>2.5118864315095774E-4</c:v>
                </c:pt>
                <c:pt idx="19">
                  <c:v>2.7696359059471655E-4</c:v>
                </c:pt>
                <c:pt idx="20">
                  <c:v>2.9024037846088892E-4</c:v>
                </c:pt>
                <c:pt idx="21">
                  <c:v>3.7678296472643669E-4</c:v>
                </c:pt>
                <c:pt idx="22">
                  <c:v>4.0285613177413321E-4</c:v>
                </c:pt>
                <c:pt idx="23">
                  <c:v>4.2905099424653069E-4</c:v>
                </c:pt>
                <c:pt idx="24">
                  <c:v>5.5261501493210699E-4</c:v>
                </c:pt>
                <c:pt idx="25">
                  <c:v>5.7910568942531632E-4</c:v>
                </c:pt>
                <c:pt idx="26">
                  <c:v>6.3095734448019244E-4</c:v>
                </c:pt>
                <c:pt idx="27">
                  <c:v>7.9432823472428099E-4</c:v>
                </c:pt>
                <c:pt idx="28">
                  <c:v>8.0380365808306489E-4</c:v>
                </c:pt>
                <c:pt idx="29">
                  <c:v>8.5606928002003287E-4</c:v>
                </c:pt>
                <c:pt idx="30">
                  <c:v>9.2119772294108114E-4</c:v>
                </c:pt>
                <c:pt idx="31">
                  <c:v>1.1554677584944054E-3</c:v>
                </c:pt>
                <c:pt idx="32">
                  <c:v>1.1914923520864218E-3</c:v>
                </c:pt>
                <c:pt idx="33">
                  <c:v>1.2589254117941662E-3</c:v>
                </c:pt>
                <c:pt idx="34">
                  <c:v>1.3565582906324136E-3</c:v>
                </c:pt>
                <c:pt idx="35">
                  <c:v>1.7080827734265126E-3</c:v>
                </c:pt>
                <c:pt idx="36">
                  <c:v>1.7475221163934182E-3</c:v>
                </c:pt>
                <c:pt idx="37">
                  <c:v>1.8883881176912499E-3</c:v>
                </c:pt>
                <c:pt idx="38">
                  <c:v>1.993825208557409E-3</c:v>
                </c:pt>
                <c:pt idx="39">
                  <c:v>2.5118864315095777E-3</c:v>
                </c:pt>
                <c:pt idx="40">
                  <c:v>2.5418503511176979E-3</c:v>
                </c:pt>
                <c:pt idx="41">
                  <c:v>2.7696359059471661E-3</c:v>
                </c:pt>
                <c:pt idx="42">
                  <c:v>2.9276420783880914E-3</c:v>
                </c:pt>
                <c:pt idx="43">
                  <c:v>3.6539098797316889E-3</c:v>
                </c:pt>
                <c:pt idx="44">
                  <c:v>3.667354190003985E-3</c:v>
                </c:pt>
                <c:pt idx="45">
                  <c:v>4.0285613177413332E-3</c:v>
                </c:pt>
                <c:pt idx="46">
                  <c:v>4.290509942465312E-3</c:v>
                </c:pt>
                <c:pt idx="47">
                  <c:v>5.400555827745593E-3</c:v>
                </c:pt>
                <c:pt idx="48">
                  <c:v>5.4014319961251068E-3</c:v>
                </c:pt>
                <c:pt idx="49">
                  <c:v>5.7910568942531639E-3</c:v>
                </c:pt>
                <c:pt idx="50">
                  <c:v>6.3095734448019251E-3</c:v>
                </c:pt>
                <c:pt idx="51">
                  <c:v>6.3095734448019251E-3</c:v>
                </c:pt>
                <c:pt idx="52">
                  <c:v>7.9375611235702713E-3</c:v>
                </c:pt>
                <c:pt idx="53">
                  <c:v>7.9432823472428121E-3</c:v>
                </c:pt>
                <c:pt idx="54">
                  <c:v>8.5606928002003313E-3</c:v>
                </c:pt>
                <c:pt idx="55">
                  <c:v>9.4643601672028902E-3</c:v>
                </c:pt>
                <c:pt idx="56">
                  <c:v>1.1655153042204448E-2</c:v>
                </c:pt>
                <c:pt idx="57">
                  <c:v>1.1914923520864221E-2</c:v>
                </c:pt>
                <c:pt idx="58">
                  <c:v>1.2589254117941664E-2</c:v>
                </c:pt>
                <c:pt idx="59">
                  <c:v>1.3881061578564249E-2</c:v>
                </c:pt>
                <c:pt idx="60">
                  <c:v>1.7080827734265145E-2</c:v>
                </c:pt>
                <c:pt idx="61">
                  <c:v>1.7475221163934188E-2</c:v>
                </c:pt>
                <c:pt idx="62">
                  <c:v>1.8380311012194839E-2</c:v>
                </c:pt>
                <c:pt idx="63">
                  <c:v>2.0190635023366182E-2</c:v>
                </c:pt>
                <c:pt idx="64">
                  <c:v>2.511886431509578E-2</c:v>
                </c:pt>
                <c:pt idx="65">
                  <c:v>2.5418503511176992E-2</c:v>
                </c:pt>
                <c:pt idx="66">
                  <c:v>2.7066896353574597E-2</c:v>
                </c:pt>
                <c:pt idx="67">
                  <c:v>2.9024037846088889E-2</c:v>
                </c:pt>
                <c:pt idx="68">
                  <c:v>3.6539098797316927E-2</c:v>
                </c:pt>
                <c:pt idx="69">
                  <c:v>3.9782043012695688E-2</c:v>
                </c:pt>
                <c:pt idx="70">
                  <c:v>4.2905099424653148E-2</c:v>
                </c:pt>
                <c:pt idx="71">
                  <c:v>5.4014319961251098E-2</c:v>
                </c:pt>
                <c:pt idx="72">
                  <c:v>5.8414139107249366E-2</c:v>
                </c:pt>
                <c:pt idx="73">
                  <c:v>6.3095734448019317E-2</c:v>
                </c:pt>
                <c:pt idx="74">
                  <c:v>7.9432823472428096E-2</c:v>
                </c:pt>
                <c:pt idx="75">
                  <c:v>8.5606928002003368E-2</c:v>
                </c:pt>
                <c:pt idx="76">
                  <c:v>9.4643601672028968E-2</c:v>
                </c:pt>
                <c:pt idx="77">
                  <c:v>0.1</c:v>
                </c:pt>
                <c:pt idx="78">
                  <c:v>0.11597192226974508</c:v>
                </c:pt>
                <c:pt idx="79">
                  <c:v>0.12589254117941673</c:v>
                </c:pt>
                <c:pt idx="80">
                  <c:v>0.13881061578564249</c:v>
                </c:pt>
                <c:pt idx="81">
                  <c:v>0.14999999999999997</c:v>
                </c:pt>
                <c:pt idx="82">
                  <c:v>0.17078057046572045</c:v>
                </c:pt>
                <c:pt idx="83">
                  <c:v>0.20190635023366185</c:v>
                </c:pt>
                <c:pt idx="84">
                  <c:v>0.21999999999999997</c:v>
                </c:pt>
                <c:pt idx="85">
                  <c:v>0.25100772217287293</c:v>
                </c:pt>
                <c:pt idx="86">
                  <c:v>0.2902403784608889</c:v>
                </c:pt>
                <c:pt idx="87">
                  <c:v>0.32</c:v>
                </c:pt>
                <c:pt idx="88">
                  <c:v>0.36856830091206649</c:v>
                </c:pt>
                <c:pt idx="89">
                  <c:v>0.42905099424653137</c:v>
                </c:pt>
                <c:pt idx="90">
                  <c:v>0.46</c:v>
                </c:pt>
                <c:pt idx="91">
                  <c:v>0.54014319961251134</c:v>
                </c:pt>
                <c:pt idx="92">
                  <c:v>0.63095734448019325</c:v>
                </c:pt>
                <c:pt idx="93">
                  <c:v>0.67999999999999994</c:v>
                </c:pt>
                <c:pt idx="94">
                  <c:v>0.79432823472428127</c:v>
                </c:pt>
                <c:pt idx="95">
                  <c:v>0.92119772294108238</c:v>
                </c:pt>
                <c:pt idx="96">
                  <c:v>1</c:v>
                </c:pt>
                <c:pt idx="97">
                  <c:v>1.3565582906324158</c:v>
                </c:pt>
                <c:pt idx="98">
                  <c:v>1.5</c:v>
                </c:pt>
                <c:pt idx="99">
                  <c:v>1.9938252085574113</c:v>
                </c:pt>
                <c:pt idx="100">
                  <c:v>2.2000000000000006</c:v>
                </c:pt>
                <c:pt idx="101">
                  <c:v>2.927642078388097</c:v>
                </c:pt>
                <c:pt idx="102">
                  <c:v>3.2000000000000006</c:v>
                </c:pt>
                <c:pt idx="103">
                  <c:v>3.9810717055349736</c:v>
                </c:pt>
                <c:pt idx="104">
                  <c:v>4.2905099424653157</c:v>
                </c:pt>
                <c:pt idx="105">
                  <c:v>4.6000000000000014</c:v>
                </c:pt>
                <c:pt idx="106">
                  <c:v>5.9716075583024599</c:v>
                </c:pt>
                <c:pt idx="107">
                  <c:v>6.3095734448019343</c:v>
                </c:pt>
                <c:pt idx="108">
                  <c:v>6.8000000000000007</c:v>
                </c:pt>
                <c:pt idx="109">
                  <c:v>8.7583577521769431</c:v>
                </c:pt>
                <c:pt idx="110">
                  <c:v>10</c:v>
                </c:pt>
                <c:pt idx="111">
                  <c:v>12.739429457711921</c:v>
                </c:pt>
                <c:pt idx="112">
                  <c:v>14.600000000000009</c:v>
                </c:pt>
                <c:pt idx="113">
                  <c:v>18.312929845460879</c:v>
                </c:pt>
                <c:pt idx="114">
                  <c:v>21.500000000000007</c:v>
                </c:pt>
                <c:pt idx="115">
                  <c:v>27.071287597637827</c:v>
                </c:pt>
                <c:pt idx="116">
                  <c:v>31.600000000000012</c:v>
                </c:pt>
                <c:pt idx="117">
                  <c:v>39.810717055349755</c:v>
                </c:pt>
                <c:pt idx="118">
                  <c:v>46.400000000000013</c:v>
                </c:pt>
                <c:pt idx="119">
                  <c:v>59.71607558302464</c:v>
                </c:pt>
                <c:pt idx="120">
                  <c:v>68.000000000000014</c:v>
                </c:pt>
                <c:pt idx="121">
                  <c:v>79.43281552914587</c:v>
                </c:pt>
                <c:pt idx="122">
                  <c:v>87.583577521769456</c:v>
                </c:pt>
                <c:pt idx="123">
                  <c:v>100</c:v>
                </c:pt>
                <c:pt idx="124">
                  <c:v>127.39429457711913</c:v>
                </c:pt>
                <c:pt idx="125">
                  <c:v>158.86564694485639</c:v>
                </c:pt>
                <c:pt idx="126">
                  <c:v>183.12929845460883</c:v>
                </c:pt>
                <c:pt idx="127">
                  <c:v>238.29847041728442</c:v>
                </c:pt>
                <c:pt idx="128">
                  <c:v>270.71287597637831</c:v>
                </c:pt>
                <c:pt idx="129">
                  <c:v>397.16411736214098</c:v>
                </c:pt>
                <c:pt idx="130">
                  <c:v>398.10717055349761</c:v>
                </c:pt>
                <c:pt idx="131">
                  <c:v>556.02976430699744</c:v>
                </c:pt>
                <c:pt idx="132">
                  <c:v>581.23646900810672</c:v>
                </c:pt>
                <c:pt idx="133">
                  <c:v>794.32823472428208</c:v>
                </c:pt>
                <c:pt idx="134">
                  <c:v>855.93041669001991</c:v>
                </c:pt>
                <c:pt idx="135">
                  <c:v>1191.4923520864234</c:v>
                </c:pt>
                <c:pt idx="136">
                  <c:v>1258.0186589490522</c:v>
                </c:pt>
                <c:pt idx="137">
                  <c:v>1747.5221163934204</c:v>
                </c:pt>
                <c:pt idx="138">
                  <c:v>1847.2172713682298</c:v>
                </c:pt>
                <c:pt idx="139">
                  <c:v>2541.8503511177009</c:v>
                </c:pt>
                <c:pt idx="140">
                  <c:v>2707.1287597637838</c:v>
                </c:pt>
                <c:pt idx="141">
                  <c:v>3653.9098797316938</c:v>
                </c:pt>
                <c:pt idx="142">
                  <c:v>3981.0717055349769</c:v>
                </c:pt>
                <c:pt idx="143">
                  <c:v>5401.4319961251185</c:v>
                </c:pt>
                <c:pt idx="144">
                  <c:v>7943.2823472428154</c:v>
                </c:pt>
                <c:pt idx="145">
                  <c:v>9999.9990000000107</c:v>
                </c:pt>
                <c:pt idx="146">
                  <c:v>11914.923520864215</c:v>
                </c:pt>
                <c:pt idx="147">
                  <c:v>17475.221163934209</c:v>
                </c:pt>
                <c:pt idx="148">
                  <c:v>20000.000000000018</c:v>
                </c:pt>
                <c:pt idx="149">
                  <c:v>25418.503511177038</c:v>
                </c:pt>
                <c:pt idx="150">
                  <c:v>30000.000000000062</c:v>
                </c:pt>
                <c:pt idx="151">
                  <c:v>36539.098797316976</c:v>
                </c:pt>
                <c:pt idx="152">
                  <c:v>50000.000000000007</c:v>
                </c:pt>
                <c:pt idx="153">
                  <c:v>54014.319961251145</c:v>
                </c:pt>
                <c:pt idx="154">
                  <c:v>70000.000000000073</c:v>
                </c:pt>
                <c:pt idx="155">
                  <c:v>79432.823472428237</c:v>
                </c:pt>
                <c:pt idx="156">
                  <c:v>100000</c:v>
                </c:pt>
                <c:pt idx="157">
                  <c:v>115971.92226974518</c:v>
                </c:pt>
                <c:pt idx="158">
                  <c:v>150000.0000000002</c:v>
                </c:pt>
                <c:pt idx="159">
                  <c:v>170780.57046572072</c:v>
                </c:pt>
                <c:pt idx="160">
                  <c:v>220000.00000000064</c:v>
                </c:pt>
                <c:pt idx="161">
                  <c:v>251007.72217287341</c:v>
                </c:pt>
                <c:pt idx="162">
                  <c:v>320000.00000000041</c:v>
                </c:pt>
                <c:pt idx="163">
                  <c:v>368568.30091206724</c:v>
                </c:pt>
                <c:pt idx="164">
                  <c:v>460000.00000000041</c:v>
                </c:pt>
                <c:pt idx="165">
                  <c:v>540143.19961251202</c:v>
                </c:pt>
                <c:pt idx="166">
                  <c:v>680000.0000000014</c:v>
                </c:pt>
                <c:pt idx="167">
                  <c:v>794328.23472428333</c:v>
                </c:pt>
                <c:pt idx="168">
                  <c:v>1000000</c:v>
                </c:pt>
                <c:pt idx="169">
                  <c:v>1500000.0000000037</c:v>
                </c:pt>
                <c:pt idx="170">
                  <c:v>2200000.0000000047</c:v>
                </c:pt>
                <c:pt idx="171">
                  <c:v>3200000.0000000079</c:v>
                </c:pt>
                <c:pt idx="172">
                  <c:v>4600000.0000000093</c:v>
                </c:pt>
                <c:pt idx="173">
                  <c:v>6800000.0000000093</c:v>
                </c:pt>
                <c:pt idx="174">
                  <c:v>10000000</c:v>
                </c:pt>
                <c:pt idx="175">
                  <c:v>14600000.000000028</c:v>
                </c:pt>
                <c:pt idx="176">
                  <c:v>21500000.000000093</c:v>
                </c:pt>
                <c:pt idx="177">
                  <c:v>31600000.000000097</c:v>
                </c:pt>
                <c:pt idx="178">
                  <c:v>46400000.000000134</c:v>
                </c:pt>
                <c:pt idx="179">
                  <c:v>68000000.000000164</c:v>
                </c:pt>
                <c:pt idx="180">
                  <c:v>100000000</c:v>
                </c:pt>
              </c:numCache>
            </c:numRef>
          </c:xVal>
          <c:yVal>
            <c:numRef>
              <c:f>'Prony Setup'!$R$6:$R$186</c:f>
              <c:numCache>
                <c:formatCode>General</c:formatCode>
                <c:ptCount val="181"/>
                <c:pt idx="0">
                  <c:v>1.373254</c:v>
                </c:pt>
                <c:pt idx="1">
                  <c:v>1.4501310000000001</c:v>
                </c:pt>
                <c:pt idx="2">
                  <c:v>1.54061</c:v>
                </c:pt>
                <c:pt idx="3">
                  <c:v>1.6575599999999999</c:v>
                </c:pt>
                <c:pt idx="4">
                  <c:v>1.8038940000000001</c:v>
                </c:pt>
                <c:pt idx="5">
                  <c:v>1.7984899999999999</c:v>
                </c:pt>
                <c:pt idx="6">
                  <c:v>1.945776</c:v>
                </c:pt>
                <c:pt idx="7">
                  <c:v>1.9846079999999999</c:v>
                </c:pt>
                <c:pt idx="8">
                  <c:v>2.1154069999999998</c:v>
                </c:pt>
                <c:pt idx="9">
                  <c:v>2.202979</c:v>
                </c:pt>
                <c:pt idx="10">
                  <c:v>2.354365</c:v>
                </c:pt>
                <c:pt idx="11">
                  <c:v>2.4912339999999999</c:v>
                </c:pt>
                <c:pt idx="12">
                  <c:v>2.6566179999999999</c:v>
                </c:pt>
                <c:pt idx="13">
                  <c:v>2.7742100000000001</c:v>
                </c:pt>
                <c:pt idx="14">
                  <c:v>2.8425980000000002</c:v>
                </c:pt>
                <c:pt idx="15">
                  <c:v>3.0677319999999999</c:v>
                </c:pt>
                <c:pt idx="16">
                  <c:v>3.129928</c:v>
                </c:pt>
                <c:pt idx="17">
                  <c:v>3.2802159999999998</c:v>
                </c:pt>
                <c:pt idx="18">
                  <c:v>3.5743149999999999</c:v>
                </c:pt>
                <c:pt idx="19">
                  <c:v>3.5810629999999999</c:v>
                </c:pt>
                <c:pt idx="20">
                  <c:v>3.8197380000000001</c:v>
                </c:pt>
                <c:pt idx="21">
                  <c:v>4.2398660000000001</c:v>
                </c:pt>
                <c:pt idx="22">
                  <c:v>4.2150499999999997</c:v>
                </c:pt>
                <c:pt idx="23">
                  <c:v>4.5681570000000002</c:v>
                </c:pt>
                <c:pt idx="24">
                  <c:v>5.0601560000000001</c:v>
                </c:pt>
                <c:pt idx="25">
                  <c:v>5.00739</c:v>
                </c:pt>
                <c:pt idx="26">
                  <c:v>5.5310600000000001</c:v>
                </c:pt>
                <c:pt idx="27">
                  <c:v>5.8354929999999996</c:v>
                </c:pt>
                <c:pt idx="28">
                  <c:v>6.0814950000000003</c:v>
                </c:pt>
                <c:pt idx="29">
                  <c:v>6.0963240000000001</c:v>
                </c:pt>
                <c:pt idx="30">
                  <c:v>6.8060790000000004</c:v>
                </c:pt>
                <c:pt idx="31">
                  <c:v>7.343286</c:v>
                </c:pt>
                <c:pt idx="32">
                  <c:v>6.9912520000000002</c:v>
                </c:pt>
                <c:pt idx="33">
                  <c:v>7.4197389999999999</c:v>
                </c:pt>
                <c:pt idx="34">
                  <c:v>8.6757179999999998</c:v>
                </c:pt>
                <c:pt idx="35">
                  <c:v>9.065042</c:v>
                </c:pt>
                <c:pt idx="36">
                  <c:v>8.4394159999999996</c:v>
                </c:pt>
                <c:pt idx="37">
                  <c:v>9.1727740000000004</c:v>
                </c:pt>
                <c:pt idx="38">
                  <c:v>11.0222</c:v>
                </c:pt>
                <c:pt idx="39">
                  <c:v>11.242470000000001</c:v>
                </c:pt>
                <c:pt idx="40">
                  <c:v>10.434699999999999</c:v>
                </c:pt>
                <c:pt idx="41">
                  <c:v>11.299189999999999</c:v>
                </c:pt>
                <c:pt idx="42">
                  <c:v>12.69904</c:v>
                </c:pt>
                <c:pt idx="43">
                  <c:v>12.89852</c:v>
                </c:pt>
                <c:pt idx="44">
                  <c:v>13.97002</c:v>
                </c:pt>
                <c:pt idx="45">
                  <c:v>13.912470000000001</c:v>
                </c:pt>
                <c:pt idx="46">
                  <c:v>15.90512</c:v>
                </c:pt>
                <c:pt idx="47">
                  <c:v>17.68216</c:v>
                </c:pt>
                <c:pt idx="48">
                  <c:v>16.191189999999999</c:v>
                </c:pt>
                <c:pt idx="49">
                  <c:v>17.0487</c:v>
                </c:pt>
                <c:pt idx="50">
                  <c:v>19.190460000000002</c:v>
                </c:pt>
                <c:pt idx="51">
                  <c:v>20.726479999999999</c:v>
                </c:pt>
                <c:pt idx="52">
                  <c:v>22.280259999999998</c:v>
                </c:pt>
                <c:pt idx="53">
                  <c:v>20.04044</c:v>
                </c:pt>
                <c:pt idx="54">
                  <c:v>21.229299999999999</c:v>
                </c:pt>
                <c:pt idx="55">
                  <c:v>22.786760000000001</c:v>
                </c:pt>
                <c:pt idx="56">
                  <c:v>26.675319999999999</c:v>
                </c:pt>
                <c:pt idx="57">
                  <c:v>25.031140000000001</c:v>
                </c:pt>
                <c:pt idx="58">
                  <c:v>26.311520000000002</c:v>
                </c:pt>
                <c:pt idx="59">
                  <c:v>27.979320000000001</c:v>
                </c:pt>
                <c:pt idx="60">
                  <c:v>33.07141</c:v>
                </c:pt>
                <c:pt idx="61">
                  <c:v>30.78668</c:v>
                </c:pt>
                <c:pt idx="62">
                  <c:v>32.428939999999997</c:v>
                </c:pt>
                <c:pt idx="63">
                  <c:v>34.702199999999998</c:v>
                </c:pt>
                <c:pt idx="64">
                  <c:v>41.69464</c:v>
                </c:pt>
                <c:pt idx="65">
                  <c:v>37.539099999999998</c:v>
                </c:pt>
                <c:pt idx="66">
                  <c:v>40.149410000000003</c:v>
                </c:pt>
                <c:pt idx="67">
                  <c:v>42.382539999999999</c:v>
                </c:pt>
                <c:pt idx="68">
                  <c:v>45.205889999999997</c:v>
                </c:pt>
                <c:pt idx="69">
                  <c:v>49.295020000000001</c:v>
                </c:pt>
                <c:pt idx="70">
                  <c:v>51.809249999999999</c:v>
                </c:pt>
                <c:pt idx="71">
                  <c:v>60.91469</c:v>
                </c:pt>
                <c:pt idx="72">
                  <c:v>58.72251</c:v>
                </c:pt>
                <c:pt idx="73">
                  <c:v>61.88288</c:v>
                </c:pt>
                <c:pt idx="74">
                  <c:v>70.977429999999998</c:v>
                </c:pt>
                <c:pt idx="75">
                  <c:v>70.440939999999998</c:v>
                </c:pt>
                <c:pt idx="76">
                  <c:v>73.680109999999999</c:v>
                </c:pt>
                <c:pt idx="77">
                  <c:v>77.794880000000006</c:v>
                </c:pt>
                <c:pt idx="78">
                  <c:v>81.462389999999999</c:v>
                </c:pt>
                <c:pt idx="79">
                  <c:v>84.691739999999996</c:v>
                </c:pt>
                <c:pt idx="80">
                  <c:v>85.75788</c:v>
                </c:pt>
                <c:pt idx="81">
                  <c:v>88.576490000000007</c:v>
                </c:pt>
                <c:pt idx="82">
                  <c:v>94.334119999999999</c:v>
                </c:pt>
                <c:pt idx="83">
                  <c:v>98.420450000000002</c:v>
                </c:pt>
                <c:pt idx="84">
                  <c:v>99.651840000000007</c:v>
                </c:pt>
                <c:pt idx="85">
                  <c:v>107.71680000000001</c:v>
                </c:pt>
                <c:pt idx="86">
                  <c:v>111.2137</c:v>
                </c:pt>
                <c:pt idx="87">
                  <c:v>112.31480000000001</c:v>
                </c:pt>
                <c:pt idx="88">
                  <c:v>120.6722</c:v>
                </c:pt>
                <c:pt idx="89">
                  <c:v>125.3484</c:v>
                </c:pt>
                <c:pt idx="90">
                  <c:v>124.90009999999999</c:v>
                </c:pt>
                <c:pt idx="91">
                  <c:v>135.83459999999999</c:v>
                </c:pt>
                <c:pt idx="92">
                  <c:v>139.40629999999999</c:v>
                </c:pt>
                <c:pt idx="93">
                  <c:v>137.9513</c:v>
                </c:pt>
                <c:pt idx="94">
                  <c:v>152.72120000000001</c:v>
                </c:pt>
                <c:pt idx="95">
                  <c:v>153.0369</c:v>
                </c:pt>
                <c:pt idx="96">
                  <c:v>149.97290000000001</c:v>
                </c:pt>
                <c:pt idx="97">
                  <c:v>166.86959999999999</c:v>
                </c:pt>
                <c:pt idx="98">
                  <c:v>162.28559999999999</c:v>
                </c:pt>
                <c:pt idx="99">
                  <c:v>179.84540000000001</c:v>
                </c:pt>
                <c:pt idx="100">
                  <c:v>172.8466</c:v>
                </c:pt>
                <c:pt idx="101">
                  <c:v>190.33090000000001</c:v>
                </c:pt>
                <c:pt idx="102">
                  <c:v>182.34350000000001</c:v>
                </c:pt>
                <c:pt idx="103">
                  <c:v>200.56100000000001</c:v>
                </c:pt>
                <c:pt idx="104">
                  <c:v>200.553</c:v>
                </c:pt>
                <c:pt idx="105">
                  <c:v>190.55709999999999</c:v>
                </c:pt>
                <c:pt idx="106">
                  <c:v>194.85659999999999</c:v>
                </c:pt>
                <c:pt idx="107">
                  <c:v>211.7791</c:v>
                </c:pt>
                <c:pt idx="108">
                  <c:v>198.3502</c:v>
                </c:pt>
                <c:pt idx="109">
                  <c:v>195.88669999999999</c:v>
                </c:pt>
                <c:pt idx="110">
                  <c:v>205.17660000000001</c:v>
                </c:pt>
                <c:pt idx="111">
                  <c:v>198.8818</c:v>
                </c:pt>
                <c:pt idx="112">
                  <c:v>210.61160000000001</c:v>
                </c:pt>
                <c:pt idx="113">
                  <c:v>201.3202</c:v>
                </c:pt>
                <c:pt idx="114">
                  <c:v>215.63839999999999</c:v>
                </c:pt>
                <c:pt idx="115">
                  <c:v>203.14150000000001</c:v>
                </c:pt>
                <c:pt idx="116">
                  <c:v>219.5342</c:v>
                </c:pt>
                <c:pt idx="117">
                  <c:v>204.6474</c:v>
                </c:pt>
                <c:pt idx="118">
                  <c:v>220.78319999999999</c:v>
                </c:pt>
                <c:pt idx="119">
                  <c:v>205.49760000000001</c:v>
                </c:pt>
                <c:pt idx="120">
                  <c:v>222.10560000000001</c:v>
                </c:pt>
                <c:pt idx="121">
                  <c:v>247.21360000000001</c:v>
                </c:pt>
                <c:pt idx="122">
                  <c:v>205.53380000000001</c:v>
                </c:pt>
                <c:pt idx="123">
                  <c:v>224.6848</c:v>
                </c:pt>
                <c:pt idx="124">
                  <c:v>205.13499999999999</c:v>
                </c:pt>
                <c:pt idx="125">
                  <c:v>243.7028</c:v>
                </c:pt>
                <c:pt idx="126">
                  <c:v>204.43870000000001</c:v>
                </c:pt>
                <c:pt idx="127">
                  <c:v>236.19890000000001</c:v>
                </c:pt>
                <c:pt idx="128">
                  <c:v>203.3218</c:v>
                </c:pt>
                <c:pt idx="129">
                  <c:v>230.1482</c:v>
                </c:pt>
                <c:pt idx="130">
                  <c:v>202.2379</c:v>
                </c:pt>
                <c:pt idx="131">
                  <c:v>224.62479999999999</c:v>
                </c:pt>
                <c:pt idx="132">
                  <c:v>201.18299999999999</c:v>
                </c:pt>
                <c:pt idx="133">
                  <c:v>219.5368</c:v>
                </c:pt>
                <c:pt idx="134">
                  <c:v>200.12530000000001</c:v>
                </c:pt>
                <c:pt idx="135">
                  <c:v>214.2122</c:v>
                </c:pt>
                <c:pt idx="136">
                  <c:v>199.3049</c:v>
                </c:pt>
                <c:pt idx="137">
                  <c:v>208.65209999999999</c:v>
                </c:pt>
                <c:pt idx="138">
                  <c:v>197.4299</c:v>
                </c:pt>
                <c:pt idx="139">
                  <c:v>203.24809999999999</c:v>
                </c:pt>
                <c:pt idx="140">
                  <c:v>195.29759999999999</c:v>
                </c:pt>
                <c:pt idx="141">
                  <c:v>198.69669999999999</c:v>
                </c:pt>
                <c:pt idx="142">
                  <c:v>195.6062</c:v>
                </c:pt>
                <c:pt idx="143">
                  <c:v>193.91489999999999</c:v>
                </c:pt>
                <c:pt idx="144">
                  <c:v>189.76089999999999</c:v>
                </c:pt>
                <c:pt idx="145">
                  <c:v>237.77119999999999</c:v>
                </c:pt>
                <c:pt idx="146">
                  <c:v>186.58260000000001</c:v>
                </c:pt>
                <c:pt idx="147">
                  <c:v>183.15180000000001</c:v>
                </c:pt>
                <c:pt idx="148">
                  <c:v>210.5737</c:v>
                </c:pt>
                <c:pt idx="149">
                  <c:v>179.56540000000001</c:v>
                </c:pt>
                <c:pt idx="150">
                  <c:v>194.93559999999999</c:v>
                </c:pt>
                <c:pt idx="151">
                  <c:v>177.8973</c:v>
                </c:pt>
                <c:pt idx="152">
                  <c:v>181.00720000000001</c:v>
                </c:pt>
                <c:pt idx="153">
                  <c:v>175.7621</c:v>
                </c:pt>
                <c:pt idx="154">
                  <c:v>171.678</c:v>
                </c:pt>
                <c:pt idx="155">
                  <c:v>174.24879999999999</c:v>
                </c:pt>
                <c:pt idx="156">
                  <c:v>165.08750000000001</c:v>
                </c:pt>
                <c:pt idx="157">
                  <c:v>172.90360000000001</c:v>
                </c:pt>
                <c:pt idx="158">
                  <c:v>156.98939999999999</c:v>
                </c:pt>
                <c:pt idx="159">
                  <c:v>172.41560000000001</c:v>
                </c:pt>
                <c:pt idx="160">
                  <c:v>150.10900000000001</c:v>
                </c:pt>
                <c:pt idx="161">
                  <c:v>171.94540000000001</c:v>
                </c:pt>
                <c:pt idx="162">
                  <c:v>144.10390000000001</c:v>
                </c:pt>
                <c:pt idx="163">
                  <c:v>170.9248</c:v>
                </c:pt>
                <c:pt idx="164">
                  <c:v>139.5181</c:v>
                </c:pt>
                <c:pt idx="165">
                  <c:v>169.36510000000001</c:v>
                </c:pt>
                <c:pt idx="166">
                  <c:v>135.33320000000001</c:v>
                </c:pt>
                <c:pt idx="167">
                  <c:v>171.3306</c:v>
                </c:pt>
                <c:pt idx="168">
                  <c:v>132.15129999999999</c:v>
                </c:pt>
                <c:pt idx="169">
                  <c:v>129.7192</c:v>
                </c:pt>
                <c:pt idx="170">
                  <c:v>127.6752</c:v>
                </c:pt>
                <c:pt idx="171">
                  <c:v>126.1464</c:v>
                </c:pt>
                <c:pt idx="172">
                  <c:v>125.2085</c:v>
                </c:pt>
                <c:pt idx="173">
                  <c:v>124.25830000000001</c:v>
                </c:pt>
                <c:pt idx="174">
                  <c:v>123.883</c:v>
                </c:pt>
                <c:pt idx="175">
                  <c:v>124.0275</c:v>
                </c:pt>
                <c:pt idx="176">
                  <c:v>124.8627</c:v>
                </c:pt>
                <c:pt idx="177">
                  <c:v>125.6211</c:v>
                </c:pt>
                <c:pt idx="178">
                  <c:v>124.6859</c:v>
                </c:pt>
                <c:pt idx="179">
                  <c:v>125.4066</c:v>
                </c:pt>
                <c:pt idx="180">
                  <c:v>128.73769999999999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613504"/>
        <c:axId val="140619776"/>
      </c:scatterChart>
      <c:valAx>
        <c:axId val="140613504"/>
        <c:scaling>
          <c:logBase val="10"/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Shifted Frequency</a:t>
                </a:r>
              </a:p>
            </c:rich>
          </c:tx>
          <c:layout/>
          <c:overlay val="0"/>
        </c:title>
        <c:numFmt formatCode="0.E+0" sourceLinked="0"/>
        <c:majorTickMark val="out"/>
        <c:minorTickMark val="none"/>
        <c:tickLblPos val="nextTo"/>
        <c:crossAx val="140619776"/>
        <c:crosses val="autoZero"/>
        <c:crossBetween val="midCat"/>
      </c:valAx>
      <c:valAx>
        <c:axId val="140619776"/>
        <c:scaling>
          <c:logBase val="10"/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en-US" sz="1400"/>
                  <a:t>Moduli</a:t>
                </a:r>
              </a:p>
            </c:rich>
          </c:tx>
          <c:layout>
            <c:manualLayout>
              <c:xMode val="edge"/>
              <c:yMode val="edge"/>
              <c:x val="1.0851447609448372E-2"/>
              <c:y val="0.34603545141997732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40613504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5.7258916084467634E-2"/>
          <c:y val="0.26369664772281565"/>
          <c:w val="0.15967667549288619"/>
          <c:h val="0.21758153474947861"/>
        </c:manualLayout>
      </c:layout>
      <c:overlay val="0"/>
      <c:txPr>
        <a:bodyPr/>
        <a:lstStyle/>
        <a:p>
          <a:pPr>
            <a:defRPr sz="16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/>
            </a:pPr>
            <a:r>
              <a:rPr lang="en-US" sz="1600"/>
              <a:t>Raw Data, Sorted, Decimated</a:t>
            </a:r>
          </a:p>
        </c:rich>
      </c:tx>
      <c:layout>
        <c:manualLayout>
          <c:xMode val="edge"/>
          <c:yMode val="edge"/>
          <c:x val="0.23096644124188073"/>
          <c:y val="9.7222222222222224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5.1051779150624088E-2"/>
          <c:y val="5.1400554097404488E-2"/>
          <c:w val="0.90807637061615543"/>
          <c:h val="0.79397209546402514"/>
        </c:manualLayout>
      </c:layout>
      <c:scatterChart>
        <c:scatterStyle val="lineMarker"/>
        <c:varyColors val="0"/>
        <c:ser>
          <c:idx val="0"/>
          <c:order val="0"/>
          <c:tx>
            <c:v>Storage Mod</c:v>
          </c:tx>
          <c:spPr>
            <a:ln w="28575">
              <a:noFill/>
            </a:ln>
          </c:spPr>
          <c:marker>
            <c:symbol val="diamond"/>
            <c:size val="3"/>
          </c:marker>
          <c:xVal>
            <c:numRef>
              <c:f>'Prony Setup'!$T$6:$T$46</c:f>
              <c:numCache>
                <c:formatCode>0.0000E+00</c:formatCode>
                <c:ptCount val="41"/>
                <c:pt idx="0">
                  <c:v>6.3095734448019212E-6</c:v>
                </c:pt>
                <c:pt idx="1">
                  <c:v>1.3881061578564237E-5</c:v>
                </c:pt>
                <c:pt idx="2">
                  <c:v>2.9024037846088861E-5</c:v>
                </c:pt>
                <c:pt idx="3">
                  <c:v>6.3095734448019279E-5</c:v>
                </c:pt>
                <c:pt idx="4">
                  <c:v>1.3881061578564229E-4</c:v>
                </c:pt>
                <c:pt idx="5">
                  <c:v>2.9024037846088892E-4</c:v>
                </c:pt>
                <c:pt idx="6">
                  <c:v>6.3095734448019244E-4</c:v>
                </c:pt>
                <c:pt idx="7">
                  <c:v>1.3565582906324136E-3</c:v>
                </c:pt>
                <c:pt idx="8">
                  <c:v>2.5118864315095777E-3</c:v>
                </c:pt>
                <c:pt idx="9">
                  <c:v>5.400555827745593E-3</c:v>
                </c:pt>
                <c:pt idx="10">
                  <c:v>1.2589254117941664E-2</c:v>
                </c:pt>
                <c:pt idx="11">
                  <c:v>2.7066896353574597E-2</c:v>
                </c:pt>
                <c:pt idx="12">
                  <c:v>5.8414139107249366E-2</c:v>
                </c:pt>
                <c:pt idx="13">
                  <c:v>8.5606928002003368E-2</c:v>
                </c:pt>
                <c:pt idx="14">
                  <c:v>0.13881061578564249</c:v>
                </c:pt>
                <c:pt idx="15">
                  <c:v>0.21999999999999997</c:v>
                </c:pt>
                <c:pt idx="16">
                  <c:v>0.36856830091206649</c:v>
                </c:pt>
                <c:pt idx="17">
                  <c:v>0.67999999999999994</c:v>
                </c:pt>
                <c:pt idx="18">
                  <c:v>1.5</c:v>
                </c:pt>
                <c:pt idx="19">
                  <c:v>3.2000000000000006</c:v>
                </c:pt>
                <c:pt idx="20">
                  <c:v>6.8000000000000007</c:v>
                </c:pt>
                <c:pt idx="21">
                  <c:v>18.312929845460879</c:v>
                </c:pt>
                <c:pt idx="22">
                  <c:v>31.600000000000012</c:v>
                </c:pt>
                <c:pt idx="23">
                  <c:v>59.71607558302464</c:v>
                </c:pt>
                <c:pt idx="24">
                  <c:v>127.39429457711913</c:v>
                </c:pt>
                <c:pt idx="25">
                  <c:v>270.71287597637831</c:v>
                </c:pt>
                <c:pt idx="26">
                  <c:v>556.02976430699744</c:v>
                </c:pt>
                <c:pt idx="27">
                  <c:v>1191.4923520864234</c:v>
                </c:pt>
                <c:pt idx="28">
                  <c:v>2541.8503511177009</c:v>
                </c:pt>
                <c:pt idx="29">
                  <c:v>5401.4319961251185</c:v>
                </c:pt>
                <c:pt idx="30">
                  <c:v>11914.923520864215</c:v>
                </c:pt>
                <c:pt idx="31">
                  <c:v>25418.503511177038</c:v>
                </c:pt>
                <c:pt idx="32">
                  <c:v>54014.319961251145</c:v>
                </c:pt>
                <c:pt idx="33">
                  <c:v>115971.92226974518</c:v>
                </c:pt>
                <c:pt idx="34">
                  <c:v>251007.72217287341</c:v>
                </c:pt>
                <c:pt idx="35">
                  <c:v>540143.19961251202</c:v>
                </c:pt>
                <c:pt idx="36">
                  <c:v>1500000.0000000037</c:v>
                </c:pt>
                <c:pt idx="37">
                  <c:v>4600000.0000000093</c:v>
                </c:pt>
                <c:pt idx="38">
                  <c:v>14600000.000000028</c:v>
                </c:pt>
                <c:pt idx="39">
                  <c:v>46400000.000000134</c:v>
                </c:pt>
                <c:pt idx="40">
                  <c:v>100000000</c:v>
                </c:pt>
              </c:numCache>
            </c:numRef>
          </c:xVal>
          <c:yVal>
            <c:numRef>
              <c:f>'Prony Setup'!$U$6:$U$46</c:f>
              <c:numCache>
                <c:formatCode>0.00000</c:formatCode>
                <c:ptCount val="41"/>
                <c:pt idx="0">
                  <c:v>9.2533480000000008</c:v>
                </c:pt>
                <c:pt idx="1">
                  <c:v>9.8949809999999996</c:v>
                </c:pt>
                <c:pt idx="2">
                  <c:v>10.75249</c:v>
                </c:pt>
                <c:pt idx="3">
                  <c:v>11.70074</c:v>
                </c:pt>
                <c:pt idx="4">
                  <c:v>12.753500000000001</c:v>
                </c:pt>
                <c:pt idx="5">
                  <c:v>14.00217</c:v>
                </c:pt>
                <c:pt idx="6">
                  <c:v>15.74677</c:v>
                </c:pt>
                <c:pt idx="7">
                  <c:v>18.40692</c:v>
                </c:pt>
                <c:pt idx="8">
                  <c:v>21.028659999999999</c:v>
                </c:pt>
                <c:pt idx="9">
                  <c:v>26.229649999999999</c:v>
                </c:pt>
                <c:pt idx="10">
                  <c:v>34.3065</c:v>
                </c:pt>
                <c:pt idx="11">
                  <c:v>47.036020000000001</c:v>
                </c:pt>
                <c:pt idx="12">
                  <c:v>66.214699999999993</c:v>
                </c:pt>
                <c:pt idx="13">
                  <c:v>82.694180000000003</c:v>
                </c:pt>
                <c:pt idx="14">
                  <c:v>106.28270000000001</c:v>
                </c:pt>
                <c:pt idx="15">
                  <c:v>128.88489999999999</c:v>
                </c:pt>
                <c:pt idx="16">
                  <c:v>159.84639999999999</c:v>
                </c:pt>
                <c:pt idx="17">
                  <c:v>215.51169999999999</c:v>
                </c:pt>
                <c:pt idx="18">
                  <c:v>288.8802</c:v>
                </c:pt>
                <c:pt idx="19">
                  <c:v>369.19830000000002</c:v>
                </c:pt>
                <c:pt idx="20">
                  <c:v>456.12299999999999</c:v>
                </c:pt>
                <c:pt idx="21">
                  <c:v>577.97180000000003</c:v>
                </c:pt>
                <c:pt idx="22">
                  <c:v>643.90800000000002</c:v>
                </c:pt>
                <c:pt idx="23">
                  <c:v>723.61030000000005</c:v>
                </c:pt>
                <c:pt idx="24">
                  <c:v>811.76710000000003</c:v>
                </c:pt>
                <c:pt idx="25">
                  <c:v>898.55489999999998</c:v>
                </c:pt>
                <c:pt idx="26">
                  <c:v>1003.414</c:v>
                </c:pt>
                <c:pt idx="27">
                  <c:v>1110.02</c:v>
                </c:pt>
                <c:pt idx="28">
                  <c:v>1210.2940000000001</c:v>
                </c:pt>
                <c:pt idx="29">
                  <c:v>1304.481</c:v>
                </c:pt>
                <c:pt idx="30">
                  <c:v>1395.328</c:v>
                </c:pt>
                <c:pt idx="31">
                  <c:v>1480.018</c:v>
                </c:pt>
                <c:pt idx="32">
                  <c:v>1562.296</c:v>
                </c:pt>
                <c:pt idx="33">
                  <c:v>1643.249</c:v>
                </c:pt>
                <c:pt idx="34">
                  <c:v>1724.9110000000001</c:v>
                </c:pt>
                <c:pt idx="35">
                  <c:v>1801.5840000000001</c:v>
                </c:pt>
                <c:pt idx="36">
                  <c:v>1877.809</c:v>
                </c:pt>
                <c:pt idx="37">
                  <c:v>1966.98</c:v>
                </c:pt>
                <c:pt idx="38">
                  <c:v>2056.576</c:v>
                </c:pt>
                <c:pt idx="39">
                  <c:v>2145.627</c:v>
                </c:pt>
                <c:pt idx="40">
                  <c:v>2180.3760000000002</c:v>
                </c:pt>
              </c:numCache>
            </c:numRef>
          </c:yVal>
          <c:smooth val="0"/>
        </c:ser>
        <c:ser>
          <c:idx val="1"/>
          <c:order val="1"/>
          <c:tx>
            <c:v>Loss Mod</c:v>
          </c:tx>
          <c:spPr>
            <a:ln w="28575">
              <a:noFill/>
            </a:ln>
          </c:spPr>
          <c:marker>
            <c:symbol val="diamond"/>
            <c:size val="3"/>
          </c:marker>
          <c:xVal>
            <c:numRef>
              <c:f>'Prony Setup'!$T$6:$T$46</c:f>
              <c:numCache>
                <c:formatCode>0.0000E+00</c:formatCode>
                <c:ptCount val="41"/>
                <c:pt idx="0">
                  <c:v>6.3095734448019212E-6</c:v>
                </c:pt>
                <c:pt idx="1">
                  <c:v>1.3881061578564237E-5</c:v>
                </c:pt>
                <c:pt idx="2">
                  <c:v>2.9024037846088861E-5</c:v>
                </c:pt>
                <c:pt idx="3">
                  <c:v>6.3095734448019279E-5</c:v>
                </c:pt>
                <c:pt idx="4">
                  <c:v>1.3881061578564229E-4</c:v>
                </c:pt>
                <c:pt idx="5">
                  <c:v>2.9024037846088892E-4</c:v>
                </c:pt>
                <c:pt idx="6">
                  <c:v>6.3095734448019244E-4</c:v>
                </c:pt>
                <c:pt idx="7">
                  <c:v>1.3565582906324136E-3</c:v>
                </c:pt>
                <c:pt idx="8">
                  <c:v>2.5118864315095777E-3</c:v>
                </c:pt>
                <c:pt idx="9">
                  <c:v>5.400555827745593E-3</c:v>
                </c:pt>
                <c:pt idx="10">
                  <c:v>1.2589254117941664E-2</c:v>
                </c:pt>
                <c:pt idx="11">
                  <c:v>2.7066896353574597E-2</c:v>
                </c:pt>
                <c:pt idx="12">
                  <c:v>5.8414139107249366E-2</c:v>
                </c:pt>
                <c:pt idx="13">
                  <c:v>8.5606928002003368E-2</c:v>
                </c:pt>
                <c:pt idx="14">
                  <c:v>0.13881061578564249</c:v>
                </c:pt>
                <c:pt idx="15">
                  <c:v>0.21999999999999997</c:v>
                </c:pt>
                <c:pt idx="16">
                  <c:v>0.36856830091206649</c:v>
                </c:pt>
                <c:pt idx="17">
                  <c:v>0.67999999999999994</c:v>
                </c:pt>
                <c:pt idx="18">
                  <c:v>1.5</c:v>
                </c:pt>
                <c:pt idx="19">
                  <c:v>3.2000000000000006</c:v>
                </c:pt>
                <c:pt idx="20">
                  <c:v>6.8000000000000007</c:v>
                </c:pt>
                <c:pt idx="21">
                  <c:v>18.312929845460879</c:v>
                </c:pt>
                <c:pt idx="22">
                  <c:v>31.600000000000012</c:v>
                </c:pt>
                <c:pt idx="23">
                  <c:v>59.71607558302464</c:v>
                </c:pt>
                <c:pt idx="24">
                  <c:v>127.39429457711913</c:v>
                </c:pt>
                <c:pt idx="25">
                  <c:v>270.71287597637831</c:v>
                </c:pt>
                <c:pt idx="26">
                  <c:v>556.02976430699744</c:v>
                </c:pt>
                <c:pt idx="27">
                  <c:v>1191.4923520864234</c:v>
                </c:pt>
                <c:pt idx="28">
                  <c:v>2541.8503511177009</c:v>
                </c:pt>
                <c:pt idx="29">
                  <c:v>5401.4319961251185</c:v>
                </c:pt>
                <c:pt idx="30">
                  <c:v>11914.923520864215</c:v>
                </c:pt>
                <c:pt idx="31">
                  <c:v>25418.503511177038</c:v>
                </c:pt>
                <c:pt idx="32">
                  <c:v>54014.319961251145</c:v>
                </c:pt>
                <c:pt idx="33">
                  <c:v>115971.92226974518</c:v>
                </c:pt>
                <c:pt idx="34">
                  <c:v>251007.72217287341</c:v>
                </c:pt>
                <c:pt idx="35">
                  <c:v>540143.19961251202</c:v>
                </c:pt>
                <c:pt idx="36">
                  <c:v>1500000.0000000037</c:v>
                </c:pt>
                <c:pt idx="37">
                  <c:v>4600000.0000000093</c:v>
                </c:pt>
                <c:pt idx="38">
                  <c:v>14600000.000000028</c:v>
                </c:pt>
                <c:pt idx="39">
                  <c:v>46400000.000000134</c:v>
                </c:pt>
                <c:pt idx="40">
                  <c:v>100000000</c:v>
                </c:pt>
              </c:numCache>
            </c:numRef>
          </c:xVal>
          <c:yVal>
            <c:numRef>
              <c:f>'Prony Setup'!$V$6:$V$46</c:f>
              <c:numCache>
                <c:formatCode>0.00000</c:formatCode>
                <c:ptCount val="41"/>
                <c:pt idx="0">
                  <c:v>1.373254</c:v>
                </c:pt>
                <c:pt idx="1">
                  <c:v>1.54061</c:v>
                </c:pt>
                <c:pt idx="2">
                  <c:v>1.7984899999999999</c:v>
                </c:pt>
                <c:pt idx="3">
                  <c:v>2.202979</c:v>
                </c:pt>
                <c:pt idx="4">
                  <c:v>2.8425980000000002</c:v>
                </c:pt>
                <c:pt idx="5">
                  <c:v>3.8197380000000001</c:v>
                </c:pt>
                <c:pt idx="6">
                  <c:v>5.5310600000000001</c:v>
                </c:pt>
                <c:pt idx="7">
                  <c:v>8.6757179999999998</c:v>
                </c:pt>
                <c:pt idx="8">
                  <c:v>11.242470000000001</c:v>
                </c:pt>
                <c:pt idx="9">
                  <c:v>17.68216</c:v>
                </c:pt>
                <c:pt idx="10">
                  <c:v>26.311520000000002</c:v>
                </c:pt>
                <c:pt idx="11">
                  <c:v>40.149410000000003</c:v>
                </c:pt>
                <c:pt idx="12">
                  <c:v>58.72251</c:v>
                </c:pt>
                <c:pt idx="13">
                  <c:v>70.440939999999998</c:v>
                </c:pt>
                <c:pt idx="14">
                  <c:v>85.75788</c:v>
                </c:pt>
                <c:pt idx="15">
                  <c:v>99.651840000000007</c:v>
                </c:pt>
                <c:pt idx="16">
                  <c:v>120.6722</c:v>
                </c:pt>
                <c:pt idx="17">
                  <c:v>137.9513</c:v>
                </c:pt>
                <c:pt idx="18">
                  <c:v>162.28559999999999</c:v>
                </c:pt>
                <c:pt idx="19">
                  <c:v>182.34350000000001</c:v>
                </c:pt>
                <c:pt idx="20">
                  <c:v>198.3502</c:v>
                </c:pt>
                <c:pt idx="21">
                  <c:v>201.3202</c:v>
                </c:pt>
                <c:pt idx="22">
                  <c:v>219.5342</c:v>
                </c:pt>
                <c:pt idx="23">
                  <c:v>205.49760000000001</c:v>
                </c:pt>
                <c:pt idx="24">
                  <c:v>205.13499999999999</c:v>
                </c:pt>
                <c:pt idx="25">
                  <c:v>203.3218</c:v>
                </c:pt>
                <c:pt idx="26">
                  <c:v>224.62479999999999</c:v>
                </c:pt>
                <c:pt idx="27">
                  <c:v>214.2122</c:v>
                </c:pt>
                <c:pt idx="28">
                  <c:v>203.24809999999999</c:v>
                </c:pt>
                <c:pt idx="29">
                  <c:v>193.91489999999999</c:v>
                </c:pt>
                <c:pt idx="30">
                  <c:v>186.58260000000001</c:v>
                </c:pt>
                <c:pt idx="31">
                  <c:v>179.56540000000001</c:v>
                </c:pt>
                <c:pt idx="32">
                  <c:v>175.7621</c:v>
                </c:pt>
                <c:pt idx="33">
                  <c:v>172.90360000000001</c:v>
                </c:pt>
                <c:pt idx="34">
                  <c:v>171.94540000000001</c:v>
                </c:pt>
                <c:pt idx="35">
                  <c:v>169.36510000000001</c:v>
                </c:pt>
                <c:pt idx="36">
                  <c:v>129.7192</c:v>
                </c:pt>
                <c:pt idx="37">
                  <c:v>125.2085</c:v>
                </c:pt>
                <c:pt idx="38">
                  <c:v>124.0275</c:v>
                </c:pt>
                <c:pt idx="39">
                  <c:v>124.6859</c:v>
                </c:pt>
                <c:pt idx="40">
                  <c:v>128.73769999999999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479104"/>
        <c:axId val="140481280"/>
      </c:scatterChart>
      <c:valAx>
        <c:axId val="140479104"/>
        <c:scaling>
          <c:logBase val="10"/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Shifted Frequency</a:t>
                </a:r>
              </a:p>
            </c:rich>
          </c:tx>
          <c:layout/>
          <c:overlay val="0"/>
        </c:title>
        <c:numFmt formatCode="0.E+0" sourceLinked="0"/>
        <c:majorTickMark val="out"/>
        <c:minorTickMark val="none"/>
        <c:tickLblPos val="nextTo"/>
        <c:crossAx val="140481280"/>
        <c:crosses val="autoZero"/>
        <c:crossBetween val="midCat"/>
      </c:valAx>
      <c:valAx>
        <c:axId val="140481280"/>
        <c:scaling>
          <c:logBase val="10"/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en-US" sz="1400"/>
                  <a:t>Moduli</a:t>
                </a:r>
              </a:p>
            </c:rich>
          </c:tx>
          <c:layout>
            <c:manualLayout>
              <c:xMode val="edge"/>
              <c:yMode val="edge"/>
              <c:x val="1.0851447609448372E-2"/>
              <c:y val="0.34603545141997732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40479104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5.7258916084467634E-2"/>
          <c:y val="0.26369664772281565"/>
          <c:w val="0.15967667549288619"/>
          <c:h val="0.21758153474947861"/>
        </c:manualLayout>
      </c:layout>
      <c:overlay val="0"/>
      <c:txPr>
        <a:bodyPr/>
        <a:lstStyle/>
        <a:p>
          <a:pPr>
            <a:defRPr sz="16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US" sz="1400"/>
              <a:t>Frequency domain representation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1179497105995997"/>
          <c:y val="0.11342640953046468"/>
          <c:w val="0.8419222598007281"/>
          <c:h val="0.74550407868732782"/>
        </c:manualLayout>
      </c:layout>
      <c:scatterChart>
        <c:scatterStyle val="lineMarker"/>
        <c:varyColors val="0"/>
        <c:ser>
          <c:idx val="2"/>
          <c:order val="0"/>
          <c:tx>
            <c:v>Gs Test Data</c:v>
          </c:tx>
          <c:spPr>
            <a:ln>
              <a:noFill/>
            </a:ln>
          </c:spPr>
          <c:marker>
            <c:symbol val="diamond"/>
            <c:size val="5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</c:spPr>
          </c:marker>
          <c:xVal>
            <c:numRef>
              <c:f>'Prony Fit'!$F$6:$F$46</c:f>
              <c:numCache>
                <c:formatCode>0.0000E+00</c:formatCode>
                <c:ptCount val="41"/>
                <c:pt idx="0">
                  <c:v>6.3095734448019212E-6</c:v>
                </c:pt>
                <c:pt idx="1">
                  <c:v>1.3881061578564237E-5</c:v>
                </c:pt>
                <c:pt idx="2">
                  <c:v>2.9024037846088861E-5</c:v>
                </c:pt>
                <c:pt idx="3">
                  <c:v>6.3095734448019279E-5</c:v>
                </c:pt>
                <c:pt idx="4">
                  <c:v>1.3881061578564229E-4</c:v>
                </c:pt>
                <c:pt idx="5">
                  <c:v>2.9024037846088892E-4</c:v>
                </c:pt>
                <c:pt idx="6">
                  <c:v>6.3095734448019244E-4</c:v>
                </c:pt>
                <c:pt idx="7">
                  <c:v>1.3565582906324136E-3</c:v>
                </c:pt>
                <c:pt idx="8">
                  <c:v>2.5118864315095777E-3</c:v>
                </c:pt>
                <c:pt idx="9">
                  <c:v>5.400555827745593E-3</c:v>
                </c:pt>
                <c:pt idx="10">
                  <c:v>1.2589254117941664E-2</c:v>
                </c:pt>
                <c:pt idx="11">
                  <c:v>2.7066896353574597E-2</c:v>
                </c:pt>
                <c:pt idx="12">
                  <c:v>5.8414139107249366E-2</c:v>
                </c:pt>
                <c:pt idx="13">
                  <c:v>8.5606928002003368E-2</c:v>
                </c:pt>
                <c:pt idx="14">
                  <c:v>0.13881061578564249</c:v>
                </c:pt>
                <c:pt idx="15">
                  <c:v>0.21999999999999997</c:v>
                </c:pt>
                <c:pt idx="16">
                  <c:v>0.36856830091206649</c:v>
                </c:pt>
                <c:pt idx="17">
                  <c:v>0.67999999999999994</c:v>
                </c:pt>
                <c:pt idx="18">
                  <c:v>1.5</c:v>
                </c:pt>
                <c:pt idx="19">
                  <c:v>3.2000000000000006</c:v>
                </c:pt>
                <c:pt idx="20">
                  <c:v>6.8000000000000007</c:v>
                </c:pt>
                <c:pt idx="21">
                  <c:v>18.312929845460879</c:v>
                </c:pt>
                <c:pt idx="22">
                  <c:v>31.600000000000012</c:v>
                </c:pt>
                <c:pt idx="23">
                  <c:v>59.71607558302464</c:v>
                </c:pt>
                <c:pt idx="24">
                  <c:v>127.39429457711913</c:v>
                </c:pt>
                <c:pt idx="25">
                  <c:v>270.71287597637831</c:v>
                </c:pt>
                <c:pt idx="26">
                  <c:v>556.02976430699744</c:v>
                </c:pt>
                <c:pt idx="27">
                  <c:v>1191.4923520864234</c:v>
                </c:pt>
                <c:pt idx="28">
                  <c:v>2541.8503511177009</c:v>
                </c:pt>
                <c:pt idx="29">
                  <c:v>5401.4319961251185</c:v>
                </c:pt>
                <c:pt idx="30">
                  <c:v>11914.923520864215</c:v>
                </c:pt>
                <c:pt idx="31">
                  <c:v>25418.503511177038</c:v>
                </c:pt>
                <c:pt idx="32">
                  <c:v>54014.319961251145</c:v>
                </c:pt>
                <c:pt idx="33">
                  <c:v>115971.92226974518</c:v>
                </c:pt>
                <c:pt idx="34">
                  <c:v>251007.72217287341</c:v>
                </c:pt>
                <c:pt idx="35">
                  <c:v>540143.19961251202</c:v>
                </c:pt>
                <c:pt idx="36">
                  <c:v>1500000.0000000037</c:v>
                </c:pt>
                <c:pt idx="37">
                  <c:v>4600000.0000000093</c:v>
                </c:pt>
                <c:pt idx="38">
                  <c:v>14600000.000000028</c:v>
                </c:pt>
                <c:pt idx="39">
                  <c:v>46400000.000000134</c:v>
                </c:pt>
                <c:pt idx="40">
                  <c:v>100000000</c:v>
                </c:pt>
              </c:numCache>
            </c:numRef>
          </c:xVal>
          <c:yVal>
            <c:numRef>
              <c:f>'Prony Fit'!$G$6:$G$46</c:f>
              <c:numCache>
                <c:formatCode>0.00000000</c:formatCode>
                <c:ptCount val="41"/>
                <c:pt idx="0">
                  <c:v>9.2533480000000008</c:v>
                </c:pt>
                <c:pt idx="1">
                  <c:v>9.8949809999999996</c:v>
                </c:pt>
                <c:pt idx="2" formatCode="0.0000000">
                  <c:v>10.75249</c:v>
                </c:pt>
                <c:pt idx="3" formatCode="0.0000000">
                  <c:v>11.70074</c:v>
                </c:pt>
                <c:pt idx="4" formatCode="0.0000000">
                  <c:v>12.753500000000001</c:v>
                </c:pt>
                <c:pt idx="5" formatCode="0.0000000">
                  <c:v>14.00217</c:v>
                </c:pt>
                <c:pt idx="6" formatCode="0.0000000">
                  <c:v>15.74677</c:v>
                </c:pt>
                <c:pt idx="7" formatCode="0.0000000">
                  <c:v>18.40692</c:v>
                </c:pt>
                <c:pt idx="8" formatCode="0.0000000">
                  <c:v>21.028659999999999</c:v>
                </c:pt>
                <c:pt idx="9" formatCode="0.0000000">
                  <c:v>26.229649999999999</c:v>
                </c:pt>
                <c:pt idx="10" formatCode="0.0000000">
                  <c:v>34.3065</c:v>
                </c:pt>
                <c:pt idx="11" formatCode="0.0000000">
                  <c:v>47.036020000000001</c:v>
                </c:pt>
                <c:pt idx="12" formatCode="0.0000000">
                  <c:v>66.214699999999993</c:v>
                </c:pt>
                <c:pt idx="13" formatCode="0.0000000">
                  <c:v>82.694180000000003</c:v>
                </c:pt>
                <c:pt idx="14" formatCode="0.000000">
                  <c:v>106.28270000000001</c:v>
                </c:pt>
                <c:pt idx="15" formatCode="0.000000">
                  <c:v>128.88489999999999</c:v>
                </c:pt>
                <c:pt idx="16" formatCode="0.000000">
                  <c:v>159.84639999999999</c:v>
                </c:pt>
                <c:pt idx="17" formatCode="0.000000">
                  <c:v>215.51169999999999</c:v>
                </c:pt>
                <c:pt idx="18" formatCode="0.000000">
                  <c:v>288.8802</c:v>
                </c:pt>
                <c:pt idx="19" formatCode="0.000000">
                  <c:v>369.19830000000002</c:v>
                </c:pt>
                <c:pt idx="20" formatCode="0.000000">
                  <c:v>456.12299999999999</c:v>
                </c:pt>
                <c:pt idx="21" formatCode="0.000000">
                  <c:v>577.97180000000003</c:v>
                </c:pt>
                <c:pt idx="22" formatCode="0.000000">
                  <c:v>643.90800000000002</c:v>
                </c:pt>
                <c:pt idx="23" formatCode="0.000000">
                  <c:v>723.61030000000005</c:v>
                </c:pt>
                <c:pt idx="24" formatCode="0.000000">
                  <c:v>811.76710000000003</c:v>
                </c:pt>
                <c:pt idx="25" formatCode="0.000000">
                  <c:v>898.55489999999998</c:v>
                </c:pt>
                <c:pt idx="26" formatCode="0.00000">
                  <c:v>1003.414</c:v>
                </c:pt>
                <c:pt idx="27" formatCode="0.00000">
                  <c:v>1110.02</c:v>
                </c:pt>
                <c:pt idx="28" formatCode="0.00000">
                  <c:v>1210.2940000000001</c:v>
                </c:pt>
                <c:pt idx="29" formatCode="0.00000">
                  <c:v>1304.481</c:v>
                </c:pt>
                <c:pt idx="30" formatCode="0.00000">
                  <c:v>1395.328</c:v>
                </c:pt>
                <c:pt idx="31" formatCode="0.00000">
                  <c:v>1480.018</c:v>
                </c:pt>
                <c:pt idx="32" formatCode="0.00000">
                  <c:v>1562.296</c:v>
                </c:pt>
                <c:pt idx="33" formatCode="0.00000">
                  <c:v>1643.249</c:v>
                </c:pt>
                <c:pt idx="34" formatCode="0.00000">
                  <c:v>1724.9110000000001</c:v>
                </c:pt>
                <c:pt idx="35" formatCode="0.00000">
                  <c:v>1801.5840000000001</c:v>
                </c:pt>
                <c:pt idx="36" formatCode="0.00000">
                  <c:v>1877.809</c:v>
                </c:pt>
                <c:pt idx="37" formatCode="0.00000">
                  <c:v>1966.98</c:v>
                </c:pt>
                <c:pt idx="38" formatCode="0.00000">
                  <c:v>2056.576</c:v>
                </c:pt>
                <c:pt idx="39" formatCode="0.00000">
                  <c:v>2145.627</c:v>
                </c:pt>
                <c:pt idx="40" formatCode="0.00000">
                  <c:v>2180.3760000000002</c:v>
                </c:pt>
              </c:numCache>
            </c:numRef>
          </c:yVal>
          <c:smooth val="0"/>
        </c:ser>
        <c:ser>
          <c:idx val="0"/>
          <c:order val="1"/>
          <c:tx>
            <c:v>Gs from Prony</c:v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xVal>
            <c:numRef>
              <c:f>'Prony Fit'!$F$4:$F$48</c:f>
              <c:numCache>
                <c:formatCode>0.0E+00</c:formatCode>
                <c:ptCount val="45"/>
                <c:pt idx="0">
                  <c:v>9.9999999999999995E-8</c:v>
                </c:pt>
                <c:pt idx="1">
                  <c:v>9.9999999999999995E-7</c:v>
                </c:pt>
                <c:pt idx="2" formatCode="0.0000E+00">
                  <c:v>6.3095734448019212E-6</c:v>
                </c:pt>
                <c:pt idx="3" formatCode="0.0000E+00">
                  <c:v>1.3881061578564237E-5</c:v>
                </c:pt>
                <c:pt idx="4" formatCode="0.0000E+00">
                  <c:v>2.9024037846088861E-5</c:v>
                </c:pt>
                <c:pt idx="5" formatCode="0.0000E+00">
                  <c:v>6.3095734448019279E-5</c:v>
                </c:pt>
                <c:pt idx="6" formatCode="0.0000E+00">
                  <c:v>1.3881061578564229E-4</c:v>
                </c:pt>
                <c:pt idx="7" formatCode="0.0000E+00">
                  <c:v>2.9024037846088892E-4</c:v>
                </c:pt>
                <c:pt idx="8" formatCode="0.0000E+00">
                  <c:v>6.3095734448019244E-4</c:v>
                </c:pt>
                <c:pt idx="9" formatCode="0.0000E+00">
                  <c:v>1.3565582906324136E-3</c:v>
                </c:pt>
                <c:pt idx="10" formatCode="0.0000E+00">
                  <c:v>2.5118864315095777E-3</c:v>
                </c:pt>
                <c:pt idx="11" formatCode="0.0000E+00">
                  <c:v>5.400555827745593E-3</c:v>
                </c:pt>
                <c:pt idx="12" formatCode="0.0000E+00">
                  <c:v>1.2589254117941664E-2</c:v>
                </c:pt>
                <c:pt idx="13" formatCode="0.0000E+00">
                  <c:v>2.7066896353574597E-2</c:v>
                </c:pt>
                <c:pt idx="14" formatCode="0.0000E+00">
                  <c:v>5.8414139107249366E-2</c:v>
                </c:pt>
                <c:pt idx="15" formatCode="0.0000E+00">
                  <c:v>8.5606928002003368E-2</c:v>
                </c:pt>
                <c:pt idx="16" formatCode="0.0000E+00">
                  <c:v>0.13881061578564249</c:v>
                </c:pt>
                <c:pt idx="17" formatCode="0.0000E+00">
                  <c:v>0.21999999999999997</c:v>
                </c:pt>
                <c:pt idx="18" formatCode="0.0000E+00">
                  <c:v>0.36856830091206649</c:v>
                </c:pt>
                <c:pt idx="19" formatCode="0.0000E+00">
                  <c:v>0.67999999999999994</c:v>
                </c:pt>
                <c:pt idx="20" formatCode="0.0000E+00">
                  <c:v>1.5</c:v>
                </c:pt>
                <c:pt idx="21" formatCode="0.0000E+00">
                  <c:v>3.2000000000000006</c:v>
                </c:pt>
                <c:pt idx="22" formatCode="0.0000E+00">
                  <c:v>6.8000000000000007</c:v>
                </c:pt>
                <c:pt idx="23" formatCode="0.0000E+00">
                  <c:v>18.312929845460879</c:v>
                </c:pt>
                <c:pt idx="24" formatCode="0.0000E+00">
                  <c:v>31.600000000000012</c:v>
                </c:pt>
                <c:pt idx="25" formatCode="0.0000E+00">
                  <c:v>59.71607558302464</c:v>
                </c:pt>
                <c:pt idx="26" formatCode="0.0000E+00">
                  <c:v>127.39429457711913</c:v>
                </c:pt>
                <c:pt idx="27" formatCode="0.0000E+00">
                  <c:v>270.71287597637831</c:v>
                </c:pt>
                <c:pt idx="28" formatCode="0.0000E+00">
                  <c:v>556.02976430699744</c:v>
                </c:pt>
                <c:pt idx="29" formatCode="0.0000E+00">
                  <c:v>1191.4923520864234</c:v>
                </c:pt>
                <c:pt idx="30" formatCode="0.0000E+00">
                  <c:v>2541.8503511177009</c:v>
                </c:pt>
                <c:pt idx="31" formatCode="0.0000E+00">
                  <c:v>5401.4319961251185</c:v>
                </c:pt>
                <c:pt idx="32" formatCode="0.0000E+00">
                  <c:v>11914.923520864215</c:v>
                </c:pt>
                <c:pt idx="33" formatCode="0.0000E+00">
                  <c:v>25418.503511177038</c:v>
                </c:pt>
                <c:pt idx="34" formatCode="0.0000E+00">
                  <c:v>54014.319961251145</c:v>
                </c:pt>
                <c:pt idx="35" formatCode="0.0000E+00">
                  <c:v>115971.92226974518</c:v>
                </c:pt>
                <c:pt idx="36" formatCode="0.0000E+00">
                  <c:v>251007.72217287341</c:v>
                </c:pt>
                <c:pt idx="37" formatCode="0.0000E+00">
                  <c:v>540143.19961251202</c:v>
                </c:pt>
                <c:pt idx="38" formatCode="0.0000E+00">
                  <c:v>1500000.0000000037</c:v>
                </c:pt>
                <c:pt idx="39" formatCode="0.0000E+00">
                  <c:v>4600000.0000000093</c:v>
                </c:pt>
                <c:pt idx="40" formatCode="0.0000E+00">
                  <c:v>14600000.000000028</c:v>
                </c:pt>
                <c:pt idx="41" formatCode="0.0000E+00">
                  <c:v>46400000.000000134</c:v>
                </c:pt>
                <c:pt idx="42" formatCode="0.0000E+00">
                  <c:v>100000000</c:v>
                </c:pt>
                <c:pt idx="43">
                  <c:v>1000000000</c:v>
                </c:pt>
                <c:pt idx="44">
                  <c:v>10000000000</c:v>
                </c:pt>
              </c:numCache>
            </c:numRef>
          </c:xVal>
          <c:yVal>
            <c:numRef>
              <c:f>'Prony Fit'!$J$4:$J$48</c:f>
              <c:numCache>
                <c:formatCode>0.000</c:formatCode>
                <c:ptCount val="45"/>
                <c:pt idx="0">
                  <c:v>6.7552770033660892</c:v>
                </c:pt>
                <c:pt idx="1">
                  <c:v>7.4768960657305339</c:v>
                </c:pt>
                <c:pt idx="2">
                  <c:v>9.4025729188171923</c:v>
                </c:pt>
                <c:pt idx="3">
                  <c:v>10.078063211921377</c:v>
                </c:pt>
                <c:pt idx="4">
                  <c:v>10.794848754917819</c:v>
                </c:pt>
                <c:pt idx="5">
                  <c:v>11.458275377122487</c:v>
                </c:pt>
                <c:pt idx="6">
                  <c:v>12.559680458314011</c:v>
                </c:pt>
                <c:pt idx="7">
                  <c:v>13.89353761974156</c:v>
                </c:pt>
                <c:pt idx="8">
                  <c:v>15.394633618553087</c:v>
                </c:pt>
                <c:pt idx="9">
                  <c:v>18.202021705021856</c:v>
                </c:pt>
                <c:pt idx="10">
                  <c:v>21.315046775809684</c:v>
                </c:pt>
                <c:pt idx="11">
                  <c:v>25.599400763184285</c:v>
                </c:pt>
                <c:pt idx="12">
                  <c:v>35.221110050622563</c:v>
                </c:pt>
                <c:pt idx="13">
                  <c:v>48.74676036483303</c:v>
                </c:pt>
                <c:pt idx="14">
                  <c:v>65.535105601993891</c:v>
                </c:pt>
                <c:pt idx="15">
                  <c:v>79.675408947776205</c:v>
                </c:pt>
                <c:pt idx="16">
                  <c:v>106.38207860339016</c:v>
                </c:pt>
                <c:pt idx="17">
                  <c:v>136.3852476255569</c:v>
                </c:pt>
                <c:pt idx="18">
                  <c:v>167.04232828350251</c:v>
                </c:pt>
                <c:pt idx="19">
                  <c:v>206.15474256332934</c:v>
                </c:pt>
                <c:pt idx="20">
                  <c:v>292.82548382977103</c:v>
                </c:pt>
                <c:pt idx="21">
                  <c:v>386.76078500411393</c:v>
                </c:pt>
                <c:pt idx="22">
                  <c:v>460.42725022306098</c:v>
                </c:pt>
                <c:pt idx="23">
                  <c:v>605.10041302851926</c:v>
                </c:pt>
                <c:pt idx="24">
                  <c:v>685.29117568958873</c:v>
                </c:pt>
                <c:pt idx="25">
                  <c:v>754.43477404950693</c:v>
                </c:pt>
                <c:pt idx="26">
                  <c:v>852.72235720777724</c:v>
                </c:pt>
                <c:pt idx="27">
                  <c:v>970.2417088956704</c:v>
                </c:pt>
                <c:pt idx="28">
                  <c:v>1053.4506334637679</c:v>
                </c:pt>
                <c:pt idx="29">
                  <c:v>1157.8525737776738</c:v>
                </c:pt>
                <c:pt idx="30">
                  <c:v>1289.7007218072301</c:v>
                </c:pt>
                <c:pt idx="31">
                  <c:v>1379.8274979426087</c:v>
                </c:pt>
                <c:pt idx="32">
                  <c:v>1467.9729941622822</c:v>
                </c:pt>
                <c:pt idx="33">
                  <c:v>1570.2153472324799</c:v>
                </c:pt>
                <c:pt idx="34">
                  <c:v>1646.7348565858681</c:v>
                </c:pt>
                <c:pt idx="35">
                  <c:v>1737.382640662483</c:v>
                </c:pt>
                <c:pt idx="36">
                  <c:v>1855.5375128803091</c:v>
                </c:pt>
                <c:pt idx="37">
                  <c:v>1931.326653643189</c:v>
                </c:pt>
                <c:pt idx="38">
                  <c:v>2009.3519569666537</c:v>
                </c:pt>
                <c:pt idx="39">
                  <c:v>2096.4338965342799</c:v>
                </c:pt>
                <c:pt idx="40">
                  <c:v>2229.1615502640452</c:v>
                </c:pt>
                <c:pt idx="41">
                  <c:v>2367.0493614599786</c:v>
                </c:pt>
                <c:pt idx="42">
                  <c:v>2392.270505375755</c:v>
                </c:pt>
                <c:pt idx="43">
                  <c:v>2399.9207767489329</c:v>
                </c:pt>
                <c:pt idx="44">
                  <c:v>2399.9992075697751</c:v>
                </c:pt>
              </c:numCache>
            </c:numRef>
          </c:yVal>
          <c:smooth val="0"/>
        </c:ser>
        <c:ser>
          <c:idx val="3"/>
          <c:order val="2"/>
          <c:tx>
            <c:v>Gl Test Data</c:v>
          </c:tx>
          <c:spPr>
            <a:ln w="28575">
              <a:noFill/>
            </a:ln>
          </c:spPr>
          <c:marker>
            <c:symbol val="diamond"/>
            <c:size val="4"/>
            <c:spPr>
              <a:solidFill>
                <a:schemeClr val="accent1"/>
              </a:solidFill>
              <a:ln>
                <a:solidFill>
                  <a:schemeClr val="accent1"/>
                </a:solidFill>
              </a:ln>
            </c:spPr>
          </c:marker>
          <c:xVal>
            <c:numRef>
              <c:f>'Prony Fit'!$F$6:$F$46</c:f>
              <c:numCache>
                <c:formatCode>0.0000E+00</c:formatCode>
                <c:ptCount val="41"/>
                <c:pt idx="0">
                  <c:v>6.3095734448019212E-6</c:v>
                </c:pt>
                <c:pt idx="1">
                  <c:v>1.3881061578564237E-5</c:v>
                </c:pt>
                <c:pt idx="2">
                  <c:v>2.9024037846088861E-5</c:v>
                </c:pt>
                <c:pt idx="3">
                  <c:v>6.3095734448019279E-5</c:v>
                </c:pt>
                <c:pt idx="4">
                  <c:v>1.3881061578564229E-4</c:v>
                </c:pt>
                <c:pt idx="5">
                  <c:v>2.9024037846088892E-4</c:v>
                </c:pt>
                <c:pt idx="6">
                  <c:v>6.3095734448019244E-4</c:v>
                </c:pt>
                <c:pt idx="7">
                  <c:v>1.3565582906324136E-3</c:v>
                </c:pt>
                <c:pt idx="8">
                  <c:v>2.5118864315095777E-3</c:v>
                </c:pt>
                <c:pt idx="9">
                  <c:v>5.400555827745593E-3</c:v>
                </c:pt>
                <c:pt idx="10">
                  <c:v>1.2589254117941664E-2</c:v>
                </c:pt>
                <c:pt idx="11">
                  <c:v>2.7066896353574597E-2</c:v>
                </c:pt>
                <c:pt idx="12">
                  <c:v>5.8414139107249366E-2</c:v>
                </c:pt>
                <c:pt idx="13">
                  <c:v>8.5606928002003368E-2</c:v>
                </c:pt>
                <c:pt idx="14">
                  <c:v>0.13881061578564249</c:v>
                </c:pt>
                <c:pt idx="15">
                  <c:v>0.21999999999999997</c:v>
                </c:pt>
                <c:pt idx="16">
                  <c:v>0.36856830091206649</c:v>
                </c:pt>
                <c:pt idx="17">
                  <c:v>0.67999999999999994</c:v>
                </c:pt>
                <c:pt idx="18">
                  <c:v>1.5</c:v>
                </c:pt>
                <c:pt idx="19">
                  <c:v>3.2000000000000006</c:v>
                </c:pt>
                <c:pt idx="20">
                  <c:v>6.8000000000000007</c:v>
                </c:pt>
                <c:pt idx="21">
                  <c:v>18.312929845460879</c:v>
                </c:pt>
                <c:pt idx="22">
                  <c:v>31.600000000000012</c:v>
                </c:pt>
                <c:pt idx="23">
                  <c:v>59.71607558302464</c:v>
                </c:pt>
                <c:pt idx="24">
                  <c:v>127.39429457711913</c:v>
                </c:pt>
                <c:pt idx="25">
                  <c:v>270.71287597637831</c:v>
                </c:pt>
                <c:pt idx="26">
                  <c:v>556.02976430699744</c:v>
                </c:pt>
                <c:pt idx="27">
                  <c:v>1191.4923520864234</c:v>
                </c:pt>
                <c:pt idx="28">
                  <c:v>2541.8503511177009</c:v>
                </c:pt>
                <c:pt idx="29">
                  <c:v>5401.4319961251185</c:v>
                </c:pt>
                <c:pt idx="30">
                  <c:v>11914.923520864215</c:v>
                </c:pt>
                <c:pt idx="31">
                  <c:v>25418.503511177038</c:v>
                </c:pt>
                <c:pt idx="32">
                  <c:v>54014.319961251145</c:v>
                </c:pt>
                <c:pt idx="33">
                  <c:v>115971.92226974518</c:v>
                </c:pt>
                <c:pt idx="34">
                  <c:v>251007.72217287341</c:v>
                </c:pt>
                <c:pt idx="35">
                  <c:v>540143.19961251202</c:v>
                </c:pt>
                <c:pt idx="36">
                  <c:v>1500000.0000000037</c:v>
                </c:pt>
                <c:pt idx="37">
                  <c:v>4600000.0000000093</c:v>
                </c:pt>
                <c:pt idx="38">
                  <c:v>14600000.000000028</c:v>
                </c:pt>
                <c:pt idx="39">
                  <c:v>46400000.000000134</c:v>
                </c:pt>
                <c:pt idx="40">
                  <c:v>100000000</c:v>
                </c:pt>
              </c:numCache>
            </c:numRef>
          </c:xVal>
          <c:yVal>
            <c:numRef>
              <c:f>'Prony Fit'!$H$6:$H$46</c:f>
              <c:numCache>
                <c:formatCode>0.0000</c:formatCode>
                <c:ptCount val="41"/>
                <c:pt idx="0">
                  <c:v>1.373254</c:v>
                </c:pt>
                <c:pt idx="1">
                  <c:v>1.54061</c:v>
                </c:pt>
                <c:pt idx="2">
                  <c:v>1.7984899999999999</c:v>
                </c:pt>
                <c:pt idx="3">
                  <c:v>2.202979</c:v>
                </c:pt>
                <c:pt idx="4">
                  <c:v>2.8425980000000002</c:v>
                </c:pt>
                <c:pt idx="5">
                  <c:v>3.8197380000000001</c:v>
                </c:pt>
                <c:pt idx="6">
                  <c:v>5.5310600000000001</c:v>
                </c:pt>
                <c:pt idx="7">
                  <c:v>8.6757179999999998</c:v>
                </c:pt>
                <c:pt idx="8">
                  <c:v>11.242470000000001</c:v>
                </c:pt>
                <c:pt idx="9">
                  <c:v>17.68216</c:v>
                </c:pt>
                <c:pt idx="10">
                  <c:v>26.311520000000002</c:v>
                </c:pt>
                <c:pt idx="11">
                  <c:v>40.149410000000003</c:v>
                </c:pt>
                <c:pt idx="12">
                  <c:v>58.72251</c:v>
                </c:pt>
                <c:pt idx="13">
                  <c:v>70.440939999999998</c:v>
                </c:pt>
                <c:pt idx="14">
                  <c:v>85.75788</c:v>
                </c:pt>
                <c:pt idx="15">
                  <c:v>99.651840000000007</c:v>
                </c:pt>
                <c:pt idx="16">
                  <c:v>120.6722</c:v>
                </c:pt>
                <c:pt idx="17">
                  <c:v>137.9513</c:v>
                </c:pt>
                <c:pt idx="18">
                  <c:v>162.28559999999999</c:v>
                </c:pt>
                <c:pt idx="19">
                  <c:v>182.34350000000001</c:v>
                </c:pt>
                <c:pt idx="20">
                  <c:v>198.3502</c:v>
                </c:pt>
                <c:pt idx="21">
                  <c:v>201.3202</c:v>
                </c:pt>
                <c:pt idx="22">
                  <c:v>219.5342</c:v>
                </c:pt>
                <c:pt idx="23">
                  <c:v>205.49760000000001</c:v>
                </c:pt>
                <c:pt idx="24">
                  <c:v>205.13499999999999</c:v>
                </c:pt>
                <c:pt idx="25">
                  <c:v>203.3218</c:v>
                </c:pt>
                <c:pt idx="26">
                  <c:v>224.62479999999999</c:v>
                </c:pt>
                <c:pt idx="27">
                  <c:v>214.2122</c:v>
                </c:pt>
                <c:pt idx="28">
                  <c:v>203.24809999999999</c:v>
                </c:pt>
                <c:pt idx="29">
                  <c:v>193.91489999999999</c:v>
                </c:pt>
                <c:pt idx="30">
                  <c:v>186.58260000000001</c:v>
                </c:pt>
                <c:pt idx="31">
                  <c:v>179.56540000000001</c:v>
                </c:pt>
                <c:pt idx="32">
                  <c:v>175.7621</c:v>
                </c:pt>
                <c:pt idx="33">
                  <c:v>172.90360000000001</c:v>
                </c:pt>
                <c:pt idx="34">
                  <c:v>171.94540000000001</c:v>
                </c:pt>
                <c:pt idx="35">
                  <c:v>169.36510000000001</c:v>
                </c:pt>
                <c:pt idx="36">
                  <c:v>129.7192</c:v>
                </c:pt>
                <c:pt idx="37">
                  <c:v>125.2085</c:v>
                </c:pt>
                <c:pt idx="38">
                  <c:v>124.0275</c:v>
                </c:pt>
                <c:pt idx="39">
                  <c:v>124.6859</c:v>
                </c:pt>
                <c:pt idx="40">
                  <c:v>128.73769999999999</c:v>
                </c:pt>
              </c:numCache>
            </c:numRef>
          </c:yVal>
          <c:smooth val="0"/>
        </c:ser>
        <c:ser>
          <c:idx val="1"/>
          <c:order val="3"/>
          <c:tx>
            <c:v>Gl from Prony</c:v>
          </c:tx>
          <c:spPr>
            <a:ln w="28575">
              <a:solidFill>
                <a:schemeClr val="accent1"/>
              </a:solidFill>
            </a:ln>
          </c:spPr>
          <c:marker>
            <c:symbol val="none"/>
          </c:marker>
          <c:xVal>
            <c:numRef>
              <c:f>'Prony Fit'!$F$4:$F$48</c:f>
              <c:numCache>
                <c:formatCode>0.0E+00</c:formatCode>
                <c:ptCount val="45"/>
                <c:pt idx="0">
                  <c:v>9.9999999999999995E-8</c:v>
                </c:pt>
                <c:pt idx="1">
                  <c:v>9.9999999999999995E-7</c:v>
                </c:pt>
                <c:pt idx="2" formatCode="0.0000E+00">
                  <c:v>6.3095734448019212E-6</c:v>
                </c:pt>
                <c:pt idx="3" formatCode="0.0000E+00">
                  <c:v>1.3881061578564237E-5</c:v>
                </c:pt>
                <c:pt idx="4" formatCode="0.0000E+00">
                  <c:v>2.9024037846088861E-5</c:v>
                </c:pt>
                <c:pt idx="5" formatCode="0.0000E+00">
                  <c:v>6.3095734448019279E-5</c:v>
                </c:pt>
                <c:pt idx="6" formatCode="0.0000E+00">
                  <c:v>1.3881061578564229E-4</c:v>
                </c:pt>
                <c:pt idx="7" formatCode="0.0000E+00">
                  <c:v>2.9024037846088892E-4</c:v>
                </c:pt>
                <c:pt idx="8" formatCode="0.0000E+00">
                  <c:v>6.3095734448019244E-4</c:v>
                </c:pt>
                <c:pt idx="9" formatCode="0.0000E+00">
                  <c:v>1.3565582906324136E-3</c:v>
                </c:pt>
                <c:pt idx="10" formatCode="0.0000E+00">
                  <c:v>2.5118864315095777E-3</c:v>
                </c:pt>
                <c:pt idx="11" formatCode="0.0000E+00">
                  <c:v>5.400555827745593E-3</c:v>
                </c:pt>
                <c:pt idx="12" formatCode="0.0000E+00">
                  <c:v>1.2589254117941664E-2</c:v>
                </c:pt>
                <c:pt idx="13" formatCode="0.0000E+00">
                  <c:v>2.7066896353574597E-2</c:v>
                </c:pt>
                <c:pt idx="14" formatCode="0.0000E+00">
                  <c:v>5.8414139107249366E-2</c:v>
                </c:pt>
                <c:pt idx="15" formatCode="0.0000E+00">
                  <c:v>8.5606928002003368E-2</c:v>
                </c:pt>
                <c:pt idx="16" formatCode="0.0000E+00">
                  <c:v>0.13881061578564249</c:v>
                </c:pt>
                <c:pt idx="17" formatCode="0.0000E+00">
                  <c:v>0.21999999999999997</c:v>
                </c:pt>
                <c:pt idx="18" formatCode="0.0000E+00">
                  <c:v>0.36856830091206649</c:v>
                </c:pt>
                <c:pt idx="19" formatCode="0.0000E+00">
                  <c:v>0.67999999999999994</c:v>
                </c:pt>
                <c:pt idx="20" formatCode="0.0000E+00">
                  <c:v>1.5</c:v>
                </c:pt>
                <c:pt idx="21" formatCode="0.0000E+00">
                  <c:v>3.2000000000000006</c:v>
                </c:pt>
                <c:pt idx="22" formatCode="0.0000E+00">
                  <c:v>6.8000000000000007</c:v>
                </c:pt>
                <c:pt idx="23" formatCode="0.0000E+00">
                  <c:v>18.312929845460879</c:v>
                </c:pt>
                <c:pt idx="24" formatCode="0.0000E+00">
                  <c:v>31.600000000000012</c:v>
                </c:pt>
                <c:pt idx="25" formatCode="0.0000E+00">
                  <c:v>59.71607558302464</c:v>
                </c:pt>
                <c:pt idx="26" formatCode="0.0000E+00">
                  <c:v>127.39429457711913</c:v>
                </c:pt>
                <c:pt idx="27" formatCode="0.0000E+00">
                  <c:v>270.71287597637831</c:v>
                </c:pt>
                <c:pt idx="28" formatCode="0.0000E+00">
                  <c:v>556.02976430699744</c:v>
                </c:pt>
                <c:pt idx="29" formatCode="0.0000E+00">
                  <c:v>1191.4923520864234</c:v>
                </c:pt>
                <c:pt idx="30" formatCode="0.0000E+00">
                  <c:v>2541.8503511177009</c:v>
                </c:pt>
                <c:pt idx="31" formatCode="0.0000E+00">
                  <c:v>5401.4319961251185</c:v>
                </c:pt>
                <c:pt idx="32" formatCode="0.0000E+00">
                  <c:v>11914.923520864215</c:v>
                </c:pt>
                <c:pt idx="33" formatCode="0.0000E+00">
                  <c:v>25418.503511177038</c:v>
                </c:pt>
                <c:pt idx="34" formatCode="0.0000E+00">
                  <c:v>54014.319961251145</c:v>
                </c:pt>
                <c:pt idx="35" formatCode="0.0000E+00">
                  <c:v>115971.92226974518</c:v>
                </c:pt>
                <c:pt idx="36" formatCode="0.0000E+00">
                  <c:v>251007.72217287341</c:v>
                </c:pt>
                <c:pt idx="37" formatCode="0.0000E+00">
                  <c:v>540143.19961251202</c:v>
                </c:pt>
                <c:pt idx="38" formatCode="0.0000E+00">
                  <c:v>1500000.0000000037</c:v>
                </c:pt>
                <c:pt idx="39" formatCode="0.0000E+00">
                  <c:v>4600000.0000000093</c:v>
                </c:pt>
                <c:pt idx="40" formatCode="0.0000E+00">
                  <c:v>14600000.000000028</c:v>
                </c:pt>
                <c:pt idx="41" formatCode="0.0000E+00">
                  <c:v>46400000.000000134</c:v>
                </c:pt>
                <c:pt idx="42" formatCode="0.0000E+00">
                  <c:v>100000000</c:v>
                </c:pt>
                <c:pt idx="43">
                  <c:v>1000000000</c:v>
                </c:pt>
                <c:pt idx="44">
                  <c:v>10000000000</c:v>
                </c:pt>
              </c:numCache>
            </c:numRef>
          </c:xVal>
          <c:yVal>
            <c:numRef>
              <c:f>'Prony Fit'!$K$4:$K$48</c:f>
              <c:numCache>
                <c:formatCode>0.000</c:formatCode>
                <c:ptCount val="45"/>
                <c:pt idx="0">
                  <c:v>0.17442913459462642</c:v>
                </c:pt>
                <c:pt idx="1">
                  <c:v>1.2949463203024956</c:v>
                </c:pt>
                <c:pt idx="2">
                  <c:v>1.4072883584839344</c:v>
                </c:pt>
                <c:pt idx="3">
                  <c:v>1.5813472479532733</c:v>
                </c:pt>
                <c:pt idx="4">
                  <c:v>1.7155414087184264</c:v>
                </c:pt>
                <c:pt idx="5">
                  <c:v>2.1275739674355654</c:v>
                </c:pt>
                <c:pt idx="6">
                  <c:v>2.9861414002183411</c:v>
                </c:pt>
                <c:pt idx="7">
                  <c:v>3.8347001543482362</c:v>
                </c:pt>
                <c:pt idx="8">
                  <c:v>5.578847857824238</c:v>
                </c:pt>
                <c:pt idx="9">
                  <c:v>8.4989658822537031</c:v>
                </c:pt>
                <c:pt idx="10">
                  <c:v>11.112226899647929</c:v>
                </c:pt>
                <c:pt idx="11">
                  <c:v>16.617801559390966</c:v>
                </c:pt>
                <c:pt idx="12">
                  <c:v>27.401864602337998</c:v>
                </c:pt>
                <c:pt idx="13">
                  <c:v>38.317889145890732</c:v>
                </c:pt>
                <c:pt idx="14">
                  <c:v>57.140252402233081</c:v>
                </c:pt>
                <c:pt idx="15">
                  <c:v>70.954737030161851</c:v>
                </c:pt>
                <c:pt idx="16">
                  <c:v>87.719761710274042</c:v>
                </c:pt>
                <c:pt idx="17">
                  <c:v>98.115571792148501</c:v>
                </c:pt>
                <c:pt idx="18">
                  <c:v>108.3368883477325</c:v>
                </c:pt>
                <c:pt idx="19">
                  <c:v>133.0793794245289</c:v>
                </c:pt>
                <c:pt idx="20">
                  <c:v>170.98389944636244</c:v>
                </c:pt>
                <c:pt idx="21">
                  <c:v>173.76438075208011</c:v>
                </c:pt>
                <c:pt idx="22">
                  <c:v>186.25974470539435</c:v>
                </c:pt>
                <c:pt idx="23">
                  <c:v>216.24081652964799</c:v>
                </c:pt>
                <c:pt idx="24">
                  <c:v>203.9299201128353</c:v>
                </c:pt>
                <c:pt idx="25">
                  <c:v>197.91629944286467</c:v>
                </c:pt>
                <c:pt idx="26">
                  <c:v>218.29157389227402</c:v>
                </c:pt>
                <c:pt idx="27">
                  <c:v>212.91322538762796</c:v>
                </c:pt>
                <c:pt idx="28">
                  <c:v>205.83099932323898</c:v>
                </c:pt>
                <c:pt idx="29">
                  <c:v>229.38431432261552</c:v>
                </c:pt>
                <c:pt idx="30">
                  <c:v>219.46178308107847</c:v>
                </c:pt>
                <c:pt idx="31">
                  <c:v>191.06108935667328</c:v>
                </c:pt>
                <c:pt idx="32">
                  <c:v>195.71172593992344</c:v>
                </c:pt>
                <c:pt idx="33">
                  <c:v>188.42910106021324</c:v>
                </c:pt>
                <c:pt idx="34">
                  <c:v>178.93104130065106</c:v>
                </c:pt>
                <c:pt idx="35">
                  <c:v>197.40944678078014</c:v>
                </c:pt>
                <c:pt idx="36">
                  <c:v>183.89945722108598</c:v>
                </c:pt>
                <c:pt idx="37">
                  <c:v>146.88276016575668</c:v>
                </c:pt>
                <c:pt idx="38">
                  <c:v>138.24619362672314</c:v>
                </c:pt>
                <c:pt idx="39">
                  <c:v>140.46301431875736</c:v>
                </c:pt>
                <c:pt idx="40">
                  <c:v>174.71970602577321</c:v>
                </c:pt>
                <c:pt idx="41">
                  <c:v>101.77717805783826</c:v>
                </c:pt>
                <c:pt idx="42">
                  <c:v>51.218622753094884</c:v>
                </c:pt>
                <c:pt idx="43">
                  <c:v>5.2430746915912492</c:v>
                </c:pt>
                <c:pt idx="44">
                  <c:v>0.52443175011807619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845056"/>
        <c:axId val="140846592"/>
      </c:scatterChart>
      <c:valAx>
        <c:axId val="140845056"/>
        <c:scaling>
          <c:logBase val="10"/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Frequency, Hz.</a:t>
                </a:r>
              </a:p>
            </c:rich>
          </c:tx>
          <c:layout/>
          <c:overlay val="0"/>
        </c:title>
        <c:numFmt formatCode="0.E+0" sourceLinked="0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140846592"/>
        <c:crossesAt val="1.0000000000000002E-2"/>
        <c:crossBetween val="midCat"/>
      </c:valAx>
      <c:valAx>
        <c:axId val="140846592"/>
        <c:scaling>
          <c:logBase val="10"/>
          <c:orientation val="minMax"/>
          <c:min val="1.0000000000000002E-2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en-US" sz="1400"/>
                  <a:t>Shear &amp; Loss Modulus (MPa)</a:t>
                </a:r>
              </a:p>
            </c:rich>
          </c:tx>
          <c:layout>
            <c:manualLayout>
              <c:xMode val="edge"/>
              <c:yMode val="edge"/>
              <c:x val="7.5734652138691331E-3"/>
              <c:y val="0.24896176637714101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140845056"/>
        <c:crossesAt val="1.0000000000000004E-7"/>
        <c:crossBetween val="midCat"/>
      </c:valAx>
    </c:plotArea>
    <c:legend>
      <c:legendPos val="r"/>
      <c:layout>
        <c:manualLayout>
          <c:xMode val="edge"/>
          <c:yMode val="edge"/>
          <c:x val="0.58580096092332701"/>
          <c:y val="0.48508266363611763"/>
          <c:w val="0.20713407595193675"/>
          <c:h val="0.25021078550748166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</c:spPr>
      <c:txPr>
        <a:bodyPr/>
        <a:lstStyle/>
        <a:p>
          <a:pPr>
            <a:defRPr sz="12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US" sz="1400"/>
              <a:t>Time domain representation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3176456403351886"/>
          <c:y val="0.13231063566360501"/>
          <c:w val="0.8298332545879874"/>
          <c:h val="0.70313335966408685"/>
        </c:manualLayout>
      </c:layout>
      <c:scatterChart>
        <c:scatterStyle val="lineMarker"/>
        <c:varyColors val="0"/>
        <c:ser>
          <c:idx val="0"/>
          <c:order val="0"/>
          <c:tx>
            <c:v>Time Domain Response</c:v>
          </c:tx>
          <c:xVal>
            <c:numRef>
              <c:f>'Prony Fit'!$P$4:$P$20</c:f>
              <c:numCache>
                <c:formatCode>0.00E+00</c:formatCode>
                <c:ptCount val="17"/>
                <c:pt idx="0">
                  <c:v>9.9999999999999995E-8</c:v>
                </c:pt>
                <c:pt idx="1">
                  <c:v>9.9999999999999995E-7</c:v>
                </c:pt>
                <c:pt idx="2">
                  <c:v>1.0000000000000001E-5</c:v>
                </c:pt>
                <c:pt idx="3">
                  <c:v>1E-4</c:v>
                </c:pt>
                <c:pt idx="4">
                  <c:v>1E-3</c:v>
                </c:pt>
                <c:pt idx="5">
                  <c:v>0.01</c:v>
                </c:pt>
                <c:pt idx="6">
                  <c:v>0.1</c:v>
                </c:pt>
                <c:pt idx="7">
                  <c:v>1</c:v>
                </c:pt>
                <c:pt idx="8">
                  <c:v>10</c:v>
                </c:pt>
                <c:pt idx="9">
                  <c:v>100</c:v>
                </c:pt>
                <c:pt idx="10">
                  <c:v>1000</c:v>
                </c:pt>
                <c:pt idx="11">
                  <c:v>10000</c:v>
                </c:pt>
              </c:numCache>
            </c:numRef>
          </c:xVal>
          <c:yVal>
            <c:numRef>
              <c:f>'Prony Fit'!$Q$4:$Q$20</c:f>
              <c:numCache>
                <c:formatCode>0.0000</c:formatCode>
                <c:ptCount val="17"/>
                <c:pt idx="0">
                  <c:v>0.98690102522809486</c:v>
                </c:pt>
                <c:pt idx="1">
                  <c:v>0.91073016179781618</c:v>
                </c:pt>
                <c:pt idx="2">
                  <c:v>0.81789078141330651</c:v>
                </c:pt>
                <c:pt idx="3">
                  <c:v>0.71656981194765368</c:v>
                </c:pt>
                <c:pt idx="4">
                  <c:v>0.59945877263583736</c:v>
                </c:pt>
                <c:pt idx="5">
                  <c:v>0.47195263830301348</c:v>
                </c:pt>
                <c:pt idx="6">
                  <c:v>0.34006796810441942</c:v>
                </c:pt>
                <c:pt idx="7">
                  <c:v>0.21444880760658669</c:v>
                </c:pt>
                <c:pt idx="8">
                  <c:v>0.10578057780175232</c:v>
                </c:pt>
                <c:pt idx="9">
                  <c:v>3.9296750638043387E-2</c:v>
                </c:pt>
                <c:pt idx="10">
                  <c:v>1.4205374014434113E-2</c:v>
                </c:pt>
                <c:pt idx="11">
                  <c:v>9.609908637944975E-3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040064"/>
        <c:axId val="140881920"/>
      </c:scatterChart>
      <c:valAx>
        <c:axId val="140040064"/>
        <c:scaling>
          <c:logBase val="10"/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Time, sec.</a:t>
                </a:r>
              </a:p>
            </c:rich>
          </c:tx>
          <c:layout/>
          <c:overlay val="0"/>
        </c:title>
        <c:numFmt formatCode="0.E+0" sourceLinked="0"/>
        <c:majorTickMark val="out"/>
        <c:minorTickMark val="none"/>
        <c:tickLblPos val="nextTo"/>
        <c:crossAx val="140881920"/>
        <c:crosses val="autoZero"/>
        <c:crossBetween val="midCat"/>
      </c:valAx>
      <c:valAx>
        <c:axId val="14088192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en-US" sz="1400"/>
                  <a:t>Norm. shear modulus</a:t>
                </a:r>
              </a:p>
            </c:rich>
          </c:tx>
          <c:layout>
            <c:manualLayout>
              <c:xMode val="edge"/>
              <c:yMode val="edge"/>
              <c:x val="2.783908906511438E-2"/>
              <c:y val="0.25024228278011279"/>
            </c:manualLayout>
          </c:layout>
          <c:overlay val="0"/>
        </c:title>
        <c:numFmt formatCode="0.0" sourceLinked="0"/>
        <c:majorTickMark val="out"/>
        <c:minorTickMark val="none"/>
        <c:tickLblPos val="nextTo"/>
        <c:crossAx val="140040064"/>
        <c:crossesAt val="1.0000000000000005E-9"/>
        <c:crossBetween val="midCat"/>
      </c:valAx>
    </c:plotArea>
    <c:legend>
      <c:legendPos val="r"/>
      <c:legendEntry>
        <c:idx val="0"/>
        <c:txPr>
          <a:bodyPr/>
          <a:lstStyle/>
          <a:p>
            <a:pPr>
              <a:defRPr sz="1400"/>
            </a:pPr>
            <a:endParaRPr lang="en-US"/>
          </a:p>
        </c:txPr>
      </c:legendEntry>
      <c:layout>
        <c:manualLayout>
          <c:xMode val="edge"/>
          <c:yMode val="edge"/>
          <c:x val="0.54971552122863632"/>
          <c:y val="0.25821938569546821"/>
          <c:w val="0.35843141445690663"/>
          <c:h val="9.9903640646840167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US" sz="1400"/>
              <a:t>Frequency domain representation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0488521851320967"/>
          <c:y val="0.11342640953046468"/>
          <c:w val="0.84516112661049148"/>
          <c:h val="0.74550407868732782"/>
        </c:manualLayout>
      </c:layout>
      <c:scatterChart>
        <c:scatterStyle val="lineMarker"/>
        <c:varyColors val="0"/>
        <c:ser>
          <c:idx val="2"/>
          <c:order val="0"/>
          <c:tx>
            <c:v>Gs Test Data</c:v>
          </c:tx>
          <c:spPr>
            <a:ln>
              <a:noFill/>
            </a:ln>
          </c:spPr>
          <c:marker>
            <c:symbol val="diamond"/>
            <c:size val="5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</c:spPr>
          </c:marker>
          <c:xVal>
            <c:numRef>
              <c:f>'Prony Fit'!$F$6:$F$46</c:f>
              <c:numCache>
                <c:formatCode>0.0000E+00</c:formatCode>
                <c:ptCount val="41"/>
                <c:pt idx="0">
                  <c:v>6.3095734448019212E-6</c:v>
                </c:pt>
                <c:pt idx="1">
                  <c:v>1.3881061578564237E-5</c:v>
                </c:pt>
                <c:pt idx="2">
                  <c:v>2.9024037846088861E-5</c:v>
                </c:pt>
                <c:pt idx="3">
                  <c:v>6.3095734448019279E-5</c:v>
                </c:pt>
                <c:pt idx="4">
                  <c:v>1.3881061578564229E-4</c:v>
                </c:pt>
                <c:pt idx="5">
                  <c:v>2.9024037846088892E-4</c:v>
                </c:pt>
                <c:pt idx="6">
                  <c:v>6.3095734448019244E-4</c:v>
                </c:pt>
                <c:pt idx="7">
                  <c:v>1.3565582906324136E-3</c:v>
                </c:pt>
                <c:pt idx="8">
                  <c:v>2.5118864315095777E-3</c:v>
                </c:pt>
                <c:pt idx="9">
                  <c:v>5.400555827745593E-3</c:v>
                </c:pt>
                <c:pt idx="10">
                  <c:v>1.2589254117941664E-2</c:v>
                </c:pt>
                <c:pt idx="11">
                  <c:v>2.7066896353574597E-2</c:v>
                </c:pt>
                <c:pt idx="12">
                  <c:v>5.8414139107249366E-2</c:v>
                </c:pt>
                <c:pt idx="13">
                  <c:v>8.5606928002003368E-2</c:v>
                </c:pt>
                <c:pt idx="14">
                  <c:v>0.13881061578564249</c:v>
                </c:pt>
                <c:pt idx="15">
                  <c:v>0.21999999999999997</c:v>
                </c:pt>
                <c:pt idx="16">
                  <c:v>0.36856830091206649</c:v>
                </c:pt>
                <c:pt idx="17">
                  <c:v>0.67999999999999994</c:v>
                </c:pt>
                <c:pt idx="18">
                  <c:v>1.5</c:v>
                </c:pt>
                <c:pt idx="19">
                  <c:v>3.2000000000000006</c:v>
                </c:pt>
                <c:pt idx="20">
                  <c:v>6.8000000000000007</c:v>
                </c:pt>
                <c:pt idx="21">
                  <c:v>18.312929845460879</c:v>
                </c:pt>
                <c:pt idx="22">
                  <c:v>31.600000000000012</c:v>
                </c:pt>
                <c:pt idx="23">
                  <c:v>59.71607558302464</c:v>
                </c:pt>
                <c:pt idx="24">
                  <c:v>127.39429457711913</c:v>
                </c:pt>
                <c:pt idx="25">
                  <c:v>270.71287597637831</c:v>
                </c:pt>
                <c:pt idx="26">
                  <c:v>556.02976430699744</c:v>
                </c:pt>
                <c:pt idx="27">
                  <c:v>1191.4923520864234</c:v>
                </c:pt>
                <c:pt idx="28">
                  <c:v>2541.8503511177009</c:v>
                </c:pt>
                <c:pt idx="29">
                  <c:v>5401.4319961251185</c:v>
                </c:pt>
                <c:pt idx="30">
                  <c:v>11914.923520864215</c:v>
                </c:pt>
                <c:pt idx="31">
                  <c:v>25418.503511177038</c:v>
                </c:pt>
                <c:pt idx="32">
                  <c:v>54014.319961251145</c:v>
                </c:pt>
                <c:pt idx="33">
                  <c:v>115971.92226974518</c:v>
                </c:pt>
                <c:pt idx="34">
                  <c:v>251007.72217287341</c:v>
                </c:pt>
                <c:pt idx="35">
                  <c:v>540143.19961251202</c:v>
                </c:pt>
                <c:pt idx="36">
                  <c:v>1500000.0000000037</c:v>
                </c:pt>
                <c:pt idx="37">
                  <c:v>4600000.0000000093</c:v>
                </c:pt>
                <c:pt idx="38">
                  <c:v>14600000.000000028</c:v>
                </c:pt>
                <c:pt idx="39">
                  <c:v>46400000.000000134</c:v>
                </c:pt>
                <c:pt idx="40">
                  <c:v>100000000</c:v>
                </c:pt>
              </c:numCache>
            </c:numRef>
          </c:xVal>
          <c:yVal>
            <c:numRef>
              <c:f>'Prony Fit'!$G$6:$G$46</c:f>
              <c:numCache>
                <c:formatCode>0.00000000</c:formatCode>
                <c:ptCount val="41"/>
                <c:pt idx="0">
                  <c:v>9.2533480000000008</c:v>
                </c:pt>
                <c:pt idx="1">
                  <c:v>9.8949809999999996</c:v>
                </c:pt>
                <c:pt idx="2" formatCode="0.0000000">
                  <c:v>10.75249</c:v>
                </c:pt>
                <c:pt idx="3" formatCode="0.0000000">
                  <c:v>11.70074</c:v>
                </c:pt>
                <c:pt idx="4" formatCode="0.0000000">
                  <c:v>12.753500000000001</c:v>
                </c:pt>
                <c:pt idx="5" formatCode="0.0000000">
                  <c:v>14.00217</c:v>
                </c:pt>
                <c:pt idx="6" formatCode="0.0000000">
                  <c:v>15.74677</c:v>
                </c:pt>
                <c:pt idx="7" formatCode="0.0000000">
                  <c:v>18.40692</c:v>
                </c:pt>
                <c:pt idx="8" formatCode="0.0000000">
                  <c:v>21.028659999999999</c:v>
                </c:pt>
                <c:pt idx="9" formatCode="0.0000000">
                  <c:v>26.229649999999999</c:v>
                </c:pt>
                <c:pt idx="10" formatCode="0.0000000">
                  <c:v>34.3065</c:v>
                </c:pt>
                <c:pt idx="11" formatCode="0.0000000">
                  <c:v>47.036020000000001</c:v>
                </c:pt>
                <c:pt idx="12" formatCode="0.0000000">
                  <c:v>66.214699999999993</c:v>
                </c:pt>
                <c:pt idx="13" formatCode="0.0000000">
                  <c:v>82.694180000000003</c:v>
                </c:pt>
                <c:pt idx="14" formatCode="0.000000">
                  <c:v>106.28270000000001</c:v>
                </c:pt>
                <c:pt idx="15" formatCode="0.000000">
                  <c:v>128.88489999999999</c:v>
                </c:pt>
                <c:pt idx="16" formatCode="0.000000">
                  <c:v>159.84639999999999</c:v>
                </c:pt>
                <c:pt idx="17" formatCode="0.000000">
                  <c:v>215.51169999999999</c:v>
                </c:pt>
                <c:pt idx="18" formatCode="0.000000">
                  <c:v>288.8802</c:v>
                </c:pt>
                <c:pt idx="19" formatCode="0.000000">
                  <c:v>369.19830000000002</c:v>
                </c:pt>
                <c:pt idx="20" formatCode="0.000000">
                  <c:v>456.12299999999999</c:v>
                </c:pt>
                <c:pt idx="21" formatCode="0.000000">
                  <c:v>577.97180000000003</c:v>
                </c:pt>
                <c:pt idx="22" formatCode="0.000000">
                  <c:v>643.90800000000002</c:v>
                </c:pt>
                <c:pt idx="23" formatCode="0.000000">
                  <c:v>723.61030000000005</c:v>
                </c:pt>
                <c:pt idx="24" formatCode="0.000000">
                  <c:v>811.76710000000003</c:v>
                </c:pt>
                <c:pt idx="25" formatCode="0.000000">
                  <c:v>898.55489999999998</c:v>
                </c:pt>
                <c:pt idx="26" formatCode="0.00000">
                  <c:v>1003.414</c:v>
                </c:pt>
                <c:pt idx="27" formatCode="0.00000">
                  <c:v>1110.02</c:v>
                </c:pt>
                <c:pt idx="28" formatCode="0.00000">
                  <c:v>1210.2940000000001</c:v>
                </c:pt>
                <c:pt idx="29" formatCode="0.00000">
                  <c:v>1304.481</c:v>
                </c:pt>
                <c:pt idx="30" formatCode="0.00000">
                  <c:v>1395.328</c:v>
                </c:pt>
                <c:pt idx="31" formatCode="0.00000">
                  <c:v>1480.018</c:v>
                </c:pt>
                <c:pt idx="32" formatCode="0.00000">
                  <c:v>1562.296</c:v>
                </c:pt>
                <c:pt idx="33" formatCode="0.00000">
                  <c:v>1643.249</c:v>
                </c:pt>
                <c:pt idx="34" formatCode="0.00000">
                  <c:v>1724.9110000000001</c:v>
                </c:pt>
                <c:pt idx="35" formatCode="0.00000">
                  <c:v>1801.5840000000001</c:v>
                </c:pt>
                <c:pt idx="36" formatCode="0.00000">
                  <c:v>1877.809</c:v>
                </c:pt>
                <c:pt idx="37" formatCode="0.00000">
                  <c:v>1966.98</c:v>
                </c:pt>
                <c:pt idx="38" formatCode="0.00000">
                  <c:v>2056.576</c:v>
                </c:pt>
                <c:pt idx="39" formatCode="0.00000">
                  <c:v>2145.627</c:v>
                </c:pt>
                <c:pt idx="40" formatCode="0.00000">
                  <c:v>2180.3760000000002</c:v>
                </c:pt>
              </c:numCache>
            </c:numRef>
          </c:yVal>
          <c:smooth val="0"/>
        </c:ser>
        <c:ser>
          <c:idx val="3"/>
          <c:order val="1"/>
          <c:tx>
            <c:v>Gl Test Data</c:v>
          </c:tx>
          <c:spPr>
            <a:ln w="28575">
              <a:noFill/>
            </a:ln>
          </c:spPr>
          <c:marker>
            <c:symbol val="diamond"/>
            <c:size val="4"/>
            <c:spPr>
              <a:solidFill>
                <a:schemeClr val="accent1"/>
              </a:solidFill>
              <a:ln>
                <a:solidFill>
                  <a:schemeClr val="accent1"/>
                </a:solidFill>
              </a:ln>
            </c:spPr>
          </c:marker>
          <c:xVal>
            <c:numRef>
              <c:f>'Prony Fit'!$F$6:$F$46</c:f>
              <c:numCache>
                <c:formatCode>0.0000E+00</c:formatCode>
                <c:ptCount val="41"/>
                <c:pt idx="0">
                  <c:v>6.3095734448019212E-6</c:v>
                </c:pt>
                <c:pt idx="1">
                  <c:v>1.3881061578564237E-5</c:v>
                </c:pt>
                <c:pt idx="2">
                  <c:v>2.9024037846088861E-5</c:v>
                </c:pt>
                <c:pt idx="3">
                  <c:v>6.3095734448019279E-5</c:v>
                </c:pt>
                <c:pt idx="4">
                  <c:v>1.3881061578564229E-4</c:v>
                </c:pt>
                <c:pt idx="5">
                  <c:v>2.9024037846088892E-4</c:v>
                </c:pt>
                <c:pt idx="6">
                  <c:v>6.3095734448019244E-4</c:v>
                </c:pt>
                <c:pt idx="7">
                  <c:v>1.3565582906324136E-3</c:v>
                </c:pt>
                <c:pt idx="8">
                  <c:v>2.5118864315095777E-3</c:v>
                </c:pt>
                <c:pt idx="9">
                  <c:v>5.400555827745593E-3</c:v>
                </c:pt>
                <c:pt idx="10">
                  <c:v>1.2589254117941664E-2</c:v>
                </c:pt>
                <c:pt idx="11">
                  <c:v>2.7066896353574597E-2</c:v>
                </c:pt>
                <c:pt idx="12">
                  <c:v>5.8414139107249366E-2</c:v>
                </c:pt>
                <c:pt idx="13">
                  <c:v>8.5606928002003368E-2</c:v>
                </c:pt>
                <c:pt idx="14">
                  <c:v>0.13881061578564249</c:v>
                </c:pt>
                <c:pt idx="15">
                  <c:v>0.21999999999999997</c:v>
                </c:pt>
                <c:pt idx="16">
                  <c:v>0.36856830091206649</c:v>
                </c:pt>
                <c:pt idx="17">
                  <c:v>0.67999999999999994</c:v>
                </c:pt>
                <c:pt idx="18">
                  <c:v>1.5</c:v>
                </c:pt>
                <c:pt idx="19">
                  <c:v>3.2000000000000006</c:v>
                </c:pt>
                <c:pt idx="20">
                  <c:v>6.8000000000000007</c:v>
                </c:pt>
                <c:pt idx="21">
                  <c:v>18.312929845460879</c:v>
                </c:pt>
                <c:pt idx="22">
                  <c:v>31.600000000000012</c:v>
                </c:pt>
                <c:pt idx="23">
                  <c:v>59.71607558302464</c:v>
                </c:pt>
                <c:pt idx="24">
                  <c:v>127.39429457711913</c:v>
                </c:pt>
                <c:pt idx="25">
                  <c:v>270.71287597637831</c:v>
                </c:pt>
                <c:pt idx="26">
                  <c:v>556.02976430699744</c:v>
                </c:pt>
                <c:pt idx="27">
                  <c:v>1191.4923520864234</c:v>
                </c:pt>
                <c:pt idx="28">
                  <c:v>2541.8503511177009</c:v>
                </c:pt>
                <c:pt idx="29">
                  <c:v>5401.4319961251185</c:v>
                </c:pt>
                <c:pt idx="30">
                  <c:v>11914.923520864215</c:v>
                </c:pt>
                <c:pt idx="31">
                  <c:v>25418.503511177038</c:v>
                </c:pt>
                <c:pt idx="32">
                  <c:v>54014.319961251145</c:v>
                </c:pt>
                <c:pt idx="33">
                  <c:v>115971.92226974518</c:v>
                </c:pt>
                <c:pt idx="34">
                  <c:v>251007.72217287341</c:v>
                </c:pt>
                <c:pt idx="35">
                  <c:v>540143.19961251202</c:v>
                </c:pt>
                <c:pt idx="36">
                  <c:v>1500000.0000000037</c:v>
                </c:pt>
                <c:pt idx="37">
                  <c:v>4600000.0000000093</c:v>
                </c:pt>
                <c:pt idx="38">
                  <c:v>14600000.000000028</c:v>
                </c:pt>
                <c:pt idx="39">
                  <c:v>46400000.000000134</c:v>
                </c:pt>
                <c:pt idx="40">
                  <c:v>100000000</c:v>
                </c:pt>
              </c:numCache>
            </c:numRef>
          </c:xVal>
          <c:yVal>
            <c:numRef>
              <c:f>'Prony Fit'!$H$6:$H$46</c:f>
              <c:numCache>
                <c:formatCode>0.0000</c:formatCode>
                <c:ptCount val="41"/>
                <c:pt idx="0">
                  <c:v>1.373254</c:v>
                </c:pt>
                <c:pt idx="1">
                  <c:v>1.54061</c:v>
                </c:pt>
                <c:pt idx="2">
                  <c:v>1.7984899999999999</c:v>
                </c:pt>
                <c:pt idx="3">
                  <c:v>2.202979</c:v>
                </c:pt>
                <c:pt idx="4">
                  <c:v>2.8425980000000002</c:v>
                </c:pt>
                <c:pt idx="5">
                  <c:v>3.8197380000000001</c:v>
                </c:pt>
                <c:pt idx="6">
                  <c:v>5.5310600000000001</c:v>
                </c:pt>
                <c:pt idx="7">
                  <c:v>8.6757179999999998</c:v>
                </c:pt>
                <c:pt idx="8">
                  <c:v>11.242470000000001</c:v>
                </c:pt>
                <c:pt idx="9">
                  <c:v>17.68216</c:v>
                </c:pt>
                <c:pt idx="10">
                  <c:v>26.311520000000002</c:v>
                </c:pt>
                <c:pt idx="11">
                  <c:v>40.149410000000003</c:v>
                </c:pt>
                <c:pt idx="12">
                  <c:v>58.72251</c:v>
                </c:pt>
                <c:pt idx="13">
                  <c:v>70.440939999999998</c:v>
                </c:pt>
                <c:pt idx="14">
                  <c:v>85.75788</c:v>
                </c:pt>
                <c:pt idx="15">
                  <c:v>99.651840000000007</c:v>
                </c:pt>
                <c:pt idx="16">
                  <c:v>120.6722</c:v>
                </c:pt>
                <c:pt idx="17">
                  <c:v>137.9513</c:v>
                </c:pt>
                <c:pt idx="18">
                  <c:v>162.28559999999999</c:v>
                </c:pt>
                <c:pt idx="19">
                  <c:v>182.34350000000001</c:v>
                </c:pt>
                <c:pt idx="20">
                  <c:v>198.3502</c:v>
                </c:pt>
                <c:pt idx="21">
                  <c:v>201.3202</c:v>
                </c:pt>
                <c:pt idx="22">
                  <c:v>219.5342</c:v>
                </c:pt>
                <c:pt idx="23">
                  <c:v>205.49760000000001</c:v>
                </c:pt>
                <c:pt idx="24">
                  <c:v>205.13499999999999</c:v>
                </c:pt>
                <c:pt idx="25">
                  <c:v>203.3218</c:v>
                </c:pt>
                <c:pt idx="26">
                  <c:v>224.62479999999999</c:v>
                </c:pt>
                <c:pt idx="27">
                  <c:v>214.2122</c:v>
                </c:pt>
                <c:pt idx="28">
                  <c:v>203.24809999999999</c:v>
                </c:pt>
                <c:pt idx="29">
                  <c:v>193.91489999999999</c:v>
                </c:pt>
                <c:pt idx="30">
                  <c:v>186.58260000000001</c:v>
                </c:pt>
                <c:pt idx="31">
                  <c:v>179.56540000000001</c:v>
                </c:pt>
                <c:pt idx="32">
                  <c:v>175.7621</c:v>
                </c:pt>
                <c:pt idx="33">
                  <c:v>172.90360000000001</c:v>
                </c:pt>
                <c:pt idx="34">
                  <c:v>171.94540000000001</c:v>
                </c:pt>
                <c:pt idx="35">
                  <c:v>169.36510000000001</c:v>
                </c:pt>
                <c:pt idx="36">
                  <c:v>129.7192</c:v>
                </c:pt>
                <c:pt idx="37">
                  <c:v>125.2085</c:v>
                </c:pt>
                <c:pt idx="38">
                  <c:v>124.0275</c:v>
                </c:pt>
                <c:pt idx="39">
                  <c:v>124.6859</c:v>
                </c:pt>
                <c:pt idx="40">
                  <c:v>128.73769999999999</c:v>
                </c:pt>
              </c:numCache>
            </c:numRef>
          </c:yVal>
          <c:smooth val="0"/>
        </c:ser>
        <c:ser>
          <c:idx val="0"/>
          <c:order val="2"/>
          <c:tx>
            <c:v>Gs from Abaqus_SSD</c:v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xVal>
            <c:numRef>
              <c:f>Abaqus_SSD_Analysis!$A$4:$A$302</c:f>
              <c:numCache>
                <c:formatCode>0.00E+00</c:formatCode>
                <c:ptCount val="299"/>
                <c:pt idx="0">
                  <c:v>1.00000001E-7</c:v>
                </c:pt>
                <c:pt idx="1">
                  <c:v>1.29930882E-7</c:v>
                </c:pt>
                <c:pt idx="2">
                  <c:v>1.4810460400000001E-7</c:v>
                </c:pt>
                <c:pt idx="3">
                  <c:v>1.68820335E-7</c:v>
                </c:pt>
                <c:pt idx="4">
                  <c:v>1.92433617E-7</c:v>
                </c:pt>
                <c:pt idx="5">
                  <c:v>2.1934974400000001E-7</c:v>
                </c:pt>
                <c:pt idx="6">
                  <c:v>2.50030695E-7</c:v>
                </c:pt>
                <c:pt idx="7">
                  <c:v>2.8500303999999999E-7</c:v>
                </c:pt>
                <c:pt idx="8">
                  <c:v>3.24867074E-7</c:v>
                </c:pt>
                <c:pt idx="9">
                  <c:v>3.7030696399999998E-7</c:v>
                </c:pt>
                <c:pt idx="10">
                  <c:v>4.2210263000000001E-7</c:v>
                </c:pt>
                <c:pt idx="11">
                  <c:v>4.8114310400000002E-7</c:v>
                </c:pt>
                <c:pt idx="12">
                  <c:v>5.48441676E-7</c:v>
                </c:pt>
                <c:pt idx="13">
                  <c:v>6.2515346100000002E-7</c:v>
                </c:pt>
                <c:pt idx="14">
                  <c:v>7.1259506699999996E-7</c:v>
                </c:pt>
                <c:pt idx="15">
                  <c:v>8.1226733100000001E-7</c:v>
                </c:pt>
                <c:pt idx="16">
                  <c:v>9.2588101100000004E-7</c:v>
                </c:pt>
                <c:pt idx="17">
                  <c:v>1.0553860599999999E-6</c:v>
                </c:pt>
                <c:pt idx="18">
                  <c:v>1.2030053500000001E-6</c:v>
                </c:pt>
                <c:pt idx="19">
                  <c:v>1.3712724499999999E-6</c:v>
                </c:pt>
                <c:pt idx="20">
                  <c:v>1.56307544E-6</c:v>
                </c:pt>
                <c:pt idx="21">
                  <c:v>1.7817063700000001E-6</c:v>
                </c:pt>
                <c:pt idx="22">
                  <c:v>2.03091759E-6</c:v>
                </c:pt>
                <c:pt idx="23">
                  <c:v>2.3149866600000002E-6</c:v>
                </c:pt>
                <c:pt idx="24">
                  <c:v>2.6387890600000002E-6</c:v>
                </c:pt>
                <c:pt idx="25">
                  <c:v>3.0078824700000002E-6</c:v>
                </c:pt>
                <c:pt idx="26">
                  <c:v>3.4286017600000001E-6</c:v>
                </c:pt>
                <c:pt idx="27">
                  <c:v>3.9081683099999997E-6</c:v>
                </c:pt>
                <c:pt idx="28">
                  <c:v>4.4548123699999999E-6</c:v>
                </c:pt>
                <c:pt idx="29">
                  <c:v>5.07791719E-6</c:v>
                </c:pt>
                <c:pt idx="30">
                  <c:v>5.7881770799999998E-6</c:v>
                </c:pt>
                <c:pt idx="31">
                  <c:v>6.5977824299999998E-6</c:v>
                </c:pt>
                <c:pt idx="32">
                  <c:v>7.52062942E-6</c:v>
                </c:pt>
                <c:pt idx="33">
                  <c:v>8.5725569100000005E-6</c:v>
                </c:pt>
                <c:pt idx="34">
                  <c:v>9.7716192600000006E-6</c:v>
                </c:pt>
                <c:pt idx="35">
                  <c:v>1.11383979E-5</c:v>
                </c:pt>
                <c:pt idx="36">
                  <c:v>1.26963514E-5</c:v>
                </c:pt>
                <c:pt idx="37">
                  <c:v>1.44722189E-5</c:v>
                </c:pt>
                <c:pt idx="38">
                  <c:v>1.6496480399999999E-5</c:v>
                </c:pt>
                <c:pt idx="39">
                  <c:v>1.8803881199999999E-5</c:v>
                </c:pt>
                <c:pt idx="40">
                  <c:v>2.1434021599999999E-5</c:v>
                </c:pt>
                <c:pt idx="41">
                  <c:v>2.4432047200000001E-5</c:v>
                </c:pt>
                <c:pt idx="42">
                  <c:v>2.7849413500000002E-5</c:v>
                </c:pt>
                <c:pt idx="43">
                  <c:v>3.1744773899999999E-5</c:v>
                </c:pt>
                <c:pt idx="44">
                  <c:v>3.6184988899999998E-5</c:v>
                </c:pt>
                <c:pt idx="45">
                  <c:v>4.1246265000000003E-5</c:v>
                </c:pt>
                <c:pt idx="46">
                  <c:v>4.7015473699999998E-5</c:v>
                </c:pt>
                <c:pt idx="47">
                  <c:v>5.3591633300000002E-5</c:v>
                </c:pt>
                <c:pt idx="48">
                  <c:v>6.1087615900000007E-5</c:v>
                </c:pt>
                <c:pt idx="49">
                  <c:v>6.9632078499999998E-5</c:v>
                </c:pt>
                <c:pt idx="50">
                  <c:v>7.9371675400000002E-5</c:v>
                </c:pt>
                <c:pt idx="51">
                  <c:v>9.0473571599999998E-5</c:v>
                </c:pt>
                <c:pt idx="52">
                  <c:v>1.03128317E-4</c:v>
                </c:pt>
                <c:pt idx="53">
                  <c:v>1.17553107E-4</c:v>
                </c:pt>
                <c:pt idx="54">
                  <c:v>1.3399551999999999E-4</c:v>
                </c:pt>
                <c:pt idx="55">
                  <c:v>1.5273779E-4</c:v>
                </c:pt>
                <c:pt idx="56">
                  <c:v>1.7410155900000001E-4</c:v>
                </c:pt>
                <c:pt idx="57">
                  <c:v>1.98453548E-4</c:v>
                </c:pt>
                <c:pt idx="58">
                  <c:v>2.2621168999999999E-4</c:v>
                </c:pt>
                <c:pt idx="59">
                  <c:v>2.57852429E-4</c:v>
                </c:pt>
                <c:pt idx="60">
                  <c:v>2.93918827E-4</c:v>
                </c:pt>
                <c:pt idx="61">
                  <c:v>3.3502993800000003E-4</c:v>
                </c:pt>
                <c:pt idx="62">
                  <c:v>3.8189132499999998E-4</c:v>
                </c:pt>
                <c:pt idx="63">
                  <c:v>4.3530733099999999E-4</c:v>
                </c:pt>
                <c:pt idx="64">
                  <c:v>4.9619475599999995E-4</c:v>
                </c:pt>
                <c:pt idx="65">
                  <c:v>5.6559866100000002E-4</c:v>
                </c:pt>
                <c:pt idx="66">
                  <c:v>6.4471020599999999E-4</c:v>
                </c:pt>
                <c:pt idx="67">
                  <c:v>7.3488725999999998E-4</c:v>
                </c:pt>
                <c:pt idx="68">
                  <c:v>8.37677624E-4</c:v>
                </c:pt>
                <c:pt idx="69">
                  <c:v>9.5484551299999997E-4</c:v>
                </c:pt>
                <c:pt idx="70">
                  <c:v>1.0884018800000001E-3</c:v>
                </c:pt>
                <c:pt idx="71">
                  <c:v>1.2406391299999999E-3</c:v>
                </c:pt>
                <c:pt idx="72">
                  <c:v>1.4141701400000001E-3</c:v>
                </c:pt>
                <c:pt idx="73">
                  <c:v>1.61197339E-3</c:v>
                </c:pt>
                <c:pt idx="74">
                  <c:v>1.8374436799999999E-3</c:v>
                </c:pt>
                <c:pt idx="75">
                  <c:v>2.0944511100000002E-3</c:v>
                </c:pt>
                <c:pt idx="76">
                  <c:v>2.3874067699999999E-3</c:v>
                </c:pt>
                <c:pt idx="77">
                  <c:v>2.7213387700000002E-3</c:v>
                </c:pt>
                <c:pt idx="78">
                  <c:v>3.1019786799999999E-3</c:v>
                </c:pt>
                <c:pt idx="79">
                  <c:v>3.5358592899999998E-3</c:v>
                </c:pt>
                <c:pt idx="80">
                  <c:v>4.0304279000000004E-3</c:v>
                </c:pt>
                <c:pt idx="81">
                  <c:v>4.5941732799999998E-3</c:v>
                </c:pt>
                <c:pt idx="82">
                  <c:v>5.2367704899999997E-3</c:v>
                </c:pt>
                <c:pt idx="83">
                  <c:v>5.9692496400000003E-3</c:v>
                </c:pt>
                <c:pt idx="84">
                  <c:v>6.8041821899999999E-3</c:v>
                </c:pt>
                <c:pt idx="85">
                  <c:v>7.7558983999999999E-3</c:v>
                </c:pt>
                <c:pt idx="86">
                  <c:v>8.84073321E-3</c:v>
                </c:pt>
                <c:pt idx="87">
                  <c:v>1.0077307000000001E-2</c:v>
                </c:pt>
                <c:pt idx="88">
                  <c:v>1.1486842299999999E-2</c:v>
                </c:pt>
                <c:pt idx="89">
                  <c:v>1.3093532999999999E-2</c:v>
                </c:pt>
                <c:pt idx="90">
                  <c:v>1.49249556E-2</c:v>
                </c:pt>
                <c:pt idx="91">
                  <c:v>1.70125421E-2</c:v>
                </c:pt>
                <c:pt idx="92">
                  <c:v>1.93921253E-2</c:v>
                </c:pt>
                <c:pt idx="93">
                  <c:v>2.2104546400000001E-2</c:v>
                </c:pt>
                <c:pt idx="94">
                  <c:v>2.51963586E-2</c:v>
                </c:pt>
                <c:pt idx="95">
                  <c:v>2.8720630300000001E-2</c:v>
                </c:pt>
                <c:pt idx="96">
                  <c:v>3.27378511E-2</c:v>
                </c:pt>
                <c:pt idx="97">
                  <c:v>3.7316966799999997E-2</c:v>
                </c:pt>
                <c:pt idx="98">
                  <c:v>4.2536579099999999E-2</c:v>
                </c:pt>
                <c:pt idx="99">
                  <c:v>4.8486266299999997E-2</c:v>
                </c:pt>
                <c:pt idx="100">
                  <c:v>5.5268149799999999E-2</c:v>
                </c:pt>
                <c:pt idx="101">
                  <c:v>6.2998630099999994E-2</c:v>
                </c:pt>
                <c:pt idx="102">
                  <c:v>7.1810394499999999E-2</c:v>
                </c:pt>
                <c:pt idx="103">
                  <c:v>8.1854671200000007E-2</c:v>
                </c:pt>
                <c:pt idx="104">
                  <c:v>9.3303874100000003E-2</c:v>
                </c:pt>
                <c:pt idx="105">
                  <c:v>0.10635449700000001</c:v>
                </c:pt>
                <c:pt idx="106">
                  <c:v>0.121230543</c:v>
                </c:pt>
                <c:pt idx="107">
                  <c:v>0.138187334</c:v>
                </c:pt>
                <c:pt idx="108">
                  <c:v>0.15751589799999999</c:v>
                </c:pt>
                <c:pt idx="109">
                  <c:v>0.17954801000000001</c:v>
                </c:pt>
                <c:pt idx="110">
                  <c:v>0.204661801</c:v>
                </c:pt>
                <c:pt idx="111">
                  <c:v>0.233288303</c:v>
                </c:pt>
                <c:pt idx="112">
                  <c:v>0.265918881</c:v>
                </c:pt>
                <c:pt idx="113">
                  <c:v>0.30311355000000001</c:v>
                </c:pt>
                <c:pt idx="114">
                  <c:v>0.34551072100000002</c:v>
                </c:pt>
                <c:pt idx="115">
                  <c:v>0.39383810800000002</c:v>
                </c:pt>
                <c:pt idx="116">
                  <c:v>0.448925138</c:v>
                </c:pt>
                <c:pt idx="117">
                  <c:v>0.51171731899999995</c:v>
                </c:pt>
                <c:pt idx="118">
                  <c:v>0.58329236500000003</c:v>
                </c:pt>
                <c:pt idx="119">
                  <c:v>0.66487878600000005</c:v>
                </c:pt>
                <c:pt idx="120">
                  <c:v>0.75787687299999995</c:v>
                </c:pt>
                <c:pt idx="121">
                  <c:v>0.86388284000000004</c:v>
                </c:pt>
                <c:pt idx="122">
                  <c:v>0.98471611699999995</c:v>
                </c:pt>
                <c:pt idx="123">
                  <c:v>1.1224505899999999</c:v>
                </c:pt>
                <c:pt idx="124">
                  <c:v>1.2794502999999999</c:v>
                </c:pt>
                <c:pt idx="125">
                  <c:v>1.4584099100000001</c:v>
                </c:pt>
                <c:pt idx="126">
                  <c:v>1.66240096</c:v>
                </c:pt>
                <c:pt idx="127">
                  <c:v>1.8949247600000001</c:v>
                </c:pt>
                <c:pt idx="128">
                  <c:v>2.15997219</c:v>
                </c:pt>
                <c:pt idx="129">
                  <c:v>2.4620924</c:v>
                </c:pt>
                <c:pt idx="130">
                  <c:v>2.8064708700000001</c:v>
                </c:pt>
                <c:pt idx="131">
                  <c:v>3.19901824</c:v>
                </c:pt>
                <c:pt idx="132">
                  <c:v>3.6464722200000002</c:v>
                </c:pt>
                <c:pt idx="133">
                  <c:v>4.1565127400000002</c:v>
                </c:pt>
                <c:pt idx="134">
                  <c:v>4.7378935799999997</c:v>
                </c:pt>
                <c:pt idx="135">
                  <c:v>5.4005932799999998</c:v>
                </c:pt>
                <c:pt idx="136">
                  <c:v>6.1559863100000003</c:v>
                </c:pt>
                <c:pt idx="137">
                  <c:v>7.01703835</c:v>
                </c:pt>
                <c:pt idx="138">
                  <c:v>7.9985275299999996</c:v>
                </c:pt>
                <c:pt idx="139">
                  <c:v>9.1172990800000004</c:v>
                </c:pt>
                <c:pt idx="140">
                  <c:v>10.392557099999999</c:v>
                </c:pt>
                <c:pt idx="141">
                  <c:v>11.8461876</c:v>
                </c:pt>
                <c:pt idx="142">
                  <c:v>13.503140399999999</c:v>
                </c:pt>
                <c:pt idx="143">
                  <c:v>15.3918552</c:v>
                </c:pt>
                <c:pt idx="144">
                  <c:v>17.544748299999998</c:v>
                </c:pt>
                <c:pt idx="145">
                  <c:v>19.9987736</c:v>
                </c:pt>
                <c:pt idx="146">
                  <c:v>22.7960472</c:v>
                </c:pt>
                <c:pt idx="147">
                  <c:v>25.984580999999999</c:v>
                </c:pt>
                <c:pt idx="148">
                  <c:v>29.6191025</c:v>
                </c:pt>
                <c:pt idx="149">
                  <c:v>33.761993400000001</c:v>
                </c:pt>
                <c:pt idx="150" formatCode="General">
                  <c:v>38.484359699999999</c:v>
                </c:pt>
                <c:pt idx="151" formatCode="General">
                  <c:v>43.8672562</c:v>
                </c:pt>
                <c:pt idx="152" formatCode="General">
                  <c:v>50.003067000000001</c:v>
                </c:pt>
                <c:pt idx="153" formatCode="General">
                  <c:v>56.997112299999998</c:v>
                </c:pt>
                <c:pt idx="154" formatCode="General">
                  <c:v>64.969429000000005</c:v>
                </c:pt>
                <c:pt idx="155" formatCode="General">
                  <c:v>74.0568466</c:v>
                </c:pt>
                <c:pt idx="156" formatCode="General">
                  <c:v>84.415344200000007</c:v>
                </c:pt>
                <c:pt idx="157" formatCode="General">
                  <c:v>96.222709699999996</c:v>
                </c:pt>
                <c:pt idx="158" formatCode="General">
                  <c:v>109.681602</c:v>
                </c:pt>
                <c:pt idx="159" formatCode="General">
                  <c:v>125.02301799999999</c:v>
                </c:pt>
                <c:pt idx="160" formatCode="General">
                  <c:v>142.51026899999999</c:v>
                </c:pt>
                <c:pt idx="161" formatCode="General">
                  <c:v>162.44349700000001</c:v>
                </c:pt>
                <c:pt idx="162" formatCode="General">
                  <c:v>185.164841</c:v>
                </c:pt>
                <c:pt idx="163" formatCode="General">
                  <c:v>211.06426999999999</c:v>
                </c:pt>
                <c:pt idx="164" formatCode="General">
                  <c:v>240.58630400000001</c:v>
                </c:pt>
                <c:pt idx="165" formatCode="General">
                  <c:v>274.23767099999998</c:v>
                </c:pt>
                <c:pt idx="166" formatCode="General">
                  <c:v>312.59588600000001</c:v>
                </c:pt>
                <c:pt idx="167" formatCode="General">
                  <c:v>356.31939699999998</c:v>
                </c:pt>
                <c:pt idx="168" formatCode="General">
                  <c:v>406.15859999999998</c:v>
                </c:pt>
                <c:pt idx="169" formatCode="General">
                  <c:v>462.96893299999999</c:v>
                </c:pt>
                <c:pt idx="170" formatCode="General">
                  <c:v>527.72546399999999</c:v>
                </c:pt>
                <c:pt idx="171" formatCode="General">
                  <c:v>601.53961200000003</c:v>
                </c:pt>
                <c:pt idx="172" formatCode="General">
                  <c:v>685.67828399999996</c:v>
                </c:pt>
                <c:pt idx="173" formatCode="General">
                  <c:v>781.58569299999999</c:v>
                </c:pt>
                <c:pt idx="174" formatCode="General">
                  <c:v>890.90783699999997</c:v>
                </c:pt>
                <c:pt idx="175" formatCode="General">
                  <c:v>1015.52112</c:v>
                </c:pt>
                <c:pt idx="176" formatCode="General">
                  <c:v>1157.5643299999999</c:v>
                </c:pt>
                <c:pt idx="177" formatCode="General">
                  <c:v>1319.4754600000001</c:v>
                </c:pt>
                <c:pt idx="178" formatCode="General">
                  <c:v>1504.0335700000001</c:v>
                </c:pt>
                <c:pt idx="179" formatCode="General">
                  <c:v>1714.4061300000001</c:v>
                </c:pt>
                <c:pt idx="180" formatCode="General">
                  <c:v>1954.20398</c:v>
                </c:pt>
                <c:pt idx="181" formatCode="General">
                  <c:v>2227.54297</c:v>
                </c:pt>
                <c:pt idx="182" formatCode="General">
                  <c:v>2539.1145000000001</c:v>
                </c:pt>
                <c:pt idx="183" formatCode="General">
                  <c:v>2894.26611</c:v>
                </c:pt>
                <c:pt idx="184" formatCode="General">
                  <c:v>3299.09375</c:v>
                </c:pt>
                <c:pt idx="185" formatCode="General">
                  <c:v>3760.5454100000002</c:v>
                </c:pt>
                <c:pt idx="186" formatCode="General">
                  <c:v>4286.5415000000003</c:v>
                </c:pt>
                <c:pt idx="187" formatCode="General">
                  <c:v>4886.1098599999996</c:v>
                </c:pt>
                <c:pt idx="188" formatCode="General">
                  <c:v>5569.5410199999997</c:v>
                </c:pt>
                <c:pt idx="189" formatCode="General">
                  <c:v>6348.5654299999997</c:v>
                </c:pt>
                <c:pt idx="190" formatCode="General">
                  <c:v>7236.5532199999998</c:v>
                </c:pt>
                <c:pt idx="191" formatCode="General">
                  <c:v>8248.7460900000005</c:v>
                </c:pt>
                <c:pt idx="192" formatCode="General">
                  <c:v>9402.5175799999997</c:v>
                </c:pt>
                <c:pt idx="193" formatCode="General">
                  <c:v>10717.668900000001</c:v>
                </c:pt>
                <c:pt idx="194" formatCode="General">
                  <c:v>12216.7734</c:v>
                </c:pt>
                <c:pt idx="195" formatCode="General">
                  <c:v>13925.5615</c:v>
                </c:pt>
                <c:pt idx="196" formatCode="General">
                  <c:v>15873.3613</c:v>
                </c:pt>
                <c:pt idx="197" formatCode="General">
                  <c:v>18093.603500000001</c:v>
                </c:pt>
                <c:pt idx="198" formatCode="General">
                  <c:v>20624.398399999998</c:v>
                </c:pt>
                <c:pt idx="199" formatCode="General">
                  <c:v>23509.179700000001</c:v>
                </c:pt>
                <c:pt idx="200" formatCode="General">
                  <c:v>26797.460899999998</c:v>
                </c:pt>
                <c:pt idx="201" formatCode="General">
                  <c:v>30545.6816</c:v>
                </c:pt>
                <c:pt idx="202" formatCode="General">
                  <c:v>34818.175799999997</c:v>
                </c:pt>
                <c:pt idx="203" formatCode="General">
                  <c:v>39688.273399999998</c:v>
                </c:pt>
                <c:pt idx="204" formatCode="General">
                  <c:v>45239.5625</c:v>
                </c:pt>
                <c:pt idx="205" formatCode="General">
                  <c:v>51567.324200000003</c:v>
                </c:pt>
                <c:pt idx="206" formatCode="General">
                  <c:v>58780.160199999998</c:v>
                </c:pt>
                <c:pt idx="207" formatCode="General">
                  <c:v>67001.875</c:v>
                </c:pt>
                <c:pt idx="208" formatCode="General">
                  <c:v>76373.578099999999</c:v>
                </c:pt>
                <c:pt idx="209" formatCode="General">
                  <c:v>87056.125</c:v>
                </c:pt>
                <c:pt idx="210" formatCode="General">
                  <c:v>99232.859400000001</c:v>
                </c:pt>
                <c:pt idx="211" formatCode="General">
                  <c:v>113112.789</c:v>
                </c:pt>
                <c:pt idx="212" formatCode="General">
                  <c:v>128934.133</c:v>
                </c:pt>
                <c:pt idx="213" formatCode="General">
                  <c:v>146968.43799999999</c:v>
                </c:pt>
                <c:pt idx="214" formatCode="General">
                  <c:v>167525.25</c:v>
                </c:pt>
                <c:pt idx="215" formatCode="General">
                  <c:v>190957.391</c:v>
                </c:pt>
                <c:pt idx="216" formatCode="General">
                  <c:v>217667.03099999999</c:v>
                </c:pt>
                <c:pt idx="217" formatCode="General">
                  <c:v>248112.609</c:v>
                </c:pt>
                <c:pt idx="218" formatCode="General">
                  <c:v>282816.68800000002</c:v>
                </c:pt>
                <c:pt idx="219" formatCode="General">
                  <c:v>322374.875</c:v>
                </c:pt>
                <c:pt idx="220" formatCode="General">
                  <c:v>367466.18800000002</c:v>
                </c:pt>
                <c:pt idx="221" formatCode="General">
                  <c:v>418864.53100000002</c:v>
                </c:pt>
                <c:pt idx="222" formatCode="General">
                  <c:v>477452.06300000002</c:v>
                </c:pt>
                <c:pt idx="223" formatCode="General">
                  <c:v>544234.375</c:v>
                </c:pt>
                <c:pt idx="224" formatCode="General">
                  <c:v>620357.625</c:v>
                </c:pt>
                <c:pt idx="225" formatCode="General">
                  <c:v>707128.5</c:v>
                </c:pt>
                <c:pt idx="226" formatCode="General">
                  <c:v>806036.125</c:v>
                </c:pt>
                <c:pt idx="227" formatCode="General">
                  <c:v>918778.25</c:v>
                </c:pt>
                <c:pt idx="228" formatCode="General">
                  <c:v>1047289.81</c:v>
                </c:pt>
                <c:pt idx="229" formatCode="General">
                  <c:v>1193776.6299999999</c:v>
                </c:pt>
                <c:pt idx="230" formatCode="General">
                  <c:v>1360752.88</c:v>
                </c:pt>
                <c:pt idx="231" formatCode="General">
                  <c:v>1551084.5</c:v>
                </c:pt>
                <c:pt idx="232" formatCode="General">
                  <c:v>1768038.13</c:v>
                </c:pt>
                <c:pt idx="233" formatCode="General">
                  <c:v>2015337.63</c:v>
                </c:pt>
                <c:pt idx="234" formatCode="General">
                  <c:v>2297227.5</c:v>
                </c:pt>
                <c:pt idx="235" formatCode="General">
                  <c:v>2618546</c:v>
                </c:pt>
                <c:pt idx="236" formatCode="General">
                  <c:v>2984808</c:v>
                </c:pt>
                <c:pt idx="237" formatCode="General">
                  <c:v>3402299.75</c:v>
                </c:pt>
                <c:pt idx="238" formatCode="General">
                  <c:v>3878187.25</c:v>
                </c:pt>
                <c:pt idx="239" formatCode="General">
                  <c:v>4420638</c:v>
                </c:pt>
                <c:pt idx="240" formatCode="General">
                  <c:v>5038962.5</c:v>
                </c:pt>
                <c:pt idx="241" formatCode="General">
                  <c:v>5743773.5</c:v>
                </c:pt>
                <c:pt idx="242" formatCode="General">
                  <c:v>6547168.5</c:v>
                </c:pt>
                <c:pt idx="243" formatCode="General">
                  <c:v>7462935.5</c:v>
                </c:pt>
                <c:pt idx="244" formatCode="General">
                  <c:v>8506793</c:v>
                </c:pt>
                <c:pt idx="245" formatCode="General">
                  <c:v>9696658</c:v>
                </c:pt>
                <c:pt idx="246" formatCode="General">
                  <c:v>11052951</c:v>
                </c:pt>
                <c:pt idx="247" formatCode="General">
                  <c:v>12598953</c:v>
                </c:pt>
                <c:pt idx="248" formatCode="General">
                  <c:v>14361197</c:v>
                </c:pt>
                <c:pt idx="249" formatCode="General">
                  <c:v>16369930</c:v>
                </c:pt>
                <c:pt idx="250" formatCode="General">
                  <c:v>18659630</c:v>
                </c:pt>
                <c:pt idx="251" formatCode="General">
                  <c:v>21269594</c:v>
                </c:pt>
                <c:pt idx="252" formatCode="General">
                  <c:v>24244620</c:v>
                </c:pt>
                <c:pt idx="253" formatCode="General">
                  <c:v>27635770</c:v>
                </c:pt>
                <c:pt idx="254" formatCode="General">
                  <c:v>31501248</c:v>
                </c:pt>
                <c:pt idx="255" formatCode="General">
                  <c:v>35907400</c:v>
                </c:pt>
                <c:pt idx="256" formatCode="General">
                  <c:v>40929848</c:v>
                </c:pt>
                <c:pt idx="257" formatCode="General">
                  <c:v>46654800</c:v>
                </c:pt>
                <c:pt idx="258" formatCode="General">
                  <c:v>53180512</c:v>
                </c:pt>
                <c:pt idx="259" formatCode="General">
                  <c:v>60618988</c:v>
                </c:pt>
                <c:pt idx="260" formatCode="General">
                  <c:v>69097904</c:v>
                </c:pt>
                <c:pt idx="261" formatCode="General">
                  <c:v>78762784</c:v>
                </c:pt>
                <c:pt idx="262" formatCode="General">
                  <c:v>89779512</c:v>
                </c:pt>
                <c:pt idx="263" formatCode="General">
                  <c:v>102337176</c:v>
                </c:pt>
                <c:pt idx="264" formatCode="General">
                  <c:v>116651312</c:v>
                </c:pt>
                <c:pt idx="265" formatCode="General">
                  <c:v>132967600</c:v>
                </c:pt>
                <c:pt idx="266" formatCode="General">
                  <c:v>151566080</c:v>
                </c:pt>
                <c:pt idx="267" formatCode="General">
                  <c:v>172765968</c:v>
                </c:pt>
                <c:pt idx="268" formatCode="General">
                  <c:v>196931136</c:v>
                </c:pt>
                <c:pt idx="269" formatCode="General">
                  <c:v>224476336</c:v>
                </c:pt>
                <c:pt idx="270" formatCode="General">
                  <c:v>255874352</c:v>
                </c:pt>
                <c:pt idx="271" formatCode="General">
                  <c:v>291664064</c:v>
                </c:pt>
                <c:pt idx="272" formatCode="General">
                  <c:v>332459808</c:v>
                </c:pt>
                <c:pt idx="273" formatCode="General">
                  <c:v>378961696</c:v>
                </c:pt>
                <c:pt idx="274" formatCode="General">
                  <c:v>431967936</c:v>
                </c:pt>
                <c:pt idx="275" formatCode="General">
                  <c:v>492388256</c:v>
                </c:pt>
                <c:pt idx="276" formatCode="General">
                  <c:v>561259712</c:v>
                </c:pt>
                <c:pt idx="277" formatCode="General">
                  <c:v>639764416</c:v>
                </c:pt>
                <c:pt idx="278" formatCode="General">
                  <c:v>729249664</c:v>
                </c:pt>
                <c:pt idx="279" formatCode="General">
                  <c:v>831251520</c:v>
                </c:pt>
                <c:pt idx="280" formatCode="General">
                  <c:v>947520512</c:v>
                </c:pt>
                <c:pt idx="281" formatCode="General">
                  <c:v>1080052350</c:v>
                </c:pt>
                <c:pt idx="282" formatCode="General">
                  <c:v>1231121790</c:v>
                </c:pt>
                <c:pt idx="283" formatCode="General">
                  <c:v>1403321600</c:v>
                </c:pt>
                <c:pt idx="284" formatCode="General">
                  <c:v>1599607300</c:v>
                </c:pt>
                <c:pt idx="285" formatCode="General">
                  <c:v>1823347970</c:v>
                </c:pt>
                <c:pt idx="286" formatCode="General">
                  <c:v>2078383870</c:v>
                </c:pt>
                <c:pt idx="287" formatCode="General">
                  <c:v>2369092100</c:v>
                </c:pt>
                <c:pt idx="288" formatCode="General">
                  <c:v>2700462340</c:v>
                </c:pt>
                <c:pt idx="289" formatCode="General">
                  <c:v>3078182140</c:v>
                </c:pt>
                <c:pt idx="290" formatCode="General">
                  <c:v>3508734460</c:v>
                </c:pt>
                <c:pt idx="291" formatCode="General">
                  <c:v>3999508990</c:v>
                </c:pt>
                <c:pt idx="292" formatCode="General">
                  <c:v>4558929410</c:v>
                </c:pt>
                <c:pt idx="293" formatCode="General">
                  <c:v>5196597250</c:v>
                </c:pt>
                <c:pt idx="294" formatCode="General">
                  <c:v>5923457020</c:v>
                </c:pt>
                <c:pt idx="295" formatCode="General">
                  <c:v>6751984640</c:v>
                </c:pt>
                <c:pt idx="296" formatCode="General">
                  <c:v>7696399870</c:v>
                </c:pt>
                <c:pt idx="297" formatCode="General">
                  <c:v>8772913150</c:v>
                </c:pt>
                <c:pt idx="298" formatCode="General">
                  <c:v>10000000000</c:v>
                </c:pt>
              </c:numCache>
            </c:numRef>
          </c:xVal>
          <c:yVal>
            <c:numRef>
              <c:f>Abaqus_SSD_Analysis!$B$4:$B$302</c:f>
              <c:numCache>
                <c:formatCode>0.00E+00</c:formatCode>
                <c:ptCount val="299"/>
                <c:pt idx="0">
                  <c:v>6.7613425300000003</c:v>
                </c:pt>
                <c:pt idx="1">
                  <c:v>6.7682766900000004</c:v>
                </c:pt>
                <c:pt idx="2">
                  <c:v>6.7733445200000002</c:v>
                </c:pt>
                <c:pt idx="3">
                  <c:v>6.7798991199999996</c:v>
                </c:pt>
                <c:pt idx="4">
                  <c:v>6.7883663199999997</c:v>
                </c:pt>
                <c:pt idx="5">
                  <c:v>6.79928446</c:v>
                </c:pt>
                <c:pt idx="6">
                  <c:v>6.8133325600000001</c:v>
                </c:pt>
                <c:pt idx="7">
                  <c:v>6.8313560500000001</c:v>
                </c:pt>
                <c:pt idx="8">
                  <c:v>6.8543944400000001</c:v>
                </c:pt>
                <c:pt idx="9">
                  <c:v>6.8837070499999999</c:v>
                </c:pt>
                <c:pt idx="10">
                  <c:v>6.9207806600000001</c:v>
                </c:pt>
                <c:pt idx="11">
                  <c:v>6.9673194900000004</c:v>
                </c:pt>
                <c:pt idx="12">
                  <c:v>7.0251927399999996</c:v>
                </c:pt>
                <c:pt idx="13">
                  <c:v>7.0963253999999996</c:v>
                </c:pt>
                <c:pt idx="14">
                  <c:v>7.1825146699999998</c:v>
                </c:pt>
                <c:pt idx="15">
                  <c:v>7.2851586299999997</c:v>
                </c:pt>
                <c:pt idx="16">
                  <c:v>7.4049234400000001</c:v>
                </c:pt>
                <c:pt idx="17">
                  <c:v>7.5413870799999998</c:v>
                </c:pt>
                <c:pt idx="18">
                  <c:v>7.6927657099999998</c:v>
                </c:pt>
                <c:pt idx="19">
                  <c:v>7.8558230399999998</c:v>
                </c:pt>
                <c:pt idx="20">
                  <c:v>8.0260744099999997</c:v>
                </c:pt>
                <c:pt idx="21">
                  <c:v>8.1982860599999992</c:v>
                </c:pt>
                <c:pt idx="22">
                  <c:v>8.3671941800000003</c:v>
                </c:pt>
                <c:pt idx="23">
                  <c:v>8.5282497399999997</c:v>
                </c:pt>
                <c:pt idx="24">
                  <c:v>8.6781978599999992</c:v>
                </c:pt>
                <c:pt idx="25">
                  <c:v>8.8153781900000006</c:v>
                </c:pt>
                <c:pt idx="26">
                  <c:v>8.9397192000000008</c:v>
                </c:pt>
                <c:pt idx="27">
                  <c:v>9.0525083500000001</c:v>
                </c:pt>
                <c:pt idx="28">
                  <c:v>9.1560516399999994</c:v>
                </c:pt>
                <c:pt idx="29">
                  <c:v>9.2533006699999998</c:v>
                </c:pt>
                <c:pt idx="30">
                  <c:v>9.34750938</c:v>
                </c:pt>
                <c:pt idx="31">
                  <c:v>9.4419307700000008</c:v>
                </c:pt>
                <c:pt idx="32">
                  <c:v>9.5395326600000008</c:v>
                </c:pt>
                <c:pt idx="33">
                  <c:v>9.6427249899999996</c:v>
                </c:pt>
                <c:pt idx="34">
                  <c:v>9.7530889500000004</c:v>
                </c:pt>
                <c:pt idx="35">
                  <c:v>9.8711576500000007</c:v>
                </c:pt>
                <c:pt idx="36">
                  <c:v>9.9962873499999993</c:v>
                </c:pt>
                <c:pt idx="37">
                  <c:v>10.126714700000001</c:v>
                </c:pt>
                <c:pt idx="38">
                  <c:v>10.2598257</c:v>
                </c:pt>
                <c:pt idx="39">
                  <c:v>10.392625799999999</c:v>
                </c:pt>
                <c:pt idx="40">
                  <c:v>10.522311200000001</c:v>
                </c:pt>
                <c:pt idx="41">
                  <c:v>10.646801</c:v>
                </c:pt>
                <c:pt idx="42">
                  <c:v>10.76511</c:v>
                </c:pt>
                <c:pt idx="43">
                  <c:v>10.8775034</c:v>
                </c:pt>
                <c:pt idx="44">
                  <c:v>10.9854536</c:v>
                </c:pt>
                <c:pt idx="45">
                  <c:v>11.091451599999999</c:v>
                </c:pt>
                <c:pt idx="46">
                  <c:v>11.1987591</c:v>
                </c:pt>
                <c:pt idx="47">
                  <c:v>11.311126700000001</c:v>
                </c:pt>
                <c:pt idx="48">
                  <c:v>11.432498900000001</c:v>
                </c:pt>
                <c:pt idx="49">
                  <c:v>11.56668</c:v>
                </c:pt>
                <c:pt idx="50">
                  <c:v>11.7169571</c:v>
                </c:pt>
                <c:pt idx="51">
                  <c:v>11.885669699999999</c:v>
                </c:pt>
                <c:pt idx="52">
                  <c:v>12.0737667</c:v>
                </c:pt>
                <c:pt idx="53">
                  <c:v>12.280461300000001</c:v>
                </c:pt>
                <c:pt idx="54">
                  <c:v>12.5031137</c:v>
                </c:pt>
                <c:pt idx="55">
                  <c:v>12.7374659</c:v>
                </c:pt>
                <c:pt idx="56">
                  <c:v>12.978284800000001</c:v>
                </c:pt>
                <c:pt idx="57">
                  <c:v>13.220295</c:v>
                </c:pt>
                <c:pt idx="58">
                  <c:v>13.4592218</c:v>
                </c:pt>
                <c:pt idx="59">
                  <c:v>13.6926527</c:v>
                </c:pt>
                <c:pt idx="60">
                  <c:v>13.920578000000001</c:v>
                </c:pt>
                <c:pt idx="61">
                  <c:v>14.145522100000001</c:v>
                </c:pt>
                <c:pt idx="62">
                  <c:v>14.3723688</c:v>
                </c:pt>
                <c:pt idx="63">
                  <c:v>14.6079721</c:v>
                </c:pt>
                <c:pt idx="64">
                  <c:v>14.860654800000001</c:v>
                </c:pt>
                <c:pt idx="65">
                  <c:v>15.139628399999999</c:v>
                </c:pt>
                <c:pt idx="66">
                  <c:v>15.4543114</c:v>
                </c:pt>
                <c:pt idx="67">
                  <c:v>15.8134842</c:v>
                </c:pt>
                <c:pt idx="68">
                  <c:v>16.224264099999999</c:v>
                </c:pt>
                <c:pt idx="69">
                  <c:v>16.6909466</c:v>
                </c:pt>
                <c:pt idx="70">
                  <c:v>17.2139053</c:v>
                </c:pt>
                <c:pt idx="71">
                  <c:v>17.788877500000002</c:v>
                </c:pt>
                <c:pt idx="72">
                  <c:v>18.407028199999999</c:v>
                </c:pt>
                <c:pt idx="73">
                  <c:v>19.0560455</c:v>
                </c:pt>
                <c:pt idx="74">
                  <c:v>19.7222729</c:v>
                </c:pt>
                <c:pt idx="75">
                  <c:v>20.3934593</c:v>
                </c:pt>
                <c:pt idx="76">
                  <c:v>21.061487199999998</c:v>
                </c:pt>
                <c:pt idx="77">
                  <c:v>21.724432</c:v>
                </c:pt>
                <c:pt idx="78">
                  <c:v>22.387626600000001</c:v>
                </c:pt>
                <c:pt idx="79">
                  <c:v>23.063716899999999</c:v>
                </c:pt>
                <c:pt idx="80">
                  <c:v>23.7719612</c:v>
                </c:pt>
                <c:pt idx="81">
                  <c:v>24.537054099999999</c:v>
                </c:pt>
                <c:pt idx="82">
                  <c:v>25.387619000000001</c:v>
                </c:pt>
                <c:pt idx="83">
                  <c:v>26.354358699999999</c:v>
                </c:pt>
                <c:pt idx="84">
                  <c:v>27.467697099999999</c:v>
                </c:pt>
                <c:pt idx="85">
                  <c:v>28.754739799999999</c:v>
                </c:pt>
                <c:pt idx="86">
                  <c:v>30.2355862</c:v>
                </c:pt>
                <c:pt idx="87">
                  <c:v>31.919370700000002</c:v>
                </c:pt>
                <c:pt idx="88">
                  <c:v>33.800891900000003</c:v>
                </c:pt>
                <c:pt idx="89">
                  <c:v>35.8591385</c:v>
                </c:pt>
                <c:pt idx="90">
                  <c:v>38.058937100000001</c:v>
                </c:pt>
                <c:pt idx="91">
                  <c:v>40.356365199999999</c:v>
                </c:pt>
                <c:pt idx="92">
                  <c:v>42.707267799999997</c:v>
                </c:pt>
                <c:pt idx="93">
                  <c:v>45.077083600000002</c:v>
                </c:pt>
                <c:pt idx="94">
                  <c:v>47.449649800000003</c:v>
                </c:pt>
                <c:pt idx="95">
                  <c:v>49.833087900000002</c:v>
                </c:pt>
                <c:pt idx="96">
                  <c:v>52.262069699999998</c:v>
                </c:pt>
                <c:pt idx="97">
                  <c:v>54.796920800000002</c:v>
                </c:pt>
                <c:pt idx="98">
                  <c:v>57.520385699999999</c:v>
                </c:pt>
                <c:pt idx="99">
                  <c:v>60.532875099999998</c:v>
                </c:pt>
                <c:pt idx="100">
                  <c:v>63.946353899999998</c:v>
                </c:pt>
                <c:pt idx="101">
                  <c:v>67.876388500000004</c:v>
                </c:pt>
                <c:pt idx="102">
                  <c:v>72.431648300000006</c:v>
                </c:pt>
                <c:pt idx="103">
                  <c:v>77.700378400000005</c:v>
                </c:pt>
                <c:pt idx="104">
                  <c:v>83.734451300000003</c:v>
                </c:pt>
                <c:pt idx="105">
                  <c:v>90.533363300000005</c:v>
                </c:pt>
                <c:pt idx="106">
                  <c:v>98.032341000000002</c:v>
                </c:pt>
                <c:pt idx="107">
                  <c:v>106.099998</c:v>
                </c:pt>
                <c:pt idx="108">
                  <c:v>114.54982800000001</c:v>
                </c:pt>
                <c:pt idx="109">
                  <c:v>123.16590100000001</c:v>
                </c:pt>
                <c:pt idx="110">
                  <c:v>131.738373</c:v>
                </c:pt>
                <c:pt idx="111">
                  <c:v>140.09993</c:v>
                </c:pt>
                <c:pt idx="112">
                  <c:v>148.15443400000001</c:v>
                </c:pt>
                <c:pt idx="113">
                  <c:v>155.89183</c:v>
                </c:pt>
                <c:pt idx="114">
                  <c:v>163.38922099999999</c:v>
                </c:pt>
                <c:pt idx="115">
                  <c:v>170.80093400000001</c:v>
                </c:pt>
                <c:pt idx="116">
                  <c:v>178.34245300000001</c:v>
                </c:pt>
                <c:pt idx="117">
                  <c:v>186.27143899999999</c:v>
                </c:pt>
                <c:pt idx="118">
                  <c:v>194.866806</c:v>
                </c:pt>
                <c:pt idx="119">
                  <c:v>204.405258</c:v>
                </c:pt>
                <c:pt idx="120">
                  <c:v>215.13357500000001</c:v>
                </c:pt>
                <c:pt idx="121">
                  <c:v>227.235962</c:v>
                </c:pt>
                <c:pt idx="122">
                  <c:v>240.79873699999999</c:v>
                </c:pt>
                <c:pt idx="123">
                  <c:v>255.778458</c:v>
                </c:pt>
                <c:pt idx="124">
                  <c:v>271.98364299999997</c:v>
                </c:pt>
                <c:pt idx="125">
                  <c:v>289.080444</c:v>
                </c:pt>
                <c:pt idx="126">
                  <c:v>306.62899800000002</c:v>
                </c:pt>
                <c:pt idx="127">
                  <c:v>324.14660600000002</c:v>
                </c:pt>
                <c:pt idx="128">
                  <c:v>341.18405200000001</c:v>
                </c:pt>
                <c:pt idx="129">
                  <c:v>357.39584400000001</c:v>
                </c:pt>
                <c:pt idx="130">
                  <c:v>372.58715799999999</c:v>
                </c:pt>
                <c:pt idx="131">
                  <c:v>386.73080399999998</c:v>
                </c:pt>
                <c:pt idx="132">
                  <c:v>399.95669600000002</c:v>
                </c:pt>
                <c:pt idx="133">
                  <c:v>412.52389499999998</c:v>
                </c:pt>
                <c:pt idx="134">
                  <c:v>424.78439300000002</c:v>
                </c:pt>
                <c:pt idx="135">
                  <c:v>437.14541600000001</c:v>
                </c:pt>
                <c:pt idx="136">
                  <c:v>450.03222699999998</c:v>
                </c:pt>
                <c:pt idx="137">
                  <c:v>463.84997600000003</c:v>
                </c:pt>
                <c:pt idx="138">
                  <c:v>478.94281000000001</c:v>
                </c:pt>
                <c:pt idx="139">
                  <c:v>495.54934700000001</c:v>
                </c:pt>
                <c:pt idx="140">
                  <c:v>513.75891100000001</c:v>
                </c:pt>
                <c:pt idx="141">
                  <c:v>533.47723399999995</c:v>
                </c:pt>
                <c:pt idx="142">
                  <c:v>554.41558799999996</c:v>
                </c:pt>
                <c:pt idx="143">
                  <c:v>576.11328100000003</c:v>
                </c:pt>
                <c:pt idx="144">
                  <c:v>597.99890100000005</c:v>
                </c:pt>
                <c:pt idx="145">
                  <c:v>619.47845500000005</c:v>
                </c:pt>
                <c:pt idx="146">
                  <c:v>640.03015100000005</c:v>
                </c:pt>
                <c:pt idx="147">
                  <c:v>659.28179899999998</c:v>
                </c:pt>
                <c:pt idx="148">
                  <c:v>677.053406</c:v>
                </c:pt>
                <c:pt idx="149">
                  <c:v>693.363159</c:v>
                </c:pt>
                <c:pt idx="150" formatCode="General">
                  <c:v>708.40313700000002</c:v>
                </c:pt>
                <c:pt idx="151" formatCode="General">
                  <c:v>722.49926800000003</c:v>
                </c:pt>
                <c:pt idx="152" formatCode="General">
                  <c:v>736.06585700000005</c:v>
                </c:pt>
                <c:pt idx="153" formatCode="General">
                  <c:v>749.56152299999997</c:v>
                </c:pt>
                <c:pt idx="154" formatCode="General">
                  <c:v>763.44732699999997</c:v>
                </c:pt>
                <c:pt idx="155" formatCode="General">
                  <c:v>778.14556900000002</c:v>
                </c:pt>
                <c:pt idx="156" formatCode="General">
                  <c:v>793.99707000000001</c:v>
                </c:pt>
                <c:pt idx="157" formatCode="General">
                  <c:v>811.21728499999995</c:v>
                </c:pt>
                <c:pt idx="158" formatCode="General">
                  <c:v>829.85675000000003</c:v>
                </c:pt>
                <c:pt idx="159" formatCode="General">
                  <c:v>849.77673300000004</c:v>
                </c:pt>
                <c:pt idx="160" formatCode="General">
                  <c:v>870.65173300000004</c:v>
                </c:pt>
                <c:pt idx="161" formatCode="General">
                  <c:v>892.00799600000005</c:v>
                </c:pt>
                <c:pt idx="162" formatCode="General">
                  <c:v>913.296021</c:v>
                </c:pt>
                <c:pt idx="163" formatCode="General">
                  <c:v>933.98217799999998</c:v>
                </c:pt>
                <c:pt idx="164" formatCode="General">
                  <c:v>953.63647500000002</c:v>
                </c:pt>
                <c:pt idx="165" formatCode="General">
                  <c:v>971.99585000000002</c:v>
                </c:pt>
                <c:pt idx="166" formatCode="General">
                  <c:v>988.99066200000004</c:v>
                </c:pt>
                <c:pt idx="167" formatCode="General">
                  <c:v>1004.73853</c:v>
                </c:pt>
                <c:pt idx="168" formatCode="General">
                  <c:v>1019.51312</c:v>
                </c:pt>
                <c:pt idx="169" formatCode="General">
                  <c:v>1033.7028800000001</c:v>
                </c:pt>
                <c:pt idx="170" formatCode="General">
                  <c:v>1047.76611</c:v>
                </c:pt>
                <c:pt idx="171" formatCode="General">
                  <c:v>1062.1883499999999</c:v>
                </c:pt>
                <c:pt idx="172" formatCode="General">
                  <c:v>1077.43884</c:v>
                </c:pt>
                <c:pt idx="173" formatCode="General">
                  <c:v>1093.92578</c:v>
                </c:pt>
                <c:pt idx="174" formatCode="General">
                  <c:v>1111.94751</c:v>
                </c:pt>
                <c:pt idx="175" formatCode="General">
                  <c:v>1131.64392</c:v>
                </c:pt>
                <c:pt idx="176" formatCode="General">
                  <c:v>1152.9563000000001</c:v>
                </c:pt>
                <c:pt idx="177" formatCode="General">
                  <c:v>1175.6096199999999</c:v>
                </c:pt>
                <c:pt idx="178" formatCode="General">
                  <c:v>1199.1302499999999</c:v>
                </c:pt>
                <c:pt idx="179" formatCode="General">
                  <c:v>1222.90552</c:v>
                </c:pt>
                <c:pt idx="180" formatCode="General">
                  <c:v>1246.2758799999999</c:v>
                </c:pt>
                <c:pt idx="181" formatCode="General">
                  <c:v>1268.6385499999999</c:v>
                </c:pt>
                <c:pt idx="182" formatCode="General">
                  <c:v>1289.53674</c:v>
                </c:pt>
                <c:pt idx="183" formatCode="General">
                  <c:v>1308.7126499999999</c:v>
                </c:pt>
                <c:pt idx="184" formatCode="General">
                  <c:v>1326.11987</c:v>
                </c:pt>
                <c:pt idx="185" formatCode="General">
                  <c:v>1341.9018599999999</c:v>
                </c:pt>
                <c:pt idx="186" formatCode="General">
                  <c:v>1356.3491200000001</c:v>
                </c:pt>
                <c:pt idx="187" formatCode="General">
                  <c:v>1369.8515600000001</c:v>
                </c:pt>
                <c:pt idx="188" formatCode="General">
                  <c:v>1382.8504600000001</c:v>
                </c:pt>
                <c:pt idx="189" formatCode="General">
                  <c:v>1395.79675</c:v>
                </c:pt>
                <c:pt idx="190" formatCode="General">
                  <c:v>1409.1110799999999</c:v>
                </c:pt>
                <c:pt idx="191" formatCode="General">
                  <c:v>1423.1461200000001</c:v>
                </c:pt>
                <c:pt idx="192" formatCode="General">
                  <c:v>1438.14795</c:v>
                </c:pt>
                <c:pt idx="193" formatCode="General">
                  <c:v>1454.22192</c:v>
                </c:pt>
                <c:pt idx="194" formatCode="General">
                  <c:v>1471.30908</c:v>
                </c:pt>
                <c:pt idx="195" formatCode="General">
                  <c:v>1489.18481</c:v>
                </c:pt>
                <c:pt idx="196" formatCode="General">
                  <c:v>1507.48657</c:v>
                </c:pt>
                <c:pt idx="197" formatCode="General">
                  <c:v>1525.77197</c:v>
                </c:pt>
                <c:pt idx="198" formatCode="General">
                  <c:v>1543.59509</c:v>
                </c:pt>
                <c:pt idx="199" formatCode="General">
                  <c:v>1560.5843500000001</c:v>
                </c:pt>
                <c:pt idx="200" formatCode="General">
                  <c:v>1576.50073</c:v>
                </c:pt>
                <c:pt idx="201" formatCode="General">
                  <c:v>1591.26685</c:v>
                </c:pt>
                <c:pt idx="202" formatCode="General">
                  <c:v>1604.96631</c:v>
                </c:pt>
                <c:pt idx="203" formatCode="General">
                  <c:v>1617.82068</c:v>
                </c:pt>
                <c:pt idx="204" formatCode="General">
                  <c:v>1630.1557600000001</c:v>
                </c:pt>
                <c:pt idx="205" formatCode="General">
                  <c:v>1642.3634</c:v>
                </c:pt>
                <c:pt idx="206" formatCode="General">
                  <c:v>1654.8648700000001</c:v>
                </c:pt>
                <c:pt idx="207" formatCode="General">
                  <c:v>1668.0730000000001</c:v>
                </c:pt>
                <c:pt idx="208" formatCode="General">
                  <c:v>1682.3538799999999</c:v>
                </c:pt>
                <c:pt idx="209" formatCode="General">
                  <c:v>1697.9836399999999</c:v>
                </c:pt>
                <c:pt idx="210" formatCode="General">
                  <c:v>1715.1049800000001</c:v>
                </c:pt>
                <c:pt idx="211" formatCode="General">
                  <c:v>1733.6887200000001</c:v>
                </c:pt>
                <c:pt idx="212" formatCode="General">
                  <c:v>1753.51331</c:v>
                </c:pt>
                <c:pt idx="213" formatCode="General">
                  <c:v>1774.17407</c:v>
                </c:pt>
                <c:pt idx="214" formatCode="General">
                  <c:v>1795.1289099999999</c:v>
                </c:pt>
                <c:pt idx="215" formatCode="General">
                  <c:v>1815.7760000000001</c:v>
                </c:pt>
                <c:pt idx="216" formatCode="General">
                  <c:v>1835.5451700000001</c:v>
                </c:pt>
                <c:pt idx="217" formatCode="General">
                  <c:v>1853.9802199999999</c:v>
                </c:pt>
                <c:pt idx="218" formatCode="General">
                  <c:v>1870.7919899999999</c:v>
                </c:pt>
                <c:pt idx="219" formatCode="General">
                  <c:v>1885.8748800000001</c:v>
                </c:pt>
                <c:pt idx="220" formatCode="General">
                  <c:v>1899.29053</c:v>
                </c:pt>
                <c:pt idx="221" formatCode="General">
                  <c:v>1911.23315</c:v>
                </c:pt>
                <c:pt idx="222" formatCode="General">
                  <c:v>1921.98596</c:v>
                </c:pt>
                <c:pt idx="223" formatCode="General">
                  <c:v>1931.8807400000001</c:v>
                </c:pt>
                <c:pt idx="224" formatCode="General">
                  <c:v>1941.2625700000001</c:v>
                </c:pt>
                <c:pt idx="225" formatCode="General">
                  <c:v>1950.4599599999999</c:v>
                </c:pt>
                <c:pt idx="226" formatCode="General">
                  <c:v>1959.75891</c:v>
                </c:pt>
                <c:pt idx="227" formatCode="General">
                  <c:v>1969.3796400000001</c:v>
                </c:pt>
                <c:pt idx="228" formatCode="General">
                  <c:v>1979.45544</c:v>
                </c:pt>
                <c:pt idx="229" formatCode="General">
                  <c:v>1990.0190399999999</c:v>
                </c:pt>
                <c:pt idx="230" formatCode="General">
                  <c:v>2001.0004899999999</c:v>
                </c:pt>
                <c:pt idx="231" formatCode="General">
                  <c:v>2012.24207</c:v>
                </c:pt>
                <c:pt idx="232" formatCode="General">
                  <c:v>2023.53088</c:v>
                </c:pt>
                <c:pt idx="233" formatCode="General">
                  <c:v>2034.6449</c:v>
                </c:pt>
                <c:pt idx="234" formatCode="General">
                  <c:v>2045.4002700000001</c:v>
                </c:pt>
                <c:pt idx="235" formatCode="General">
                  <c:v>2055.6904300000001</c:v>
                </c:pt>
                <c:pt idx="236" formatCode="General">
                  <c:v>2065.5080600000001</c:v>
                </c:pt>
                <c:pt idx="237" formatCode="General">
                  <c:v>2074.9494599999998</c:v>
                </c:pt>
                <c:pt idx="238" formatCode="General">
                  <c:v>2084.2040999999999</c:v>
                </c:pt>
                <c:pt idx="239" formatCode="General">
                  <c:v>2093.5368699999999</c:v>
                </c:pt>
                <c:pt idx="240" formatCode="General">
                  <c:v>2103.26343</c:v>
                </c:pt>
                <c:pt idx="241" formatCode="General">
                  <c:v>2113.7272899999998</c:v>
                </c:pt>
                <c:pt idx="242" formatCode="General">
                  <c:v>2125.2683099999999</c:v>
                </c:pt>
                <c:pt idx="243" formatCode="General">
                  <c:v>2138.1914099999999</c:v>
                </c:pt>
                <c:pt idx="244" formatCode="General">
                  <c:v>2152.7248500000001</c:v>
                </c:pt>
                <c:pt idx="245" formatCode="General">
                  <c:v>2168.9765600000001</c:v>
                </c:pt>
                <c:pt idx="246" formatCode="General">
                  <c:v>2186.8923300000001</c:v>
                </c:pt>
                <c:pt idx="247" formatCode="General">
                  <c:v>2206.2297400000002</c:v>
                </c:pt>
                <c:pt idx="248" formatCode="General">
                  <c:v>2226.5585900000001</c:v>
                </c:pt>
                <c:pt idx="249" formatCode="General">
                  <c:v>2247.2997999999998</c:v>
                </c:pt>
                <c:pt idx="250" formatCode="General">
                  <c:v>2267.7976100000001</c:v>
                </c:pt>
                <c:pt idx="251" formatCode="General">
                  <c:v>2287.40967</c:v>
                </c:pt>
                <c:pt idx="252" formatCode="General">
                  <c:v>2305.5927700000002</c:v>
                </c:pt>
                <c:pt idx="253" formatCode="General">
                  <c:v>2321.9606899999999</c:v>
                </c:pt>
                <c:pt idx="254" formatCode="General">
                  <c:v>2336.3051799999998</c:v>
                </c:pt>
                <c:pt idx="255" formatCode="General">
                  <c:v>2348.5830099999998</c:v>
                </c:pt>
                <c:pt idx="256" formatCode="General">
                  <c:v>2358.8803699999999</c:v>
                </c:pt>
                <c:pt idx="257" formatCode="General">
                  <c:v>2367.3703599999999</c:v>
                </c:pt>
                <c:pt idx="258" formatCode="General">
                  <c:v>2374.2719699999998</c:v>
                </c:pt>
                <c:pt idx="259" formatCode="General">
                  <c:v>2379.8181199999999</c:v>
                </c:pt>
                <c:pt idx="260" formatCode="General">
                  <c:v>2384.2334000000001</c:v>
                </c:pt>
                <c:pt idx="261" formatCode="General">
                  <c:v>2387.7229000000002</c:v>
                </c:pt>
                <c:pt idx="262" formatCode="General">
                  <c:v>2390.4643599999999</c:v>
                </c:pt>
                <c:pt idx="263" formatCode="General">
                  <c:v>2392.6079100000002</c:v>
                </c:pt>
                <c:pt idx="264" formatCode="General">
                  <c:v>2394.27808</c:v>
                </c:pt>
                <c:pt idx="265" formatCode="General">
                  <c:v>2395.5752000000002</c:v>
                </c:pt>
                <c:pt idx="266" formatCode="General">
                  <c:v>2396.58032</c:v>
                </c:pt>
                <c:pt idx="267" formatCode="General">
                  <c:v>2397.3576699999999</c:v>
                </c:pt>
                <c:pt idx="268" formatCode="General">
                  <c:v>2397.9572800000001</c:v>
                </c:pt>
                <c:pt idx="269" formatCode="General">
                  <c:v>2398.4187000000002</c:v>
                </c:pt>
                <c:pt idx="270" formatCode="General">
                  <c:v>2398.77295</c:v>
                </c:pt>
                <c:pt idx="271" formatCode="General">
                  <c:v>2399.0434599999999</c:v>
                </c:pt>
                <c:pt idx="272" formatCode="General">
                  <c:v>2399.24854</c:v>
                </c:pt>
                <c:pt idx="273" formatCode="General">
                  <c:v>2399.4020999999998</c:v>
                </c:pt>
                <c:pt idx="274" formatCode="General">
                  <c:v>2399.5144</c:v>
                </c:pt>
                <c:pt idx="275" formatCode="General">
                  <c:v>2399.5935100000002</c:v>
                </c:pt>
                <c:pt idx="276" formatCode="General">
                  <c:v>2399.6440400000001</c:v>
                </c:pt>
                <c:pt idx="277" formatCode="General">
                  <c:v>2399.66968</c:v>
                </c:pt>
                <c:pt idx="278" formatCode="General">
                  <c:v>2399.6709000000001</c:v>
                </c:pt>
                <c:pt idx="279" formatCode="General">
                  <c:v>2399.6455099999998</c:v>
                </c:pt>
                <c:pt idx="280" formatCode="General">
                  <c:v>2399.5805700000001</c:v>
                </c:pt>
                <c:pt idx="281" formatCode="General">
                  <c:v>2399.31738</c:v>
                </c:pt>
                <c:pt idx="282" formatCode="General">
                  <c:v>2399.6169399999999</c:v>
                </c:pt>
                <c:pt idx="283" formatCode="General">
                  <c:v>2399.4133299999999</c:v>
                </c:pt>
                <c:pt idx="284" formatCode="General">
                  <c:v>2399.2197299999998</c:v>
                </c:pt>
                <c:pt idx="285" formatCode="General">
                  <c:v>2398.9765600000001</c:v>
                </c:pt>
                <c:pt idx="286" formatCode="General">
                  <c:v>2398.6464799999999</c:v>
                </c:pt>
                <c:pt idx="287" formatCode="General">
                  <c:v>2398.3046899999999</c:v>
                </c:pt>
                <c:pt idx="288" formatCode="General">
                  <c:v>2397.5747099999999</c:v>
                </c:pt>
                <c:pt idx="289" formatCode="General">
                  <c:v>2397.1162100000001</c:v>
                </c:pt>
                <c:pt idx="290" formatCode="General">
                  <c:v>2393.8222700000001</c:v>
                </c:pt>
                <c:pt idx="291" formatCode="General">
                  <c:v>2395.2456099999999</c:v>
                </c:pt>
                <c:pt idx="292" formatCode="General">
                  <c:v>2394.7077599999998</c:v>
                </c:pt>
                <c:pt idx="293" formatCode="General">
                  <c:v>2391.9252900000001</c:v>
                </c:pt>
                <c:pt idx="294" formatCode="General">
                  <c:v>2389.4436000000001</c:v>
                </c:pt>
                <c:pt idx="295" formatCode="General">
                  <c:v>2386.24316</c:v>
                </c:pt>
                <c:pt idx="296" formatCode="General">
                  <c:v>2382.0927700000002</c:v>
                </c:pt>
                <c:pt idx="297" formatCode="General">
                  <c:v>2376.70361</c:v>
                </c:pt>
                <c:pt idx="298" formatCode="General">
                  <c:v>2369.7033700000002</c:v>
                </c:pt>
              </c:numCache>
            </c:numRef>
          </c:yVal>
          <c:smooth val="0"/>
        </c:ser>
        <c:ser>
          <c:idx val="1"/>
          <c:order val="3"/>
          <c:tx>
            <c:v>Gl from Abaqus_SSD</c:v>
          </c:tx>
          <c:spPr>
            <a:ln w="28575">
              <a:solidFill>
                <a:schemeClr val="accent1"/>
              </a:solidFill>
            </a:ln>
          </c:spPr>
          <c:marker>
            <c:symbol val="none"/>
          </c:marker>
          <c:xVal>
            <c:numRef>
              <c:f>Abaqus_SSD_Analysis!$A$4:$A$302</c:f>
              <c:numCache>
                <c:formatCode>0.00E+00</c:formatCode>
                <c:ptCount val="299"/>
                <c:pt idx="0">
                  <c:v>1.00000001E-7</c:v>
                </c:pt>
                <c:pt idx="1">
                  <c:v>1.29930882E-7</c:v>
                </c:pt>
                <c:pt idx="2">
                  <c:v>1.4810460400000001E-7</c:v>
                </c:pt>
                <c:pt idx="3">
                  <c:v>1.68820335E-7</c:v>
                </c:pt>
                <c:pt idx="4">
                  <c:v>1.92433617E-7</c:v>
                </c:pt>
                <c:pt idx="5">
                  <c:v>2.1934974400000001E-7</c:v>
                </c:pt>
                <c:pt idx="6">
                  <c:v>2.50030695E-7</c:v>
                </c:pt>
                <c:pt idx="7">
                  <c:v>2.8500303999999999E-7</c:v>
                </c:pt>
                <c:pt idx="8">
                  <c:v>3.24867074E-7</c:v>
                </c:pt>
                <c:pt idx="9">
                  <c:v>3.7030696399999998E-7</c:v>
                </c:pt>
                <c:pt idx="10">
                  <c:v>4.2210263000000001E-7</c:v>
                </c:pt>
                <c:pt idx="11">
                  <c:v>4.8114310400000002E-7</c:v>
                </c:pt>
                <c:pt idx="12">
                  <c:v>5.48441676E-7</c:v>
                </c:pt>
                <c:pt idx="13">
                  <c:v>6.2515346100000002E-7</c:v>
                </c:pt>
                <c:pt idx="14">
                  <c:v>7.1259506699999996E-7</c:v>
                </c:pt>
                <c:pt idx="15">
                  <c:v>8.1226733100000001E-7</c:v>
                </c:pt>
                <c:pt idx="16">
                  <c:v>9.2588101100000004E-7</c:v>
                </c:pt>
                <c:pt idx="17">
                  <c:v>1.0553860599999999E-6</c:v>
                </c:pt>
                <c:pt idx="18">
                  <c:v>1.2030053500000001E-6</c:v>
                </c:pt>
                <c:pt idx="19">
                  <c:v>1.3712724499999999E-6</c:v>
                </c:pt>
                <c:pt idx="20">
                  <c:v>1.56307544E-6</c:v>
                </c:pt>
                <c:pt idx="21">
                  <c:v>1.7817063700000001E-6</c:v>
                </c:pt>
                <c:pt idx="22">
                  <c:v>2.03091759E-6</c:v>
                </c:pt>
                <c:pt idx="23">
                  <c:v>2.3149866600000002E-6</c:v>
                </c:pt>
                <c:pt idx="24">
                  <c:v>2.6387890600000002E-6</c:v>
                </c:pt>
                <c:pt idx="25">
                  <c:v>3.0078824700000002E-6</c:v>
                </c:pt>
                <c:pt idx="26">
                  <c:v>3.4286017600000001E-6</c:v>
                </c:pt>
                <c:pt idx="27">
                  <c:v>3.9081683099999997E-6</c:v>
                </c:pt>
                <c:pt idx="28">
                  <c:v>4.4548123699999999E-6</c:v>
                </c:pt>
                <c:pt idx="29">
                  <c:v>5.07791719E-6</c:v>
                </c:pt>
                <c:pt idx="30">
                  <c:v>5.7881770799999998E-6</c:v>
                </c:pt>
                <c:pt idx="31">
                  <c:v>6.5977824299999998E-6</c:v>
                </c:pt>
                <c:pt idx="32">
                  <c:v>7.52062942E-6</c:v>
                </c:pt>
                <c:pt idx="33">
                  <c:v>8.5725569100000005E-6</c:v>
                </c:pt>
                <c:pt idx="34">
                  <c:v>9.7716192600000006E-6</c:v>
                </c:pt>
                <c:pt idx="35">
                  <c:v>1.11383979E-5</c:v>
                </c:pt>
                <c:pt idx="36">
                  <c:v>1.26963514E-5</c:v>
                </c:pt>
                <c:pt idx="37">
                  <c:v>1.44722189E-5</c:v>
                </c:pt>
                <c:pt idx="38">
                  <c:v>1.6496480399999999E-5</c:v>
                </c:pt>
                <c:pt idx="39">
                  <c:v>1.8803881199999999E-5</c:v>
                </c:pt>
                <c:pt idx="40">
                  <c:v>2.1434021599999999E-5</c:v>
                </c:pt>
                <c:pt idx="41">
                  <c:v>2.4432047200000001E-5</c:v>
                </c:pt>
                <c:pt idx="42">
                  <c:v>2.7849413500000002E-5</c:v>
                </c:pt>
                <c:pt idx="43">
                  <c:v>3.1744773899999999E-5</c:v>
                </c:pt>
                <c:pt idx="44">
                  <c:v>3.6184988899999998E-5</c:v>
                </c:pt>
                <c:pt idx="45">
                  <c:v>4.1246265000000003E-5</c:v>
                </c:pt>
                <c:pt idx="46">
                  <c:v>4.7015473699999998E-5</c:v>
                </c:pt>
                <c:pt idx="47">
                  <c:v>5.3591633300000002E-5</c:v>
                </c:pt>
                <c:pt idx="48">
                  <c:v>6.1087615900000007E-5</c:v>
                </c:pt>
                <c:pt idx="49">
                  <c:v>6.9632078499999998E-5</c:v>
                </c:pt>
                <c:pt idx="50">
                  <c:v>7.9371675400000002E-5</c:v>
                </c:pt>
                <c:pt idx="51">
                  <c:v>9.0473571599999998E-5</c:v>
                </c:pt>
                <c:pt idx="52">
                  <c:v>1.03128317E-4</c:v>
                </c:pt>
                <c:pt idx="53">
                  <c:v>1.17553107E-4</c:v>
                </c:pt>
                <c:pt idx="54">
                  <c:v>1.3399551999999999E-4</c:v>
                </c:pt>
                <c:pt idx="55">
                  <c:v>1.5273779E-4</c:v>
                </c:pt>
                <c:pt idx="56">
                  <c:v>1.7410155900000001E-4</c:v>
                </c:pt>
                <c:pt idx="57">
                  <c:v>1.98453548E-4</c:v>
                </c:pt>
                <c:pt idx="58">
                  <c:v>2.2621168999999999E-4</c:v>
                </c:pt>
                <c:pt idx="59">
                  <c:v>2.57852429E-4</c:v>
                </c:pt>
                <c:pt idx="60">
                  <c:v>2.93918827E-4</c:v>
                </c:pt>
                <c:pt idx="61">
                  <c:v>3.3502993800000003E-4</c:v>
                </c:pt>
                <c:pt idx="62">
                  <c:v>3.8189132499999998E-4</c:v>
                </c:pt>
                <c:pt idx="63">
                  <c:v>4.3530733099999999E-4</c:v>
                </c:pt>
                <c:pt idx="64">
                  <c:v>4.9619475599999995E-4</c:v>
                </c:pt>
                <c:pt idx="65">
                  <c:v>5.6559866100000002E-4</c:v>
                </c:pt>
                <c:pt idx="66">
                  <c:v>6.4471020599999999E-4</c:v>
                </c:pt>
                <c:pt idx="67">
                  <c:v>7.3488725999999998E-4</c:v>
                </c:pt>
                <c:pt idx="68">
                  <c:v>8.37677624E-4</c:v>
                </c:pt>
                <c:pt idx="69">
                  <c:v>9.5484551299999997E-4</c:v>
                </c:pt>
                <c:pt idx="70">
                  <c:v>1.0884018800000001E-3</c:v>
                </c:pt>
                <c:pt idx="71">
                  <c:v>1.2406391299999999E-3</c:v>
                </c:pt>
                <c:pt idx="72">
                  <c:v>1.4141701400000001E-3</c:v>
                </c:pt>
                <c:pt idx="73">
                  <c:v>1.61197339E-3</c:v>
                </c:pt>
                <c:pt idx="74">
                  <c:v>1.8374436799999999E-3</c:v>
                </c:pt>
                <c:pt idx="75">
                  <c:v>2.0944511100000002E-3</c:v>
                </c:pt>
                <c:pt idx="76">
                  <c:v>2.3874067699999999E-3</c:v>
                </c:pt>
                <c:pt idx="77">
                  <c:v>2.7213387700000002E-3</c:v>
                </c:pt>
                <c:pt idx="78">
                  <c:v>3.1019786799999999E-3</c:v>
                </c:pt>
                <c:pt idx="79">
                  <c:v>3.5358592899999998E-3</c:v>
                </c:pt>
                <c:pt idx="80">
                  <c:v>4.0304279000000004E-3</c:v>
                </c:pt>
                <c:pt idx="81">
                  <c:v>4.5941732799999998E-3</c:v>
                </c:pt>
                <c:pt idx="82">
                  <c:v>5.2367704899999997E-3</c:v>
                </c:pt>
                <c:pt idx="83">
                  <c:v>5.9692496400000003E-3</c:v>
                </c:pt>
                <c:pt idx="84">
                  <c:v>6.8041821899999999E-3</c:v>
                </c:pt>
                <c:pt idx="85">
                  <c:v>7.7558983999999999E-3</c:v>
                </c:pt>
                <c:pt idx="86">
                  <c:v>8.84073321E-3</c:v>
                </c:pt>
                <c:pt idx="87">
                  <c:v>1.0077307000000001E-2</c:v>
                </c:pt>
                <c:pt idx="88">
                  <c:v>1.1486842299999999E-2</c:v>
                </c:pt>
                <c:pt idx="89">
                  <c:v>1.3093532999999999E-2</c:v>
                </c:pt>
                <c:pt idx="90">
                  <c:v>1.49249556E-2</c:v>
                </c:pt>
                <c:pt idx="91">
                  <c:v>1.70125421E-2</c:v>
                </c:pt>
                <c:pt idx="92">
                  <c:v>1.93921253E-2</c:v>
                </c:pt>
                <c:pt idx="93">
                  <c:v>2.2104546400000001E-2</c:v>
                </c:pt>
                <c:pt idx="94">
                  <c:v>2.51963586E-2</c:v>
                </c:pt>
                <c:pt idx="95">
                  <c:v>2.8720630300000001E-2</c:v>
                </c:pt>
                <c:pt idx="96">
                  <c:v>3.27378511E-2</c:v>
                </c:pt>
                <c:pt idx="97">
                  <c:v>3.7316966799999997E-2</c:v>
                </c:pt>
                <c:pt idx="98">
                  <c:v>4.2536579099999999E-2</c:v>
                </c:pt>
                <c:pt idx="99">
                  <c:v>4.8486266299999997E-2</c:v>
                </c:pt>
                <c:pt idx="100">
                  <c:v>5.5268149799999999E-2</c:v>
                </c:pt>
                <c:pt idx="101">
                  <c:v>6.2998630099999994E-2</c:v>
                </c:pt>
                <c:pt idx="102">
                  <c:v>7.1810394499999999E-2</c:v>
                </c:pt>
                <c:pt idx="103">
                  <c:v>8.1854671200000007E-2</c:v>
                </c:pt>
                <c:pt idx="104">
                  <c:v>9.3303874100000003E-2</c:v>
                </c:pt>
                <c:pt idx="105">
                  <c:v>0.10635449700000001</c:v>
                </c:pt>
                <c:pt idx="106">
                  <c:v>0.121230543</c:v>
                </c:pt>
                <c:pt idx="107">
                  <c:v>0.138187334</c:v>
                </c:pt>
                <c:pt idx="108">
                  <c:v>0.15751589799999999</c:v>
                </c:pt>
                <c:pt idx="109">
                  <c:v>0.17954801000000001</c:v>
                </c:pt>
                <c:pt idx="110">
                  <c:v>0.204661801</c:v>
                </c:pt>
                <c:pt idx="111">
                  <c:v>0.233288303</c:v>
                </c:pt>
                <c:pt idx="112">
                  <c:v>0.265918881</c:v>
                </c:pt>
                <c:pt idx="113">
                  <c:v>0.30311355000000001</c:v>
                </c:pt>
                <c:pt idx="114">
                  <c:v>0.34551072100000002</c:v>
                </c:pt>
                <c:pt idx="115">
                  <c:v>0.39383810800000002</c:v>
                </c:pt>
                <c:pt idx="116">
                  <c:v>0.448925138</c:v>
                </c:pt>
                <c:pt idx="117">
                  <c:v>0.51171731899999995</c:v>
                </c:pt>
                <c:pt idx="118">
                  <c:v>0.58329236500000003</c:v>
                </c:pt>
                <c:pt idx="119">
                  <c:v>0.66487878600000005</c:v>
                </c:pt>
                <c:pt idx="120">
                  <c:v>0.75787687299999995</c:v>
                </c:pt>
                <c:pt idx="121">
                  <c:v>0.86388284000000004</c:v>
                </c:pt>
                <c:pt idx="122">
                  <c:v>0.98471611699999995</c:v>
                </c:pt>
                <c:pt idx="123">
                  <c:v>1.1224505899999999</c:v>
                </c:pt>
                <c:pt idx="124">
                  <c:v>1.2794502999999999</c:v>
                </c:pt>
                <c:pt idx="125">
                  <c:v>1.4584099100000001</c:v>
                </c:pt>
                <c:pt idx="126">
                  <c:v>1.66240096</c:v>
                </c:pt>
                <c:pt idx="127">
                  <c:v>1.8949247600000001</c:v>
                </c:pt>
                <c:pt idx="128">
                  <c:v>2.15997219</c:v>
                </c:pt>
                <c:pt idx="129">
                  <c:v>2.4620924</c:v>
                </c:pt>
                <c:pt idx="130">
                  <c:v>2.8064708700000001</c:v>
                </c:pt>
                <c:pt idx="131">
                  <c:v>3.19901824</c:v>
                </c:pt>
                <c:pt idx="132">
                  <c:v>3.6464722200000002</c:v>
                </c:pt>
                <c:pt idx="133">
                  <c:v>4.1565127400000002</c:v>
                </c:pt>
                <c:pt idx="134">
                  <c:v>4.7378935799999997</c:v>
                </c:pt>
                <c:pt idx="135">
                  <c:v>5.4005932799999998</c:v>
                </c:pt>
                <c:pt idx="136">
                  <c:v>6.1559863100000003</c:v>
                </c:pt>
                <c:pt idx="137">
                  <c:v>7.01703835</c:v>
                </c:pt>
                <c:pt idx="138">
                  <c:v>7.9985275299999996</c:v>
                </c:pt>
                <c:pt idx="139">
                  <c:v>9.1172990800000004</c:v>
                </c:pt>
                <c:pt idx="140">
                  <c:v>10.392557099999999</c:v>
                </c:pt>
                <c:pt idx="141">
                  <c:v>11.8461876</c:v>
                </c:pt>
                <c:pt idx="142">
                  <c:v>13.503140399999999</c:v>
                </c:pt>
                <c:pt idx="143">
                  <c:v>15.3918552</c:v>
                </c:pt>
                <c:pt idx="144">
                  <c:v>17.544748299999998</c:v>
                </c:pt>
                <c:pt idx="145">
                  <c:v>19.9987736</c:v>
                </c:pt>
                <c:pt idx="146">
                  <c:v>22.7960472</c:v>
                </c:pt>
                <c:pt idx="147">
                  <c:v>25.984580999999999</c:v>
                </c:pt>
                <c:pt idx="148">
                  <c:v>29.6191025</c:v>
                </c:pt>
                <c:pt idx="149">
                  <c:v>33.761993400000001</c:v>
                </c:pt>
                <c:pt idx="150" formatCode="General">
                  <c:v>38.484359699999999</c:v>
                </c:pt>
                <c:pt idx="151" formatCode="General">
                  <c:v>43.8672562</c:v>
                </c:pt>
                <c:pt idx="152" formatCode="General">
                  <c:v>50.003067000000001</c:v>
                </c:pt>
                <c:pt idx="153" formatCode="General">
                  <c:v>56.997112299999998</c:v>
                </c:pt>
                <c:pt idx="154" formatCode="General">
                  <c:v>64.969429000000005</c:v>
                </c:pt>
                <c:pt idx="155" formatCode="General">
                  <c:v>74.0568466</c:v>
                </c:pt>
                <c:pt idx="156" formatCode="General">
                  <c:v>84.415344200000007</c:v>
                </c:pt>
                <c:pt idx="157" formatCode="General">
                  <c:v>96.222709699999996</c:v>
                </c:pt>
                <c:pt idx="158" formatCode="General">
                  <c:v>109.681602</c:v>
                </c:pt>
                <c:pt idx="159" formatCode="General">
                  <c:v>125.02301799999999</c:v>
                </c:pt>
                <c:pt idx="160" formatCode="General">
                  <c:v>142.51026899999999</c:v>
                </c:pt>
                <c:pt idx="161" formatCode="General">
                  <c:v>162.44349700000001</c:v>
                </c:pt>
                <c:pt idx="162" formatCode="General">
                  <c:v>185.164841</c:v>
                </c:pt>
                <c:pt idx="163" formatCode="General">
                  <c:v>211.06426999999999</c:v>
                </c:pt>
                <c:pt idx="164" formatCode="General">
                  <c:v>240.58630400000001</c:v>
                </c:pt>
                <c:pt idx="165" formatCode="General">
                  <c:v>274.23767099999998</c:v>
                </c:pt>
                <c:pt idx="166" formatCode="General">
                  <c:v>312.59588600000001</c:v>
                </c:pt>
                <c:pt idx="167" formatCode="General">
                  <c:v>356.31939699999998</c:v>
                </c:pt>
                <c:pt idx="168" formatCode="General">
                  <c:v>406.15859999999998</c:v>
                </c:pt>
                <c:pt idx="169" formatCode="General">
                  <c:v>462.96893299999999</c:v>
                </c:pt>
                <c:pt idx="170" formatCode="General">
                  <c:v>527.72546399999999</c:v>
                </c:pt>
                <c:pt idx="171" formatCode="General">
                  <c:v>601.53961200000003</c:v>
                </c:pt>
                <c:pt idx="172" formatCode="General">
                  <c:v>685.67828399999996</c:v>
                </c:pt>
                <c:pt idx="173" formatCode="General">
                  <c:v>781.58569299999999</c:v>
                </c:pt>
                <c:pt idx="174" formatCode="General">
                  <c:v>890.90783699999997</c:v>
                </c:pt>
                <c:pt idx="175" formatCode="General">
                  <c:v>1015.52112</c:v>
                </c:pt>
                <c:pt idx="176" formatCode="General">
                  <c:v>1157.5643299999999</c:v>
                </c:pt>
                <c:pt idx="177" formatCode="General">
                  <c:v>1319.4754600000001</c:v>
                </c:pt>
                <c:pt idx="178" formatCode="General">
                  <c:v>1504.0335700000001</c:v>
                </c:pt>
                <c:pt idx="179" formatCode="General">
                  <c:v>1714.4061300000001</c:v>
                </c:pt>
                <c:pt idx="180" formatCode="General">
                  <c:v>1954.20398</c:v>
                </c:pt>
                <c:pt idx="181" formatCode="General">
                  <c:v>2227.54297</c:v>
                </c:pt>
                <c:pt idx="182" formatCode="General">
                  <c:v>2539.1145000000001</c:v>
                </c:pt>
                <c:pt idx="183" formatCode="General">
                  <c:v>2894.26611</c:v>
                </c:pt>
                <c:pt idx="184" formatCode="General">
                  <c:v>3299.09375</c:v>
                </c:pt>
                <c:pt idx="185" formatCode="General">
                  <c:v>3760.5454100000002</c:v>
                </c:pt>
                <c:pt idx="186" formatCode="General">
                  <c:v>4286.5415000000003</c:v>
                </c:pt>
                <c:pt idx="187" formatCode="General">
                  <c:v>4886.1098599999996</c:v>
                </c:pt>
                <c:pt idx="188" formatCode="General">
                  <c:v>5569.5410199999997</c:v>
                </c:pt>
                <c:pt idx="189" formatCode="General">
                  <c:v>6348.5654299999997</c:v>
                </c:pt>
                <c:pt idx="190" formatCode="General">
                  <c:v>7236.5532199999998</c:v>
                </c:pt>
                <c:pt idx="191" formatCode="General">
                  <c:v>8248.7460900000005</c:v>
                </c:pt>
                <c:pt idx="192" formatCode="General">
                  <c:v>9402.5175799999997</c:v>
                </c:pt>
                <c:pt idx="193" formatCode="General">
                  <c:v>10717.668900000001</c:v>
                </c:pt>
                <c:pt idx="194" formatCode="General">
                  <c:v>12216.7734</c:v>
                </c:pt>
                <c:pt idx="195" formatCode="General">
                  <c:v>13925.5615</c:v>
                </c:pt>
                <c:pt idx="196" formatCode="General">
                  <c:v>15873.3613</c:v>
                </c:pt>
                <c:pt idx="197" formatCode="General">
                  <c:v>18093.603500000001</c:v>
                </c:pt>
                <c:pt idx="198" formatCode="General">
                  <c:v>20624.398399999998</c:v>
                </c:pt>
                <c:pt idx="199" formatCode="General">
                  <c:v>23509.179700000001</c:v>
                </c:pt>
                <c:pt idx="200" formatCode="General">
                  <c:v>26797.460899999998</c:v>
                </c:pt>
                <c:pt idx="201" formatCode="General">
                  <c:v>30545.6816</c:v>
                </c:pt>
                <c:pt idx="202" formatCode="General">
                  <c:v>34818.175799999997</c:v>
                </c:pt>
                <c:pt idx="203" formatCode="General">
                  <c:v>39688.273399999998</c:v>
                </c:pt>
                <c:pt idx="204" formatCode="General">
                  <c:v>45239.5625</c:v>
                </c:pt>
                <c:pt idx="205" formatCode="General">
                  <c:v>51567.324200000003</c:v>
                </c:pt>
                <c:pt idx="206" formatCode="General">
                  <c:v>58780.160199999998</c:v>
                </c:pt>
                <c:pt idx="207" formatCode="General">
                  <c:v>67001.875</c:v>
                </c:pt>
                <c:pt idx="208" formatCode="General">
                  <c:v>76373.578099999999</c:v>
                </c:pt>
                <c:pt idx="209" formatCode="General">
                  <c:v>87056.125</c:v>
                </c:pt>
                <c:pt idx="210" formatCode="General">
                  <c:v>99232.859400000001</c:v>
                </c:pt>
                <c:pt idx="211" formatCode="General">
                  <c:v>113112.789</c:v>
                </c:pt>
                <c:pt idx="212" formatCode="General">
                  <c:v>128934.133</c:v>
                </c:pt>
                <c:pt idx="213" formatCode="General">
                  <c:v>146968.43799999999</c:v>
                </c:pt>
                <c:pt idx="214" formatCode="General">
                  <c:v>167525.25</c:v>
                </c:pt>
                <c:pt idx="215" formatCode="General">
                  <c:v>190957.391</c:v>
                </c:pt>
                <c:pt idx="216" formatCode="General">
                  <c:v>217667.03099999999</c:v>
                </c:pt>
                <c:pt idx="217" formatCode="General">
                  <c:v>248112.609</c:v>
                </c:pt>
                <c:pt idx="218" formatCode="General">
                  <c:v>282816.68800000002</c:v>
                </c:pt>
                <c:pt idx="219" formatCode="General">
                  <c:v>322374.875</c:v>
                </c:pt>
                <c:pt idx="220" formatCode="General">
                  <c:v>367466.18800000002</c:v>
                </c:pt>
                <c:pt idx="221" formatCode="General">
                  <c:v>418864.53100000002</c:v>
                </c:pt>
                <c:pt idx="222" formatCode="General">
                  <c:v>477452.06300000002</c:v>
                </c:pt>
                <c:pt idx="223" formatCode="General">
                  <c:v>544234.375</c:v>
                </c:pt>
                <c:pt idx="224" formatCode="General">
                  <c:v>620357.625</c:v>
                </c:pt>
                <c:pt idx="225" formatCode="General">
                  <c:v>707128.5</c:v>
                </c:pt>
                <c:pt idx="226" formatCode="General">
                  <c:v>806036.125</c:v>
                </c:pt>
                <c:pt idx="227" formatCode="General">
                  <c:v>918778.25</c:v>
                </c:pt>
                <c:pt idx="228" formatCode="General">
                  <c:v>1047289.81</c:v>
                </c:pt>
                <c:pt idx="229" formatCode="General">
                  <c:v>1193776.6299999999</c:v>
                </c:pt>
                <c:pt idx="230" formatCode="General">
                  <c:v>1360752.88</c:v>
                </c:pt>
                <c:pt idx="231" formatCode="General">
                  <c:v>1551084.5</c:v>
                </c:pt>
                <c:pt idx="232" formatCode="General">
                  <c:v>1768038.13</c:v>
                </c:pt>
                <c:pt idx="233" formatCode="General">
                  <c:v>2015337.63</c:v>
                </c:pt>
                <c:pt idx="234" formatCode="General">
                  <c:v>2297227.5</c:v>
                </c:pt>
                <c:pt idx="235" formatCode="General">
                  <c:v>2618546</c:v>
                </c:pt>
                <c:pt idx="236" formatCode="General">
                  <c:v>2984808</c:v>
                </c:pt>
                <c:pt idx="237" formatCode="General">
                  <c:v>3402299.75</c:v>
                </c:pt>
                <c:pt idx="238" formatCode="General">
                  <c:v>3878187.25</c:v>
                </c:pt>
                <c:pt idx="239" formatCode="General">
                  <c:v>4420638</c:v>
                </c:pt>
                <c:pt idx="240" formatCode="General">
                  <c:v>5038962.5</c:v>
                </c:pt>
                <c:pt idx="241" formatCode="General">
                  <c:v>5743773.5</c:v>
                </c:pt>
                <c:pt idx="242" formatCode="General">
                  <c:v>6547168.5</c:v>
                </c:pt>
                <c:pt idx="243" formatCode="General">
                  <c:v>7462935.5</c:v>
                </c:pt>
                <c:pt idx="244" formatCode="General">
                  <c:v>8506793</c:v>
                </c:pt>
                <c:pt idx="245" formatCode="General">
                  <c:v>9696658</c:v>
                </c:pt>
                <c:pt idx="246" formatCode="General">
                  <c:v>11052951</c:v>
                </c:pt>
                <c:pt idx="247" formatCode="General">
                  <c:v>12598953</c:v>
                </c:pt>
                <c:pt idx="248" formatCode="General">
                  <c:v>14361197</c:v>
                </c:pt>
                <c:pt idx="249" formatCode="General">
                  <c:v>16369930</c:v>
                </c:pt>
                <c:pt idx="250" formatCode="General">
                  <c:v>18659630</c:v>
                </c:pt>
                <c:pt idx="251" formatCode="General">
                  <c:v>21269594</c:v>
                </c:pt>
                <c:pt idx="252" formatCode="General">
                  <c:v>24244620</c:v>
                </c:pt>
                <c:pt idx="253" formatCode="General">
                  <c:v>27635770</c:v>
                </c:pt>
                <c:pt idx="254" formatCode="General">
                  <c:v>31501248</c:v>
                </c:pt>
                <c:pt idx="255" formatCode="General">
                  <c:v>35907400</c:v>
                </c:pt>
                <c:pt idx="256" formatCode="General">
                  <c:v>40929848</c:v>
                </c:pt>
                <c:pt idx="257" formatCode="General">
                  <c:v>46654800</c:v>
                </c:pt>
                <c:pt idx="258" formatCode="General">
                  <c:v>53180512</c:v>
                </c:pt>
                <c:pt idx="259" formatCode="General">
                  <c:v>60618988</c:v>
                </c:pt>
                <c:pt idx="260" formatCode="General">
                  <c:v>69097904</c:v>
                </c:pt>
                <c:pt idx="261" formatCode="General">
                  <c:v>78762784</c:v>
                </c:pt>
                <c:pt idx="262" formatCode="General">
                  <c:v>89779512</c:v>
                </c:pt>
                <c:pt idx="263" formatCode="General">
                  <c:v>102337176</c:v>
                </c:pt>
                <c:pt idx="264" formatCode="General">
                  <c:v>116651312</c:v>
                </c:pt>
                <c:pt idx="265" formatCode="General">
                  <c:v>132967600</c:v>
                </c:pt>
                <c:pt idx="266" formatCode="General">
                  <c:v>151566080</c:v>
                </c:pt>
                <c:pt idx="267" formatCode="General">
                  <c:v>172765968</c:v>
                </c:pt>
                <c:pt idx="268" formatCode="General">
                  <c:v>196931136</c:v>
                </c:pt>
                <c:pt idx="269" formatCode="General">
                  <c:v>224476336</c:v>
                </c:pt>
                <c:pt idx="270" formatCode="General">
                  <c:v>255874352</c:v>
                </c:pt>
                <c:pt idx="271" formatCode="General">
                  <c:v>291664064</c:v>
                </c:pt>
                <c:pt idx="272" formatCode="General">
                  <c:v>332459808</c:v>
                </c:pt>
                <c:pt idx="273" formatCode="General">
                  <c:v>378961696</c:v>
                </c:pt>
                <c:pt idx="274" formatCode="General">
                  <c:v>431967936</c:v>
                </c:pt>
                <c:pt idx="275" formatCode="General">
                  <c:v>492388256</c:v>
                </c:pt>
                <c:pt idx="276" formatCode="General">
                  <c:v>561259712</c:v>
                </c:pt>
                <c:pt idx="277" formatCode="General">
                  <c:v>639764416</c:v>
                </c:pt>
                <c:pt idx="278" formatCode="General">
                  <c:v>729249664</c:v>
                </c:pt>
                <c:pt idx="279" formatCode="General">
                  <c:v>831251520</c:v>
                </c:pt>
                <c:pt idx="280" formatCode="General">
                  <c:v>947520512</c:v>
                </c:pt>
                <c:pt idx="281" formatCode="General">
                  <c:v>1080052350</c:v>
                </c:pt>
                <c:pt idx="282" formatCode="General">
                  <c:v>1231121790</c:v>
                </c:pt>
                <c:pt idx="283" formatCode="General">
                  <c:v>1403321600</c:v>
                </c:pt>
                <c:pt idx="284" formatCode="General">
                  <c:v>1599607300</c:v>
                </c:pt>
                <c:pt idx="285" formatCode="General">
                  <c:v>1823347970</c:v>
                </c:pt>
                <c:pt idx="286" formatCode="General">
                  <c:v>2078383870</c:v>
                </c:pt>
                <c:pt idx="287" formatCode="General">
                  <c:v>2369092100</c:v>
                </c:pt>
                <c:pt idx="288" formatCode="General">
                  <c:v>2700462340</c:v>
                </c:pt>
                <c:pt idx="289" formatCode="General">
                  <c:v>3078182140</c:v>
                </c:pt>
                <c:pt idx="290" formatCode="General">
                  <c:v>3508734460</c:v>
                </c:pt>
                <c:pt idx="291" formatCode="General">
                  <c:v>3999508990</c:v>
                </c:pt>
                <c:pt idx="292" formatCode="General">
                  <c:v>4558929410</c:v>
                </c:pt>
                <c:pt idx="293" formatCode="General">
                  <c:v>5196597250</c:v>
                </c:pt>
                <c:pt idx="294" formatCode="General">
                  <c:v>5923457020</c:v>
                </c:pt>
                <c:pt idx="295" formatCode="General">
                  <c:v>6751984640</c:v>
                </c:pt>
                <c:pt idx="296" formatCode="General">
                  <c:v>7696399870</c:v>
                </c:pt>
                <c:pt idx="297" formatCode="General">
                  <c:v>8772913150</c:v>
                </c:pt>
                <c:pt idx="298" formatCode="General">
                  <c:v>10000000000</c:v>
                </c:pt>
              </c:numCache>
            </c:numRef>
          </c:xVal>
          <c:yVal>
            <c:numRef>
              <c:f>Abaqus_SSD_Analysis!$C$4:$C$302</c:f>
              <c:numCache>
                <c:formatCode>0.00E+00</c:formatCode>
                <c:ptCount val="299"/>
                <c:pt idx="0">
                  <c:v>0.17448882800000001</c:v>
                </c:pt>
                <c:pt idx="1">
                  <c:v>0.22615245</c:v>
                </c:pt>
                <c:pt idx="2">
                  <c:v>0.25731641100000002</c:v>
                </c:pt>
                <c:pt idx="3">
                  <c:v>0.29261711200000001</c:v>
                </c:pt>
                <c:pt idx="4">
                  <c:v>0.33252912800000001</c:v>
                </c:pt>
                <c:pt idx="5">
                  <c:v>0.37754595299999999</c:v>
                </c:pt>
                <c:pt idx="6">
                  <c:v>0.42816206800000001</c:v>
                </c:pt>
                <c:pt idx="7">
                  <c:v>0.48484453599999999</c:v>
                </c:pt>
                <c:pt idx="8">
                  <c:v>0.54799067999999995</c:v>
                </c:pt>
                <c:pt idx="9">
                  <c:v>0.61786729100000004</c:v>
                </c:pt>
                <c:pt idx="10">
                  <c:v>0.69452857999999995</c:v>
                </c:pt>
                <c:pt idx="11">
                  <c:v>0.77771014000000005</c:v>
                </c:pt>
                <c:pt idx="12">
                  <c:v>0.86670345100000001</c:v>
                </c:pt>
                <c:pt idx="13">
                  <c:v>0.96022158899999999</c:v>
                </c:pt>
                <c:pt idx="14">
                  <c:v>1.05628181</c:v>
                </c:pt>
                <c:pt idx="15">
                  <c:v>1.1521465799999999</c:v>
                </c:pt>
                <c:pt idx="16">
                  <c:v>1.2443753500000001</c:v>
                </c:pt>
                <c:pt idx="17">
                  <c:v>1.32904339</c:v>
                </c:pt>
                <c:pt idx="18">
                  <c:v>1.4021520599999999</c:v>
                </c:pt>
                <c:pt idx="19">
                  <c:v>1.4601983999999999</c:v>
                </c:pt>
                <c:pt idx="20">
                  <c:v>1.50079608</c:v>
                </c:pt>
                <c:pt idx="21">
                  <c:v>1.5231769100000001</c:v>
                </c:pt>
                <c:pt idx="22">
                  <c:v>1.52841282</c:v>
                </c:pt>
                <c:pt idx="23">
                  <c:v>1.5192771</c:v>
                </c:pt>
                <c:pt idx="24">
                  <c:v>1.49978995</c:v>
                </c:pt>
                <c:pt idx="25">
                  <c:v>1.4745901800000001</c:v>
                </c:pt>
                <c:pt idx="26">
                  <c:v>1.44830573</c:v>
                </c:pt>
                <c:pt idx="27">
                  <c:v>1.42504692</c:v>
                </c:pt>
                <c:pt idx="28">
                  <c:v>1.40807664</c:v>
                </c:pt>
                <c:pt idx="29">
                  <c:v>1.3996397300000001</c:v>
                </c:pt>
                <c:pt idx="30">
                  <c:v>1.4009102600000001</c:v>
                </c:pt>
                <c:pt idx="31">
                  <c:v>1.4120101899999999</c:v>
                </c:pt>
                <c:pt idx="32">
                  <c:v>1.43207705</c:v>
                </c:pt>
                <c:pt idx="33">
                  <c:v>1.4593848</c:v>
                </c:pt>
                <c:pt idx="34">
                  <c:v>1.49154198</c:v>
                </c:pt>
                <c:pt idx="35">
                  <c:v>1.5257951000000001</c:v>
                </c:pt>
                <c:pt idx="36">
                  <c:v>1.55944109</c:v>
                </c:pt>
                <c:pt idx="37">
                  <c:v>1.59030771</c:v>
                </c:pt>
                <c:pt idx="38">
                  <c:v>1.61720598</c:v>
                </c:pt>
                <c:pt idx="39">
                  <c:v>1.64023542</c:v>
                </c:pt>
                <c:pt idx="40">
                  <c:v>1.6608471899999999</c:v>
                </c:pt>
                <c:pt idx="41">
                  <c:v>1.68164337</c:v>
                </c:pt>
                <c:pt idx="42">
                  <c:v>1.7059787500000001</c:v>
                </c:pt>
                <c:pt idx="43">
                  <c:v>1.7374776599999999</c:v>
                </c:pt>
                <c:pt idx="44">
                  <c:v>1.77957845</c:v>
                </c:pt>
                <c:pt idx="45">
                  <c:v>1.83516908</c:v>
                </c:pt>
                <c:pt idx="46">
                  <c:v>1.90633035</c:v>
                </c:pt>
                <c:pt idx="47">
                  <c:v>1.9941635099999999</c:v>
                </c:pt>
                <c:pt idx="48">
                  <c:v>2.0986797799999999</c:v>
                </c:pt>
                <c:pt idx="49">
                  <c:v>2.2187395099999998</c:v>
                </c:pt>
                <c:pt idx="50">
                  <c:v>2.35206604</c:v>
                </c:pt>
                <c:pt idx="51">
                  <c:v>2.4953787300000001</c:v>
                </c:pt>
                <c:pt idx="52">
                  <c:v>2.6447138799999999</c:v>
                </c:pt>
                <c:pt idx="53">
                  <c:v>2.7959692500000002</c:v>
                </c:pt>
                <c:pt idx="54">
                  <c:v>2.9456491499999999</c:v>
                </c:pt>
                <c:pt idx="55">
                  <c:v>3.0916895900000001</c:v>
                </c:pt>
                <c:pt idx="56">
                  <c:v>3.2341589900000001</c:v>
                </c:pt>
                <c:pt idx="57">
                  <c:v>3.3756198899999998</c:v>
                </c:pt>
                <c:pt idx="58">
                  <c:v>3.5210246999999999</c:v>
                </c:pt>
                <c:pt idx="59">
                  <c:v>3.6771659900000002</c:v>
                </c:pt>
                <c:pt idx="60">
                  <c:v>3.8518433600000002</c:v>
                </c:pt>
                <c:pt idx="61">
                  <c:v>4.0529532399999999</c:v>
                </c:pt>
                <c:pt idx="62">
                  <c:v>4.2876696599999997</c:v>
                </c:pt>
                <c:pt idx="63">
                  <c:v>4.5617856999999997</c:v>
                </c:pt>
                <c:pt idx="64">
                  <c:v>4.8792133299999998</c:v>
                </c:pt>
                <c:pt idx="65">
                  <c:v>5.2416000399999998</c:v>
                </c:pt>
                <c:pt idx="66">
                  <c:v>5.6480336199999996</c:v>
                </c:pt>
                <c:pt idx="67">
                  <c:v>6.0948848699999996</c:v>
                </c:pt>
                <c:pt idx="68">
                  <c:v>6.5758829099999998</c:v>
                </c:pt>
                <c:pt idx="69">
                  <c:v>7.0826053599999996</c:v>
                </c:pt>
                <c:pt idx="70">
                  <c:v>7.60553217</c:v>
                </c:pt>
                <c:pt idx="71">
                  <c:v>8.1357183499999994</c:v>
                </c:pt>
                <c:pt idx="72">
                  <c:v>8.6669130299999999</c:v>
                </c:pt>
                <c:pt idx="73">
                  <c:v>9.1976890600000001</c:v>
                </c:pt>
                <c:pt idx="74">
                  <c:v>9.7330017099999999</c:v>
                </c:pt>
                <c:pt idx="75">
                  <c:v>10.2846355</c:v>
                </c:pt>
                <c:pt idx="76">
                  <c:v>10.870374699999999</c:v>
                </c:pt>
                <c:pt idx="77">
                  <c:v>11.5120907</c:v>
                </c:pt>
                <c:pt idx="78">
                  <c:v>12.2332754</c:v>
                </c:pt>
                <c:pt idx="79">
                  <c:v>13.056532900000001</c:v>
                </c:pt>
                <c:pt idx="80">
                  <c:v>14.001377099999999</c:v>
                </c:pt>
                <c:pt idx="81">
                  <c:v>15.0824108</c:v>
                </c:pt>
                <c:pt idx="82">
                  <c:v>16.307842300000001</c:v>
                </c:pt>
                <c:pt idx="83">
                  <c:v>17.678220700000001</c:v>
                </c:pt>
                <c:pt idx="84">
                  <c:v>19.185472499999999</c:v>
                </c:pt>
                <c:pt idx="85">
                  <c:v>20.812475200000002</c:v>
                </c:pt>
                <c:pt idx="86">
                  <c:v>22.533704799999999</c:v>
                </c:pt>
                <c:pt idx="87">
                  <c:v>24.3175259</c:v>
                </c:pt>
                <c:pt idx="88">
                  <c:v>26.130617099999998</c:v>
                </c:pt>
                <c:pt idx="89">
                  <c:v>27.944368399999998</c:v>
                </c:pt>
                <c:pt idx="90">
                  <c:v>29.7423325</c:v>
                </c:pt>
                <c:pt idx="91">
                  <c:v>31.5268841</c:v>
                </c:pt>
                <c:pt idx="92">
                  <c:v>33.323043800000001</c:v>
                </c:pt>
                <c:pt idx="93">
                  <c:v>35.178039599999998</c:v>
                </c:pt>
                <c:pt idx="94">
                  <c:v>37.156509399999997</c:v>
                </c:pt>
                <c:pt idx="95">
                  <c:v>39.3325958</c:v>
                </c:pt>
                <c:pt idx="96">
                  <c:v>41.780777</c:v>
                </c:pt>
                <c:pt idx="97">
                  <c:v>44.567016600000002</c:v>
                </c:pt>
                <c:pt idx="98">
                  <c:v>47.741027799999998</c:v>
                </c:pt>
                <c:pt idx="99">
                  <c:v>51.329631800000001</c:v>
                </c:pt>
                <c:pt idx="100">
                  <c:v>55.330955500000002</c:v>
                </c:pt>
                <c:pt idx="101">
                  <c:v>59.709331499999998</c:v>
                </c:pt>
                <c:pt idx="102">
                  <c:v>64.391609200000005</c:v>
                </c:pt>
                <c:pt idx="103">
                  <c:v>69.266334499999999</c:v>
                </c:pt>
                <c:pt idx="104">
                  <c:v>74.188201899999996</c:v>
                </c:pt>
                <c:pt idx="105">
                  <c:v>78.990074199999995</c:v>
                </c:pt>
                <c:pt idx="106">
                  <c:v>83.503753700000004</c:v>
                </c:pt>
                <c:pt idx="107">
                  <c:v>87.587669399999996</c:v>
                </c:pt>
                <c:pt idx="108">
                  <c:v>91.156242399999996</c:v>
                </c:pt>
                <c:pt idx="109">
                  <c:v>94.202835100000001</c:v>
                </c:pt>
                <c:pt idx="110">
                  <c:v>96.808929399999997</c:v>
                </c:pt>
                <c:pt idx="111">
                  <c:v>99.135833700000006</c:v>
                </c:pt>
                <c:pt idx="112">
                  <c:v>101.401276</c:v>
                </c:pt>
                <c:pt idx="113">
                  <c:v>103.847504</c:v>
                </c:pt>
                <c:pt idx="114">
                  <c:v>106.708748</c:v>
                </c:pt>
                <c:pt idx="115">
                  <c:v>110.183296</c:v>
                </c:pt>
                <c:pt idx="116">
                  <c:v>114.41235399999999</c:v>
                </c:pt>
                <c:pt idx="117">
                  <c:v>119.464905</c:v>
                </c:pt>
                <c:pt idx="118">
                  <c:v>125.326767</c:v>
                </c:pt>
                <c:pt idx="119">
                  <c:v>131.89308199999999</c:v>
                </c:pt>
                <c:pt idx="120">
                  <c:v>138.96530200000001</c:v>
                </c:pt>
                <c:pt idx="121">
                  <c:v>146.25599700000001</c:v>
                </c:pt>
                <c:pt idx="122">
                  <c:v>153.40647899999999</c:v>
                </c:pt>
                <c:pt idx="123">
                  <c:v>160.02131700000001</c:v>
                </c:pt>
                <c:pt idx="124">
                  <c:v>165.72006200000001</c:v>
                </c:pt>
                <c:pt idx="125">
                  <c:v>170.199524</c:v>
                </c:pt>
                <c:pt idx="126">
                  <c:v>173.29284699999999</c:v>
                </c:pt>
                <c:pt idx="127">
                  <c:v>175.00817900000001</c:v>
                </c:pt>
                <c:pt idx="128">
                  <c:v>175.53401199999999</c:v>
                </c:pt>
                <c:pt idx="129">
                  <c:v>175.20903000000001</c:v>
                </c:pt>
                <c:pt idx="130">
                  <c:v>174.465881</c:v>
                </c:pt>
                <c:pt idx="131">
                  <c:v>173.765198</c:v>
                </c:pt>
                <c:pt idx="132">
                  <c:v>173.53495799999999</c:v>
                </c:pt>
                <c:pt idx="133">
                  <c:v>174.12428299999999</c:v>
                </c:pt>
                <c:pt idx="134">
                  <c:v>175.773087</c:v>
                </c:pt>
                <c:pt idx="135">
                  <c:v>178.594482</c:v>
                </c:pt>
                <c:pt idx="136">
                  <c:v>182.56590299999999</c:v>
                </c:pt>
                <c:pt idx="137">
                  <c:v>187.52658099999999</c:v>
                </c:pt>
                <c:pt idx="138">
                  <c:v>193.18248</c:v>
                </c:pt>
                <c:pt idx="139">
                  <c:v>199.12283300000001</c:v>
                </c:pt>
                <c:pt idx="140">
                  <c:v>204.85424800000001</c:v>
                </c:pt>
                <c:pt idx="141">
                  <c:v>209.855942</c:v>
                </c:pt>
                <c:pt idx="142">
                  <c:v>213.65315200000001</c:v>
                </c:pt>
                <c:pt idx="143">
                  <c:v>215.89711</c:v>
                </c:pt>
                <c:pt idx="144">
                  <c:v>216.431656</c:v>
                </c:pt>
                <c:pt idx="145">
                  <c:v>215.32652300000001</c:v>
                </c:pt>
                <c:pt idx="146">
                  <c:v>212.866028</c:v>
                </c:pt>
                <c:pt idx="147">
                  <c:v>209.49702500000001</c:v>
                </c:pt>
                <c:pt idx="148">
                  <c:v>205.75254799999999</c:v>
                </c:pt>
                <c:pt idx="149">
                  <c:v>202.17227199999999</c:v>
                </c:pt>
                <c:pt idx="150" formatCode="General">
                  <c:v>199.23585499999999</c:v>
                </c:pt>
                <c:pt idx="151" formatCode="General">
                  <c:v>197.31691000000001</c:v>
                </c:pt>
                <c:pt idx="152" formatCode="General">
                  <c:v>196.656036</c:v>
                </c:pt>
                <c:pt idx="153" formatCode="General">
                  <c:v>197.34848</c:v>
                </c:pt>
                <c:pt idx="154" formatCode="General">
                  <c:v>199.340912</c:v>
                </c:pt>
                <c:pt idx="155" formatCode="General">
                  <c:v>202.43514999999999</c:v>
                </c:pt>
                <c:pt idx="156" formatCode="General">
                  <c:v>206.30050700000001</c:v>
                </c:pt>
                <c:pt idx="157" formatCode="General">
                  <c:v>210.499191</c:v>
                </c:pt>
                <c:pt idx="158" formatCode="General">
                  <c:v>214.529785</c:v>
                </c:pt>
                <c:pt idx="159" formatCode="General">
                  <c:v>217.89033499999999</c:v>
                </c:pt>
                <c:pt idx="160" formatCode="General">
                  <c:v>220.15479999999999</c:v>
                </c:pt>
                <c:pt idx="161" formatCode="General">
                  <c:v>221.04809599999999</c:v>
                </c:pt>
                <c:pt idx="162" formatCode="General">
                  <c:v>220.499527</c:v>
                </c:pt>
                <c:pt idx="163" formatCode="General">
                  <c:v>218.65780599999999</c:v>
                </c:pt>
                <c:pt idx="164" formatCode="General">
                  <c:v>215.86253400000001</c:v>
                </c:pt>
                <c:pt idx="165" formatCode="General">
                  <c:v>212.58158900000001</c:v>
                </c:pt>
                <c:pt idx="166" formatCode="General">
                  <c:v>209.33311499999999</c:v>
                </c:pt>
                <c:pt idx="167" formatCode="General">
                  <c:v>206.61146500000001</c:v>
                </c:pt>
                <c:pt idx="168" formatCode="General">
                  <c:v>204.82917800000001</c:v>
                </c:pt>
                <c:pt idx="169" formatCode="General">
                  <c:v>204.27844200000001</c:v>
                </c:pt>
                <c:pt idx="170" formatCode="General">
                  <c:v>205.10913099999999</c:v>
                </c:pt>
                <c:pt idx="171" formatCode="General">
                  <c:v>207.317947</c:v>
                </c:pt>
                <c:pt idx="172" formatCode="General">
                  <c:v>210.74560500000001</c:v>
                </c:pt>
                <c:pt idx="173" formatCode="General">
                  <c:v>215.081512</c:v>
                </c:pt>
                <c:pt idx="174" formatCode="General">
                  <c:v>219.880325</c:v>
                </c:pt>
                <c:pt idx="175" formatCode="General">
                  <c:v>224.59622200000001</c:v>
                </c:pt>
                <c:pt idx="176" formatCode="General">
                  <c:v>228.63969399999999</c:v>
                </c:pt>
                <c:pt idx="177" formatCode="General">
                  <c:v>231.455353</c:v>
                </c:pt>
                <c:pt idx="178" formatCode="General">
                  <c:v>232.60964999999999</c:v>
                </c:pt>
                <c:pt idx="179" formatCode="General">
                  <c:v>231.86816400000001</c:v>
                </c:pt>
                <c:pt idx="180" formatCode="General">
                  <c:v>229.239822</c:v>
                </c:pt>
                <c:pt idx="181" formatCode="General">
                  <c:v>224.97383099999999</c:v>
                </c:pt>
                <c:pt idx="182" formatCode="General">
                  <c:v>219.51011700000001</c:v>
                </c:pt>
                <c:pt idx="183" formatCode="General">
                  <c:v>213.399902</c:v>
                </c:pt>
                <c:pt idx="184" formatCode="General">
                  <c:v>207.21911600000001</c:v>
                </c:pt>
                <c:pt idx="185" formatCode="General">
                  <c:v>201.49414100000001</c:v>
                </c:pt>
                <c:pt idx="186" formatCode="General">
                  <c:v>196.649689</c:v>
                </c:pt>
                <c:pt idx="187" formatCode="General">
                  <c:v>192.979263</c:v>
                </c:pt>
                <c:pt idx="188" formatCode="General">
                  <c:v>190.632813</c:v>
                </c:pt>
                <c:pt idx="189" formatCode="General">
                  <c:v>189.61552399999999</c:v>
                </c:pt>
                <c:pt idx="190" formatCode="General">
                  <c:v>189.793869</c:v>
                </c:pt>
                <c:pt idx="191" formatCode="General">
                  <c:v>190.90832499999999</c:v>
                </c:pt>
                <c:pt idx="192" formatCode="General">
                  <c:v>192.59620699999999</c:v>
                </c:pt>
                <c:pt idx="193" formatCode="General">
                  <c:v>194.428314</c:v>
                </c:pt>
                <c:pt idx="194" formatCode="General">
                  <c:v>195.961761</c:v>
                </c:pt>
                <c:pt idx="195" formatCode="General">
                  <c:v>196.804901</c:v>
                </c:pt>
                <c:pt idx="196" formatCode="General">
                  <c:v>196.68331900000001</c:v>
                </c:pt>
                <c:pt idx="197" formatCode="General">
                  <c:v>195.49014299999999</c:v>
                </c:pt>
                <c:pt idx="198" formatCode="General">
                  <c:v>193.305466</c:v>
                </c:pt>
                <c:pt idx="199" formatCode="General">
                  <c:v>190.37866199999999</c:v>
                </c:pt>
                <c:pt idx="200" formatCode="General">
                  <c:v>187.07925399999999</c:v>
                </c:pt>
                <c:pt idx="201" formatCode="General">
                  <c:v>183.83175700000001</c:v>
                </c:pt>
                <c:pt idx="202" formatCode="General">
                  <c:v>181.05102500000001</c:v>
                </c:pt>
                <c:pt idx="203" formatCode="General">
                  <c:v>179.08972199999999</c:v>
                </c:pt>
                <c:pt idx="204" formatCode="General">
                  <c:v>178.20223999999999</c:v>
                </c:pt>
                <c:pt idx="205" formatCode="General">
                  <c:v>178.523056</c:v>
                </c:pt>
                <c:pt idx="206" formatCode="General">
                  <c:v>180.055252</c:v>
                </c:pt>
                <c:pt idx="207" formatCode="General">
                  <c:v>182.66610700000001</c:v>
                </c:pt>
                <c:pt idx="208" formatCode="General">
                  <c:v>186.089035</c:v>
                </c:pt>
                <c:pt idx="209" formatCode="General">
                  <c:v>189.93536399999999</c:v>
                </c:pt>
                <c:pt idx="210" formatCode="General">
                  <c:v>193.72096300000001</c:v>
                </c:pt>
                <c:pt idx="211" formatCode="General">
                  <c:v>196.91255200000001</c:v>
                </c:pt>
                <c:pt idx="212" formatCode="General">
                  <c:v>198.99389600000001</c:v>
                </c:pt>
                <c:pt idx="213" formatCode="General">
                  <c:v>199.543137</c:v>
                </c:pt>
                <c:pt idx="214" formatCode="General">
                  <c:v>198.304733</c:v>
                </c:pt>
                <c:pt idx="215" formatCode="General">
                  <c:v>195.23541299999999</c:v>
                </c:pt>
                <c:pt idx="216" formatCode="General">
                  <c:v>190.50943000000001</c:v>
                </c:pt>
                <c:pt idx="217" formatCode="General">
                  <c:v>184.481537</c:v>
                </c:pt>
                <c:pt idx="218" formatCode="General">
                  <c:v>177.62029999999999</c:v>
                </c:pt>
                <c:pt idx="219" formatCode="General">
                  <c:v>170.431961</c:v>
                </c:pt>
                <c:pt idx="220" formatCode="General">
                  <c:v>163.393326</c:v>
                </c:pt>
                <c:pt idx="221" formatCode="General">
                  <c:v>156.904144</c:v>
                </c:pt>
                <c:pt idx="222" formatCode="General">
                  <c:v>151.260727</c:v>
                </c:pt>
                <c:pt idx="223" formatCode="General">
                  <c:v>146.64666700000001</c:v>
                </c:pt>
                <c:pt idx="224" formatCode="General">
                  <c:v>143.13455200000001</c:v>
                </c:pt>
                <c:pt idx="225" formatCode="General">
                  <c:v>140.693985</c:v>
                </c:pt>
                <c:pt idx="226" formatCode="General">
                  <c:v>139.20394899999999</c:v>
                </c:pt>
                <c:pt idx="227" formatCode="General">
                  <c:v>138.46992499999999</c:v>
                </c:pt>
                <c:pt idx="228" formatCode="General">
                  <c:v>138.247894</c:v>
                </c:pt>
                <c:pt idx="229" formatCode="General">
                  <c:v>138.27659600000001</c:v>
                </c:pt>
                <c:pt idx="230" formatCode="General">
                  <c:v>138.31686400000001</c:v>
                </c:pt>
                <c:pt idx="231" formatCode="General">
                  <c:v>138.191956</c:v>
                </c:pt>
                <c:pt idx="232" formatCode="General">
                  <c:v>137.82008400000001</c:v>
                </c:pt>
                <c:pt idx="233" formatCode="General">
                  <c:v>137.22953799999999</c:v>
                </c:pt>
                <c:pt idx="234" formatCode="General">
                  <c:v>136.55169699999999</c:v>
                </c:pt>
                <c:pt idx="235" formatCode="General">
                  <c:v>135.994202</c:v>
                </c:pt>
                <c:pt idx="236" formatCode="General">
                  <c:v>135.802109</c:v>
                </c:pt>
                <c:pt idx="237" formatCode="General">
                  <c:v>136.216858</c:v>
                </c:pt>
                <c:pt idx="238" formatCode="General">
                  <c:v>137.44042999999999</c:v>
                </c:pt>
                <c:pt idx="239" formatCode="General">
                  <c:v>139.60763499999999</c:v>
                </c:pt>
                <c:pt idx="240" formatCode="General">
                  <c:v>142.76597599999999</c:v>
                </c:pt>
                <c:pt idx="241" formatCode="General">
                  <c:v>146.86093099999999</c:v>
                </c:pt>
                <c:pt idx="242" formatCode="General">
                  <c:v>151.72551000000001</c:v>
                </c:pt>
                <c:pt idx="243" formatCode="General">
                  <c:v>157.074997</c:v>
                </c:pt>
                <c:pt idx="244" formatCode="General">
                  <c:v>162.51078799999999</c:v>
                </c:pt>
                <c:pt idx="245" formatCode="General">
                  <c:v>167.539413</c:v>
                </c:pt>
                <c:pt idx="246" formatCode="General">
                  <c:v>171.61198400000001</c:v>
                </c:pt>
                <c:pt idx="247" formatCode="General">
                  <c:v>174.18544</c:v>
                </c:pt>
                <c:pt idx="248" formatCode="General">
                  <c:v>174.79856899999999</c:v>
                </c:pt>
                <c:pt idx="249" formatCode="General">
                  <c:v>173.146591</c:v>
                </c:pt>
                <c:pt idx="250" formatCode="General">
                  <c:v>169.133499</c:v>
                </c:pt>
                <c:pt idx="251" formatCode="General">
                  <c:v>162.8853</c:v>
                </c:pt>
                <c:pt idx="252" formatCode="General">
                  <c:v>154.71965</c:v>
                </c:pt>
                <c:pt idx="253" formatCode="General">
                  <c:v>145.08299299999999</c:v>
                </c:pt>
                <c:pt idx="254" formatCode="General">
                  <c:v>134.47494499999999</c:v>
                </c:pt>
                <c:pt idx="255" formatCode="General">
                  <c:v>123.380211</c:v>
                </c:pt>
                <c:pt idx="256" formatCode="General">
                  <c:v>112.220596</c:v>
                </c:pt>
                <c:pt idx="257" formatCode="General">
                  <c:v>101.330254</c:v>
                </c:pt>
                <c:pt idx="258" formatCode="General">
                  <c:v>90.9507294</c:v>
                </c:pt>
                <c:pt idx="259" formatCode="General">
                  <c:v>81.2390671</c:v>
                </c:pt>
                <c:pt idx="260" formatCode="General">
                  <c:v>72.282440199999996</c:v>
                </c:pt>
                <c:pt idx="261" formatCode="General">
                  <c:v>64.114570599999993</c:v>
                </c:pt>
                <c:pt idx="262" formatCode="General">
                  <c:v>56.730953200000002</c:v>
                </c:pt>
                <c:pt idx="263" formatCode="General">
                  <c:v>50.101535800000001</c:v>
                </c:pt>
                <c:pt idx="264" formatCode="General">
                  <c:v>44.180599200000003</c:v>
                </c:pt>
                <c:pt idx="265" formatCode="General">
                  <c:v>38.913986199999997</c:v>
                </c:pt>
                <c:pt idx="266" formatCode="General">
                  <c:v>34.244159699999997</c:v>
                </c:pt>
                <c:pt idx="267" formatCode="General">
                  <c:v>30.113584500000002</c:v>
                </c:pt>
                <c:pt idx="268" formatCode="General">
                  <c:v>26.466865500000001</c:v>
                </c:pt>
                <c:pt idx="269" formatCode="General">
                  <c:v>23.251996999999999</c:v>
                </c:pt>
                <c:pt idx="270" formatCode="General">
                  <c:v>20.421011</c:v>
                </c:pt>
                <c:pt idx="271" formatCode="General">
                  <c:v>17.930219699999999</c:v>
                </c:pt>
                <c:pt idx="272" formatCode="General">
                  <c:v>15.7401991</c:v>
                </c:pt>
                <c:pt idx="273" formatCode="General">
                  <c:v>13.8156166</c:v>
                </c:pt>
                <c:pt idx="274" formatCode="General">
                  <c:v>12.1249685</c:v>
                </c:pt>
                <c:pt idx="275" formatCode="General">
                  <c:v>10.6402702</c:v>
                </c:pt>
                <c:pt idx="276" formatCode="General">
                  <c:v>9.33673763</c:v>
                </c:pt>
                <c:pt idx="277" formatCode="General">
                  <c:v>8.1924724599999994</c:v>
                </c:pt>
                <c:pt idx="278" formatCode="General">
                  <c:v>7.1881523100000004</c:v>
                </c:pt>
                <c:pt idx="279" formatCode="General">
                  <c:v>6.3067569700000004</c:v>
                </c:pt>
                <c:pt idx="280" formatCode="General">
                  <c:v>5.5333046899999996</c:v>
                </c:pt>
                <c:pt idx="281" formatCode="General">
                  <c:v>4.8546199799999998</c:v>
                </c:pt>
                <c:pt idx="282" formatCode="General">
                  <c:v>4.2591156999999997</c:v>
                </c:pt>
                <c:pt idx="283" formatCode="General">
                  <c:v>3.7366206599999998</c:v>
                </c:pt>
                <c:pt idx="284" formatCode="General">
                  <c:v>3.27819657</c:v>
                </c:pt>
                <c:pt idx="285" formatCode="General">
                  <c:v>2.87599516</c:v>
                </c:pt>
                <c:pt idx="286" formatCode="General">
                  <c:v>2.5231275599999998</c:v>
                </c:pt>
                <c:pt idx="287" formatCode="General">
                  <c:v>2.2135460400000002</c:v>
                </c:pt>
                <c:pt idx="288" formatCode="General">
                  <c:v>1.94194555</c:v>
                </c:pt>
                <c:pt idx="289" formatCode="General">
                  <c:v>1.7036632300000001</c:v>
                </c:pt>
                <c:pt idx="290" formatCode="General">
                  <c:v>1.4946566800000001</c:v>
                </c:pt>
                <c:pt idx="291" formatCode="General">
                  <c:v>1.31122088</c:v>
                </c:pt>
                <c:pt idx="292" formatCode="General">
                  <c:v>1.1503405600000001</c:v>
                </c:pt>
                <c:pt idx="293" formatCode="General">
                  <c:v>1.00917447</c:v>
                </c:pt>
                <c:pt idx="294" formatCode="General">
                  <c:v>0.88534182299999997</c:v>
                </c:pt>
                <c:pt idx="295" formatCode="General">
                  <c:v>0.77670407299999999</c:v>
                </c:pt>
                <c:pt idx="296" formatCode="General">
                  <c:v>0.68139690200000003</c:v>
                </c:pt>
                <c:pt idx="297" formatCode="General">
                  <c:v>0.59778457900000004</c:v>
                </c:pt>
                <c:pt idx="298" formatCode="General">
                  <c:v>0.52443230200000002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079680"/>
        <c:axId val="141081600"/>
      </c:scatterChart>
      <c:valAx>
        <c:axId val="141079680"/>
        <c:scaling>
          <c:logBase val="10"/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Frequency, Hz.</a:t>
                </a:r>
              </a:p>
            </c:rich>
          </c:tx>
          <c:layout/>
          <c:overlay val="0"/>
        </c:title>
        <c:numFmt formatCode="0.E+0" sourceLinked="0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141081600"/>
        <c:crossesAt val="1.0000000000000002E-2"/>
        <c:crossBetween val="midCat"/>
      </c:valAx>
      <c:valAx>
        <c:axId val="141081600"/>
        <c:scaling>
          <c:logBase val="10"/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en-US" sz="1400"/>
                  <a:t>Shear &amp; Loss Modulus (MPa)</a:t>
                </a:r>
              </a:p>
            </c:rich>
          </c:tx>
          <c:layout>
            <c:manualLayout>
              <c:xMode val="edge"/>
              <c:yMode val="edge"/>
              <c:x val="1.2431765428514192E-2"/>
              <c:y val="0.24896176637714101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141079680"/>
        <c:crossesAt val="1.0000000000000003E-4"/>
        <c:crossBetween val="midCat"/>
      </c:valAx>
    </c:plotArea>
    <c:legend>
      <c:legendPos val="r"/>
      <c:layout>
        <c:manualLayout>
          <c:xMode val="edge"/>
          <c:yMode val="edge"/>
          <c:x val="0.49673212365483421"/>
          <c:y val="0.47958438184917607"/>
          <c:w val="0.23142557702516203"/>
          <c:h val="0.28181616473198584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</c:spPr>
      <c:txPr>
        <a:bodyPr/>
        <a:lstStyle/>
        <a:p>
          <a:pPr>
            <a:defRPr sz="12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US" sz="1400"/>
              <a:t>Frequency domain representation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0488521851320967"/>
          <c:y val="0.11342640953046468"/>
          <c:w val="0.84516112661049148"/>
          <c:h val="0.74550407868732782"/>
        </c:manualLayout>
      </c:layout>
      <c:scatterChart>
        <c:scatterStyle val="lineMarker"/>
        <c:varyColors val="0"/>
        <c:ser>
          <c:idx val="2"/>
          <c:order val="0"/>
          <c:tx>
            <c:v>Gs Test Data</c:v>
          </c:tx>
          <c:spPr>
            <a:ln>
              <a:noFill/>
            </a:ln>
          </c:spPr>
          <c:marker>
            <c:symbol val="diamond"/>
            <c:size val="5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</c:spPr>
          </c:marker>
          <c:xVal>
            <c:numRef>
              <c:f>'Prony Fit'!$F$6:$F$46</c:f>
              <c:numCache>
                <c:formatCode>0.0000E+00</c:formatCode>
                <c:ptCount val="41"/>
                <c:pt idx="0">
                  <c:v>6.3095734448019212E-6</c:v>
                </c:pt>
                <c:pt idx="1">
                  <c:v>1.3881061578564237E-5</c:v>
                </c:pt>
                <c:pt idx="2">
                  <c:v>2.9024037846088861E-5</c:v>
                </c:pt>
                <c:pt idx="3">
                  <c:v>6.3095734448019279E-5</c:v>
                </c:pt>
                <c:pt idx="4">
                  <c:v>1.3881061578564229E-4</c:v>
                </c:pt>
                <c:pt idx="5">
                  <c:v>2.9024037846088892E-4</c:v>
                </c:pt>
                <c:pt idx="6">
                  <c:v>6.3095734448019244E-4</c:v>
                </c:pt>
                <c:pt idx="7">
                  <c:v>1.3565582906324136E-3</c:v>
                </c:pt>
                <c:pt idx="8">
                  <c:v>2.5118864315095777E-3</c:v>
                </c:pt>
                <c:pt idx="9">
                  <c:v>5.400555827745593E-3</c:v>
                </c:pt>
                <c:pt idx="10">
                  <c:v>1.2589254117941664E-2</c:v>
                </c:pt>
                <c:pt idx="11">
                  <c:v>2.7066896353574597E-2</c:v>
                </c:pt>
                <c:pt idx="12">
                  <c:v>5.8414139107249366E-2</c:v>
                </c:pt>
                <c:pt idx="13">
                  <c:v>8.5606928002003368E-2</c:v>
                </c:pt>
                <c:pt idx="14">
                  <c:v>0.13881061578564249</c:v>
                </c:pt>
                <c:pt idx="15">
                  <c:v>0.21999999999999997</c:v>
                </c:pt>
                <c:pt idx="16">
                  <c:v>0.36856830091206649</c:v>
                </c:pt>
                <c:pt idx="17">
                  <c:v>0.67999999999999994</c:v>
                </c:pt>
                <c:pt idx="18">
                  <c:v>1.5</c:v>
                </c:pt>
                <c:pt idx="19">
                  <c:v>3.2000000000000006</c:v>
                </c:pt>
                <c:pt idx="20">
                  <c:v>6.8000000000000007</c:v>
                </c:pt>
                <c:pt idx="21">
                  <c:v>18.312929845460879</c:v>
                </c:pt>
                <c:pt idx="22">
                  <c:v>31.600000000000012</c:v>
                </c:pt>
                <c:pt idx="23">
                  <c:v>59.71607558302464</c:v>
                </c:pt>
                <c:pt idx="24">
                  <c:v>127.39429457711913</c:v>
                </c:pt>
                <c:pt idx="25">
                  <c:v>270.71287597637831</c:v>
                </c:pt>
                <c:pt idx="26">
                  <c:v>556.02976430699744</c:v>
                </c:pt>
                <c:pt idx="27">
                  <c:v>1191.4923520864234</c:v>
                </c:pt>
                <c:pt idx="28">
                  <c:v>2541.8503511177009</c:v>
                </c:pt>
                <c:pt idx="29">
                  <c:v>5401.4319961251185</c:v>
                </c:pt>
                <c:pt idx="30">
                  <c:v>11914.923520864215</c:v>
                </c:pt>
                <c:pt idx="31">
                  <c:v>25418.503511177038</c:v>
                </c:pt>
                <c:pt idx="32">
                  <c:v>54014.319961251145</c:v>
                </c:pt>
                <c:pt idx="33">
                  <c:v>115971.92226974518</c:v>
                </c:pt>
                <c:pt idx="34">
                  <c:v>251007.72217287341</c:v>
                </c:pt>
                <c:pt idx="35">
                  <c:v>540143.19961251202</c:v>
                </c:pt>
                <c:pt idx="36">
                  <c:v>1500000.0000000037</c:v>
                </c:pt>
                <c:pt idx="37">
                  <c:v>4600000.0000000093</c:v>
                </c:pt>
                <c:pt idx="38">
                  <c:v>14600000.000000028</c:v>
                </c:pt>
                <c:pt idx="39">
                  <c:v>46400000.000000134</c:v>
                </c:pt>
                <c:pt idx="40">
                  <c:v>100000000</c:v>
                </c:pt>
              </c:numCache>
            </c:numRef>
          </c:xVal>
          <c:yVal>
            <c:numRef>
              <c:f>'Prony Fit'!$G$6:$G$46</c:f>
              <c:numCache>
                <c:formatCode>0.00000000</c:formatCode>
                <c:ptCount val="41"/>
                <c:pt idx="0">
                  <c:v>9.2533480000000008</c:v>
                </c:pt>
                <c:pt idx="1">
                  <c:v>9.8949809999999996</c:v>
                </c:pt>
                <c:pt idx="2" formatCode="0.0000000">
                  <c:v>10.75249</c:v>
                </c:pt>
                <c:pt idx="3" formatCode="0.0000000">
                  <c:v>11.70074</c:v>
                </c:pt>
                <c:pt idx="4" formatCode="0.0000000">
                  <c:v>12.753500000000001</c:v>
                </c:pt>
                <c:pt idx="5" formatCode="0.0000000">
                  <c:v>14.00217</c:v>
                </c:pt>
                <c:pt idx="6" formatCode="0.0000000">
                  <c:v>15.74677</c:v>
                </c:pt>
                <c:pt idx="7" formatCode="0.0000000">
                  <c:v>18.40692</c:v>
                </c:pt>
                <c:pt idx="8" formatCode="0.0000000">
                  <c:v>21.028659999999999</c:v>
                </c:pt>
                <c:pt idx="9" formatCode="0.0000000">
                  <c:v>26.229649999999999</c:v>
                </c:pt>
                <c:pt idx="10" formatCode="0.0000000">
                  <c:v>34.3065</c:v>
                </c:pt>
                <c:pt idx="11" formatCode="0.0000000">
                  <c:v>47.036020000000001</c:v>
                </c:pt>
                <c:pt idx="12" formatCode="0.0000000">
                  <c:v>66.214699999999993</c:v>
                </c:pt>
                <c:pt idx="13" formatCode="0.0000000">
                  <c:v>82.694180000000003</c:v>
                </c:pt>
                <c:pt idx="14" formatCode="0.000000">
                  <c:v>106.28270000000001</c:v>
                </c:pt>
                <c:pt idx="15" formatCode="0.000000">
                  <c:v>128.88489999999999</c:v>
                </c:pt>
                <c:pt idx="16" formatCode="0.000000">
                  <c:v>159.84639999999999</c:v>
                </c:pt>
                <c:pt idx="17" formatCode="0.000000">
                  <c:v>215.51169999999999</c:v>
                </c:pt>
                <c:pt idx="18" formatCode="0.000000">
                  <c:v>288.8802</c:v>
                </c:pt>
                <c:pt idx="19" formatCode="0.000000">
                  <c:v>369.19830000000002</c:v>
                </c:pt>
                <c:pt idx="20" formatCode="0.000000">
                  <c:v>456.12299999999999</c:v>
                </c:pt>
                <c:pt idx="21" formatCode="0.000000">
                  <c:v>577.97180000000003</c:v>
                </c:pt>
                <c:pt idx="22" formatCode="0.000000">
                  <c:v>643.90800000000002</c:v>
                </c:pt>
                <c:pt idx="23" formatCode="0.000000">
                  <c:v>723.61030000000005</c:v>
                </c:pt>
                <c:pt idx="24" formatCode="0.000000">
                  <c:v>811.76710000000003</c:v>
                </c:pt>
                <c:pt idx="25" formatCode="0.000000">
                  <c:v>898.55489999999998</c:v>
                </c:pt>
                <c:pt idx="26" formatCode="0.00000">
                  <c:v>1003.414</c:v>
                </c:pt>
                <c:pt idx="27" formatCode="0.00000">
                  <c:v>1110.02</c:v>
                </c:pt>
                <c:pt idx="28" formatCode="0.00000">
                  <c:v>1210.2940000000001</c:v>
                </c:pt>
                <c:pt idx="29" formatCode="0.00000">
                  <c:v>1304.481</c:v>
                </c:pt>
                <c:pt idx="30" formatCode="0.00000">
                  <c:v>1395.328</c:v>
                </c:pt>
                <c:pt idx="31" formatCode="0.00000">
                  <c:v>1480.018</c:v>
                </c:pt>
                <c:pt idx="32" formatCode="0.00000">
                  <c:v>1562.296</c:v>
                </c:pt>
                <c:pt idx="33" formatCode="0.00000">
                  <c:v>1643.249</c:v>
                </c:pt>
                <c:pt idx="34" formatCode="0.00000">
                  <c:v>1724.9110000000001</c:v>
                </c:pt>
                <c:pt idx="35" formatCode="0.00000">
                  <c:v>1801.5840000000001</c:v>
                </c:pt>
                <c:pt idx="36" formatCode="0.00000">
                  <c:v>1877.809</c:v>
                </c:pt>
                <c:pt idx="37" formatCode="0.00000">
                  <c:v>1966.98</c:v>
                </c:pt>
                <c:pt idx="38" formatCode="0.00000">
                  <c:v>2056.576</c:v>
                </c:pt>
                <c:pt idx="39" formatCode="0.00000">
                  <c:v>2145.627</c:v>
                </c:pt>
                <c:pt idx="40" formatCode="0.00000">
                  <c:v>2180.3760000000002</c:v>
                </c:pt>
              </c:numCache>
            </c:numRef>
          </c:yVal>
          <c:smooth val="0"/>
        </c:ser>
        <c:ser>
          <c:idx val="3"/>
          <c:order val="1"/>
          <c:tx>
            <c:v>Gl Test Data</c:v>
          </c:tx>
          <c:spPr>
            <a:ln w="28575">
              <a:noFill/>
            </a:ln>
          </c:spPr>
          <c:marker>
            <c:symbol val="diamond"/>
            <c:size val="4"/>
            <c:spPr>
              <a:solidFill>
                <a:schemeClr val="accent1"/>
              </a:solidFill>
              <a:ln>
                <a:solidFill>
                  <a:schemeClr val="accent1"/>
                </a:solidFill>
              </a:ln>
            </c:spPr>
          </c:marker>
          <c:xVal>
            <c:numRef>
              <c:f>'Prony Fit'!$F$6:$F$46</c:f>
              <c:numCache>
                <c:formatCode>0.0000E+00</c:formatCode>
                <c:ptCount val="41"/>
                <c:pt idx="0">
                  <c:v>6.3095734448019212E-6</c:v>
                </c:pt>
                <c:pt idx="1">
                  <c:v>1.3881061578564237E-5</c:v>
                </c:pt>
                <c:pt idx="2">
                  <c:v>2.9024037846088861E-5</c:v>
                </c:pt>
                <c:pt idx="3">
                  <c:v>6.3095734448019279E-5</c:v>
                </c:pt>
                <c:pt idx="4">
                  <c:v>1.3881061578564229E-4</c:v>
                </c:pt>
                <c:pt idx="5">
                  <c:v>2.9024037846088892E-4</c:v>
                </c:pt>
                <c:pt idx="6">
                  <c:v>6.3095734448019244E-4</c:v>
                </c:pt>
                <c:pt idx="7">
                  <c:v>1.3565582906324136E-3</c:v>
                </c:pt>
                <c:pt idx="8">
                  <c:v>2.5118864315095777E-3</c:v>
                </c:pt>
                <c:pt idx="9">
                  <c:v>5.400555827745593E-3</c:v>
                </c:pt>
                <c:pt idx="10">
                  <c:v>1.2589254117941664E-2</c:v>
                </c:pt>
                <c:pt idx="11">
                  <c:v>2.7066896353574597E-2</c:v>
                </c:pt>
                <c:pt idx="12">
                  <c:v>5.8414139107249366E-2</c:v>
                </c:pt>
                <c:pt idx="13">
                  <c:v>8.5606928002003368E-2</c:v>
                </c:pt>
                <c:pt idx="14">
                  <c:v>0.13881061578564249</c:v>
                </c:pt>
                <c:pt idx="15">
                  <c:v>0.21999999999999997</c:v>
                </c:pt>
                <c:pt idx="16">
                  <c:v>0.36856830091206649</c:v>
                </c:pt>
                <c:pt idx="17">
                  <c:v>0.67999999999999994</c:v>
                </c:pt>
                <c:pt idx="18">
                  <c:v>1.5</c:v>
                </c:pt>
                <c:pt idx="19">
                  <c:v>3.2000000000000006</c:v>
                </c:pt>
                <c:pt idx="20">
                  <c:v>6.8000000000000007</c:v>
                </c:pt>
                <c:pt idx="21">
                  <c:v>18.312929845460879</c:v>
                </c:pt>
                <c:pt idx="22">
                  <c:v>31.600000000000012</c:v>
                </c:pt>
                <c:pt idx="23">
                  <c:v>59.71607558302464</c:v>
                </c:pt>
                <c:pt idx="24">
                  <c:v>127.39429457711913</c:v>
                </c:pt>
                <c:pt idx="25">
                  <c:v>270.71287597637831</c:v>
                </c:pt>
                <c:pt idx="26">
                  <c:v>556.02976430699744</c:v>
                </c:pt>
                <c:pt idx="27">
                  <c:v>1191.4923520864234</c:v>
                </c:pt>
                <c:pt idx="28">
                  <c:v>2541.8503511177009</c:v>
                </c:pt>
                <c:pt idx="29">
                  <c:v>5401.4319961251185</c:v>
                </c:pt>
                <c:pt idx="30">
                  <c:v>11914.923520864215</c:v>
                </c:pt>
                <c:pt idx="31">
                  <c:v>25418.503511177038</c:v>
                </c:pt>
                <c:pt idx="32">
                  <c:v>54014.319961251145</c:v>
                </c:pt>
                <c:pt idx="33">
                  <c:v>115971.92226974518</c:v>
                </c:pt>
                <c:pt idx="34">
                  <c:v>251007.72217287341</c:v>
                </c:pt>
                <c:pt idx="35">
                  <c:v>540143.19961251202</c:v>
                </c:pt>
                <c:pt idx="36">
                  <c:v>1500000.0000000037</c:v>
                </c:pt>
                <c:pt idx="37">
                  <c:v>4600000.0000000093</c:v>
                </c:pt>
                <c:pt idx="38">
                  <c:v>14600000.000000028</c:v>
                </c:pt>
                <c:pt idx="39">
                  <c:v>46400000.000000134</c:v>
                </c:pt>
                <c:pt idx="40">
                  <c:v>100000000</c:v>
                </c:pt>
              </c:numCache>
            </c:numRef>
          </c:xVal>
          <c:yVal>
            <c:numRef>
              <c:f>'Prony Fit'!$H$6:$H$46</c:f>
              <c:numCache>
                <c:formatCode>0.0000</c:formatCode>
                <c:ptCount val="41"/>
                <c:pt idx="0">
                  <c:v>1.373254</c:v>
                </c:pt>
                <c:pt idx="1">
                  <c:v>1.54061</c:v>
                </c:pt>
                <c:pt idx="2">
                  <c:v>1.7984899999999999</c:v>
                </c:pt>
                <c:pt idx="3">
                  <c:v>2.202979</c:v>
                </c:pt>
                <c:pt idx="4">
                  <c:v>2.8425980000000002</c:v>
                </c:pt>
                <c:pt idx="5">
                  <c:v>3.8197380000000001</c:v>
                </c:pt>
                <c:pt idx="6">
                  <c:v>5.5310600000000001</c:v>
                </c:pt>
                <c:pt idx="7">
                  <c:v>8.6757179999999998</c:v>
                </c:pt>
                <c:pt idx="8">
                  <c:v>11.242470000000001</c:v>
                </c:pt>
                <c:pt idx="9">
                  <c:v>17.68216</c:v>
                </c:pt>
                <c:pt idx="10">
                  <c:v>26.311520000000002</c:v>
                </c:pt>
                <c:pt idx="11">
                  <c:v>40.149410000000003</c:v>
                </c:pt>
                <c:pt idx="12">
                  <c:v>58.72251</c:v>
                </c:pt>
                <c:pt idx="13">
                  <c:v>70.440939999999998</c:v>
                </c:pt>
                <c:pt idx="14">
                  <c:v>85.75788</c:v>
                </c:pt>
                <c:pt idx="15">
                  <c:v>99.651840000000007</c:v>
                </c:pt>
                <c:pt idx="16">
                  <c:v>120.6722</c:v>
                </c:pt>
                <c:pt idx="17">
                  <c:v>137.9513</c:v>
                </c:pt>
                <c:pt idx="18">
                  <c:v>162.28559999999999</c:v>
                </c:pt>
                <c:pt idx="19">
                  <c:v>182.34350000000001</c:v>
                </c:pt>
                <c:pt idx="20">
                  <c:v>198.3502</c:v>
                </c:pt>
                <c:pt idx="21">
                  <c:v>201.3202</c:v>
                </c:pt>
                <c:pt idx="22">
                  <c:v>219.5342</c:v>
                </c:pt>
                <c:pt idx="23">
                  <c:v>205.49760000000001</c:v>
                </c:pt>
                <c:pt idx="24">
                  <c:v>205.13499999999999</c:v>
                </c:pt>
                <c:pt idx="25">
                  <c:v>203.3218</c:v>
                </c:pt>
                <c:pt idx="26">
                  <c:v>224.62479999999999</c:v>
                </c:pt>
                <c:pt idx="27">
                  <c:v>214.2122</c:v>
                </c:pt>
                <c:pt idx="28">
                  <c:v>203.24809999999999</c:v>
                </c:pt>
                <c:pt idx="29">
                  <c:v>193.91489999999999</c:v>
                </c:pt>
                <c:pt idx="30">
                  <c:v>186.58260000000001</c:v>
                </c:pt>
                <c:pt idx="31">
                  <c:v>179.56540000000001</c:v>
                </c:pt>
                <c:pt idx="32">
                  <c:v>175.7621</c:v>
                </c:pt>
                <c:pt idx="33">
                  <c:v>172.90360000000001</c:v>
                </c:pt>
                <c:pt idx="34">
                  <c:v>171.94540000000001</c:v>
                </c:pt>
                <c:pt idx="35">
                  <c:v>169.36510000000001</c:v>
                </c:pt>
                <c:pt idx="36">
                  <c:v>129.7192</c:v>
                </c:pt>
                <c:pt idx="37">
                  <c:v>125.2085</c:v>
                </c:pt>
                <c:pt idx="38">
                  <c:v>124.0275</c:v>
                </c:pt>
                <c:pt idx="39">
                  <c:v>124.6859</c:v>
                </c:pt>
                <c:pt idx="40">
                  <c:v>128.73769999999999</c:v>
                </c:pt>
              </c:numCache>
            </c:numRef>
          </c:yVal>
          <c:smooth val="0"/>
        </c:ser>
        <c:ser>
          <c:idx val="0"/>
          <c:order val="2"/>
          <c:tx>
            <c:v>Gs from Abaqus_SSD</c:v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xVal>
            <c:numRef>
              <c:f>Abaqus_SSD_Analysis!$A$4:$A$302</c:f>
              <c:numCache>
                <c:formatCode>0.00E+00</c:formatCode>
                <c:ptCount val="299"/>
                <c:pt idx="0">
                  <c:v>1.00000001E-7</c:v>
                </c:pt>
                <c:pt idx="1">
                  <c:v>1.29930882E-7</c:v>
                </c:pt>
                <c:pt idx="2">
                  <c:v>1.4810460400000001E-7</c:v>
                </c:pt>
                <c:pt idx="3">
                  <c:v>1.68820335E-7</c:v>
                </c:pt>
                <c:pt idx="4">
                  <c:v>1.92433617E-7</c:v>
                </c:pt>
                <c:pt idx="5">
                  <c:v>2.1934974400000001E-7</c:v>
                </c:pt>
                <c:pt idx="6">
                  <c:v>2.50030695E-7</c:v>
                </c:pt>
                <c:pt idx="7">
                  <c:v>2.8500303999999999E-7</c:v>
                </c:pt>
                <c:pt idx="8">
                  <c:v>3.24867074E-7</c:v>
                </c:pt>
                <c:pt idx="9">
                  <c:v>3.7030696399999998E-7</c:v>
                </c:pt>
                <c:pt idx="10">
                  <c:v>4.2210263000000001E-7</c:v>
                </c:pt>
                <c:pt idx="11">
                  <c:v>4.8114310400000002E-7</c:v>
                </c:pt>
                <c:pt idx="12">
                  <c:v>5.48441676E-7</c:v>
                </c:pt>
                <c:pt idx="13">
                  <c:v>6.2515346100000002E-7</c:v>
                </c:pt>
                <c:pt idx="14">
                  <c:v>7.1259506699999996E-7</c:v>
                </c:pt>
                <c:pt idx="15">
                  <c:v>8.1226733100000001E-7</c:v>
                </c:pt>
                <c:pt idx="16">
                  <c:v>9.2588101100000004E-7</c:v>
                </c:pt>
                <c:pt idx="17">
                  <c:v>1.0553860599999999E-6</c:v>
                </c:pt>
                <c:pt idx="18">
                  <c:v>1.2030053500000001E-6</c:v>
                </c:pt>
                <c:pt idx="19">
                  <c:v>1.3712724499999999E-6</c:v>
                </c:pt>
                <c:pt idx="20">
                  <c:v>1.56307544E-6</c:v>
                </c:pt>
                <c:pt idx="21">
                  <c:v>1.7817063700000001E-6</c:v>
                </c:pt>
                <c:pt idx="22">
                  <c:v>2.03091759E-6</c:v>
                </c:pt>
                <c:pt idx="23">
                  <c:v>2.3149866600000002E-6</c:v>
                </c:pt>
                <c:pt idx="24">
                  <c:v>2.6387890600000002E-6</c:v>
                </c:pt>
                <c:pt idx="25">
                  <c:v>3.0078824700000002E-6</c:v>
                </c:pt>
                <c:pt idx="26">
                  <c:v>3.4286017600000001E-6</c:v>
                </c:pt>
                <c:pt idx="27">
                  <c:v>3.9081683099999997E-6</c:v>
                </c:pt>
                <c:pt idx="28">
                  <c:v>4.4548123699999999E-6</c:v>
                </c:pt>
                <c:pt idx="29">
                  <c:v>5.07791719E-6</c:v>
                </c:pt>
                <c:pt idx="30">
                  <c:v>5.7881770799999998E-6</c:v>
                </c:pt>
                <c:pt idx="31">
                  <c:v>6.5977824299999998E-6</c:v>
                </c:pt>
                <c:pt idx="32">
                  <c:v>7.52062942E-6</c:v>
                </c:pt>
                <c:pt idx="33">
                  <c:v>8.5725569100000005E-6</c:v>
                </c:pt>
                <c:pt idx="34">
                  <c:v>9.7716192600000006E-6</c:v>
                </c:pt>
                <c:pt idx="35">
                  <c:v>1.11383979E-5</c:v>
                </c:pt>
                <c:pt idx="36">
                  <c:v>1.26963514E-5</c:v>
                </c:pt>
                <c:pt idx="37">
                  <c:v>1.44722189E-5</c:v>
                </c:pt>
                <c:pt idx="38">
                  <c:v>1.6496480399999999E-5</c:v>
                </c:pt>
                <c:pt idx="39">
                  <c:v>1.8803881199999999E-5</c:v>
                </c:pt>
                <c:pt idx="40">
                  <c:v>2.1434021599999999E-5</c:v>
                </c:pt>
                <c:pt idx="41">
                  <c:v>2.4432047200000001E-5</c:v>
                </c:pt>
                <c:pt idx="42">
                  <c:v>2.7849413500000002E-5</c:v>
                </c:pt>
                <c:pt idx="43">
                  <c:v>3.1744773899999999E-5</c:v>
                </c:pt>
                <c:pt idx="44">
                  <c:v>3.6184988899999998E-5</c:v>
                </c:pt>
                <c:pt idx="45">
                  <c:v>4.1246265000000003E-5</c:v>
                </c:pt>
                <c:pt idx="46">
                  <c:v>4.7015473699999998E-5</c:v>
                </c:pt>
                <c:pt idx="47">
                  <c:v>5.3591633300000002E-5</c:v>
                </c:pt>
                <c:pt idx="48">
                  <c:v>6.1087615900000007E-5</c:v>
                </c:pt>
                <c:pt idx="49">
                  <c:v>6.9632078499999998E-5</c:v>
                </c:pt>
                <c:pt idx="50">
                  <c:v>7.9371675400000002E-5</c:v>
                </c:pt>
                <c:pt idx="51">
                  <c:v>9.0473571599999998E-5</c:v>
                </c:pt>
                <c:pt idx="52">
                  <c:v>1.03128317E-4</c:v>
                </c:pt>
                <c:pt idx="53">
                  <c:v>1.17553107E-4</c:v>
                </c:pt>
                <c:pt idx="54">
                  <c:v>1.3399551999999999E-4</c:v>
                </c:pt>
                <c:pt idx="55">
                  <c:v>1.5273779E-4</c:v>
                </c:pt>
                <c:pt idx="56">
                  <c:v>1.7410155900000001E-4</c:v>
                </c:pt>
                <c:pt idx="57">
                  <c:v>1.98453548E-4</c:v>
                </c:pt>
                <c:pt idx="58">
                  <c:v>2.2621168999999999E-4</c:v>
                </c:pt>
                <c:pt idx="59">
                  <c:v>2.57852429E-4</c:v>
                </c:pt>
                <c:pt idx="60">
                  <c:v>2.93918827E-4</c:v>
                </c:pt>
                <c:pt idx="61">
                  <c:v>3.3502993800000003E-4</c:v>
                </c:pt>
                <c:pt idx="62">
                  <c:v>3.8189132499999998E-4</c:v>
                </c:pt>
                <c:pt idx="63">
                  <c:v>4.3530733099999999E-4</c:v>
                </c:pt>
                <c:pt idx="64">
                  <c:v>4.9619475599999995E-4</c:v>
                </c:pt>
                <c:pt idx="65">
                  <c:v>5.6559866100000002E-4</c:v>
                </c:pt>
                <c:pt idx="66">
                  <c:v>6.4471020599999999E-4</c:v>
                </c:pt>
                <c:pt idx="67">
                  <c:v>7.3488725999999998E-4</c:v>
                </c:pt>
                <c:pt idx="68">
                  <c:v>8.37677624E-4</c:v>
                </c:pt>
                <c:pt idx="69">
                  <c:v>9.5484551299999997E-4</c:v>
                </c:pt>
                <c:pt idx="70">
                  <c:v>1.0884018800000001E-3</c:v>
                </c:pt>
                <c:pt idx="71">
                  <c:v>1.2406391299999999E-3</c:v>
                </c:pt>
                <c:pt idx="72">
                  <c:v>1.4141701400000001E-3</c:v>
                </c:pt>
                <c:pt idx="73">
                  <c:v>1.61197339E-3</c:v>
                </c:pt>
                <c:pt idx="74">
                  <c:v>1.8374436799999999E-3</c:v>
                </c:pt>
                <c:pt idx="75">
                  <c:v>2.0944511100000002E-3</c:v>
                </c:pt>
                <c:pt idx="76">
                  <c:v>2.3874067699999999E-3</c:v>
                </c:pt>
                <c:pt idx="77">
                  <c:v>2.7213387700000002E-3</c:v>
                </c:pt>
                <c:pt idx="78">
                  <c:v>3.1019786799999999E-3</c:v>
                </c:pt>
                <c:pt idx="79">
                  <c:v>3.5358592899999998E-3</c:v>
                </c:pt>
                <c:pt idx="80">
                  <c:v>4.0304279000000004E-3</c:v>
                </c:pt>
                <c:pt idx="81">
                  <c:v>4.5941732799999998E-3</c:v>
                </c:pt>
                <c:pt idx="82">
                  <c:v>5.2367704899999997E-3</c:v>
                </c:pt>
                <c:pt idx="83">
                  <c:v>5.9692496400000003E-3</c:v>
                </c:pt>
                <c:pt idx="84">
                  <c:v>6.8041821899999999E-3</c:v>
                </c:pt>
                <c:pt idx="85">
                  <c:v>7.7558983999999999E-3</c:v>
                </c:pt>
                <c:pt idx="86">
                  <c:v>8.84073321E-3</c:v>
                </c:pt>
                <c:pt idx="87">
                  <c:v>1.0077307000000001E-2</c:v>
                </c:pt>
                <c:pt idx="88">
                  <c:v>1.1486842299999999E-2</c:v>
                </c:pt>
                <c:pt idx="89">
                  <c:v>1.3093532999999999E-2</c:v>
                </c:pt>
                <c:pt idx="90">
                  <c:v>1.49249556E-2</c:v>
                </c:pt>
                <c:pt idx="91">
                  <c:v>1.70125421E-2</c:v>
                </c:pt>
                <c:pt idx="92">
                  <c:v>1.93921253E-2</c:v>
                </c:pt>
                <c:pt idx="93">
                  <c:v>2.2104546400000001E-2</c:v>
                </c:pt>
                <c:pt idx="94">
                  <c:v>2.51963586E-2</c:v>
                </c:pt>
                <c:pt idx="95">
                  <c:v>2.8720630300000001E-2</c:v>
                </c:pt>
                <c:pt idx="96">
                  <c:v>3.27378511E-2</c:v>
                </c:pt>
                <c:pt idx="97">
                  <c:v>3.7316966799999997E-2</c:v>
                </c:pt>
                <c:pt idx="98">
                  <c:v>4.2536579099999999E-2</c:v>
                </c:pt>
                <c:pt idx="99">
                  <c:v>4.8486266299999997E-2</c:v>
                </c:pt>
                <c:pt idx="100">
                  <c:v>5.5268149799999999E-2</c:v>
                </c:pt>
                <c:pt idx="101">
                  <c:v>6.2998630099999994E-2</c:v>
                </c:pt>
                <c:pt idx="102">
                  <c:v>7.1810394499999999E-2</c:v>
                </c:pt>
                <c:pt idx="103">
                  <c:v>8.1854671200000007E-2</c:v>
                </c:pt>
                <c:pt idx="104">
                  <c:v>9.3303874100000003E-2</c:v>
                </c:pt>
                <c:pt idx="105">
                  <c:v>0.10635449700000001</c:v>
                </c:pt>
                <c:pt idx="106">
                  <c:v>0.121230543</c:v>
                </c:pt>
                <c:pt idx="107">
                  <c:v>0.138187334</c:v>
                </c:pt>
                <c:pt idx="108">
                  <c:v>0.15751589799999999</c:v>
                </c:pt>
                <c:pt idx="109">
                  <c:v>0.17954801000000001</c:v>
                </c:pt>
                <c:pt idx="110">
                  <c:v>0.204661801</c:v>
                </c:pt>
                <c:pt idx="111">
                  <c:v>0.233288303</c:v>
                </c:pt>
                <c:pt idx="112">
                  <c:v>0.265918881</c:v>
                </c:pt>
                <c:pt idx="113">
                  <c:v>0.30311355000000001</c:v>
                </c:pt>
                <c:pt idx="114">
                  <c:v>0.34551072100000002</c:v>
                </c:pt>
                <c:pt idx="115">
                  <c:v>0.39383810800000002</c:v>
                </c:pt>
                <c:pt idx="116">
                  <c:v>0.448925138</c:v>
                </c:pt>
                <c:pt idx="117">
                  <c:v>0.51171731899999995</c:v>
                </c:pt>
                <c:pt idx="118">
                  <c:v>0.58329236500000003</c:v>
                </c:pt>
                <c:pt idx="119">
                  <c:v>0.66487878600000005</c:v>
                </c:pt>
                <c:pt idx="120">
                  <c:v>0.75787687299999995</c:v>
                </c:pt>
                <c:pt idx="121">
                  <c:v>0.86388284000000004</c:v>
                </c:pt>
                <c:pt idx="122">
                  <c:v>0.98471611699999995</c:v>
                </c:pt>
                <c:pt idx="123">
                  <c:v>1.1224505899999999</c:v>
                </c:pt>
                <c:pt idx="124">
                  <c:v>1.2794502999999999</c:v>
                </c:pt>
                <c:pt idx="125">
                  <c:v>1.4584099100000001</c:v>
                </c:pt>
                <c:pt idx="126">
                  <c:v>1.66240096</c:v>
                </c:pt>
                <c:pt idx="127">
                  <c:v>1.8949247600000001</c:v>
                </c:pt>
                <c:pt idx="128">
                  <c:v>2.15997219</c:v>
                </c:pt>
                <c:pt idx="129">
                  <c:v>2.4620924</c:v>
                </c:pt>
                <c:pt idx="130">
                  <c:v>2.8064708700000001</c:v>
                </c:pt>
                <c:pt idx="131">
                  <c:v>3.19901824</c:v>
                </c:pt>
                <c:pt idx="132">
                  <c:v>3.6464722200000002</c:v>
                </c:pt>
                <c:pt idx="133">
                  <c:v>4.1565127400000002</c:v>
                </c:pt>
                <c:pt idx="134">
                  <c:v>4.7378935799999997</c:v>
                </c:pt>
                <c:pt idx="135">
                  <c:v>5.4005932799999998</c:v>
                </c:pt>
                <c:pt idx="136">
                  <c:v>6.1559863100000003</c:v>
                </c:pt>
                <c:pt idx="137">
                  <c:v>7.01703835</c:v>
                </c:pt>
                <c:pt idx="138">
                  <c:v>7.9985275299999996</c:v>
                </c:pt>
                <c:pt idx="139">
                  <c:v>9.1172990800000004</c:v>
                </c:pt>
                <c:pt idx="140">
                  <c:v>10.392557099999999</c:v>
                </c:pt>
                <c:pt idx="141">
                  <c:v>11.8461876</c:v>
                </c:pt>
                <c:pt idx="142">
                  <c:v>13.503140399999999</c:v>
                </c:pt>
                <c:pt idx="143">
                  <c:v>15.3918552</c:v>
                </c:pt>
                <c:pt idx="144">
                  <c:v>17.544748299999998</c:v>
                </c:pt>
                <c:pt idx="145">
                  <c:v>19.9987736</c:v>
                </c:pt>
                <c:pt idx="146">
                  <c:v>22.7960472</c:v>
                </c:pt>
                <c:pt idx="147">
                  <c:v>25.984580999999999</c:v>
                </c:pt>
                <c:pt idx="148">
                  <c:v>29.6191025</c:v>
                </c:pt>
                <c:pt idx="149">
                  <c:v>33.761993400000001</c:v>
                </c:pt>
                <c:pt idx="150" formatCode="General">
                  <c:v>38.484359699999999</c:v>
                </c:pt>
                <c:pt idx="151" formatCode="General">
                  <c:v>43.8672562</c:v>
                </c:pt>
                <c:pt idx="152" formatCode="General">
                  <c:v>50.003067000000001</c:v>
                </c:pt>
                <c:pt idx="153" formatCode="General">
                  <c:v>56.997112299999998</c:v>
                </c:pt>
                <c:pt idx="154" formatCode="General">
                  <c:v>64.969429000000005</c:v>
                </c:pt>
                <c:pt idx="155" formatCode="General">
                  <c:v>74.0568466</c:v>
                </c:pt>
                <c:pt idx="156" formatCode="General">
                  <c:v>84.415344200000007</c:v>
                </c:pt>
                <c:pt idx="157" formatCode="General">
                  <c:v>96.222709699999996</c:v>
                </c:pt>
                <c:pt idx="158" formatCode="General">
                  <c:v>109.681602</c:v>
                </c:pt>
                <c:pt idx="159" formatCode="General">
                  <c:v>125.02301799999999</c:v>
                </c:pt>
                <c:pt idx="160" formatCode="General">
                  <c:v>142.51026899999999</c:v>
                </c:pt>
                <c:pt idx="161" formatCode="General">
                  <c:v>162.44349700000001</c:v>
                </c:pt>
                <c:pt idx="162" formatCode="General">
                  <c:v>185.164841</c:v>
                </c:pt>
                <c:pt idx="163" formatCode="General">
                  <c:v>211.06426999999999</c:v>
                </c:pt>
                <c:pt idx="164" formatCode="General">
                  <c:v>240.58630400000001</c:v>
                </c:pt>
                <c:pt idx="165" formatCode="General">
                  <c:v>274.23767099999998</c:v>
                </c:pt>
                <c:pt idx="166" formatCode="General">
                  <c:v>312.59588600000001</c:v>
                </c:pt>
                <c:pt idx="167" formatCode="General">
                  <c:v>356.31939699999998</c:v>
                </c:pt>
                <c:pt idx="168" formatCode="General">
                  <c:v>406.15859999999998</c:v>
                </c:pt>
                <c:pt idx="169" formatCode="General">
                  <c:v>462.96893299999999</c:v>
                </c:pt>
                <c:pt idx="170" formatCode="General">
                  <c:v>527.72546399999999</c:v>
                </c:pt>
                <c:pt idx="171" formatCode="General">
                  <c:v>601.53961200000003</c:v>
                </c:pt>
                <c:pt idx="172" formatCode="General">
                  <c:v>685.67828399999996</c:v>
                </c:pt>
                <c:pt idx="173" formatCode="General">
                  <c:v>781.58569299999999</c:v>
                </c:pt>
                <c:pt idx="174" formatCode="General">
                  <c:v>890.90783699999997</c:v>
                </c:pt>
                <c:pt idx="175" formatCode="General">
                  <c:v>1015.52112</c:v>
                </c:pt>
                <c:pt idx="176" formatCode="General">
                  <c:v>1157.5643299999999</c:v>
                </c:pt>
                <c:pt idx="177" formatCode="General">
                  <c:v>1319.4754600000001</c:v>
                </c:pt>
                <c:pt idx="178" formatCode="General">
                  <c:v>1504.0335700000001</c:v>
                </c:pt>
                <c:pt idx="179" formatCode="General">
                  <c:v>1714.4061300000001</c:v>
                </c:pt>
                <c:pt idx="180" formatCode="General">
                  <c:v>1954.20398</c:v>
                </c:pt>
                <c:pt idx="181" formatCode="General">
                  <c:v>2227.54297</c:v>
                </c:pt>
                <c:pt idx="182" formatCode="General">
                  <c:v>2539.1145000000001</c:v>
                </c:pt>
                <c:pt idx="183" formatCode="General">
                  <c:v>2894.26611</c:v>
                </c:pt>
                <c:pt idx="184" formatCode="General">
                  <c:v>3299.09375</c:v>
                </c:pt>
                <c:pt idx="185" formatCode="General">
                  <c:v>3760.5454100000002</c:v>
                </c:pt>
                <c:pt idx="186" formatCode="General">
                  <c:v>4286.5415000000003</c:v>
                </c:pt>
                <c:pt idx="187" formatCode="General">
                  <c:v>4886.1098599999996</c:v>
                </c:pt>
                <c:pt idx="188" formatCode="General">
                  <c:v>5569.5410199999997</c:v>
                </c:pt>
                <c:pt idx="189" formatCode="General">
                  <c:v>6348.5654299999997</c:v>
                </c:pt>
                <c:pt idx="190" formatCode="General">
                  <c:v>7236.5532199999998</c:v>
                </c:pt>
                <c:pt idx="191" formatCode="General">
                  <c:v>8248.7460900000005</c:v>
                </c:pt>
                <c:pt idx="192" formatCode="General">
                  <c:v>9402.5175799999997</c:v>
                </c:pt>
                <c:pt idx="193" formatCode="General">
                  <c:v>10717.668900000001</c:v>
                </c:pt>
                <c:pt idx="194" formatCode="General">
                  <c:v>12216.7734</c:v>
                </c:pt>
                <c:pt idx="195" formatCode="General">
                  <c:v>13925.5615</c:v>
                </c:pt>
                <c:pt idx="196" formatCode="General">
                  <c:v>15873.3613</c:v>
                </c:pt>
                <c:pt idx="197" formatCode="General">
                  <c:v>18093.603500000001</c:v>
                </c:pt>
                <c:pt idx="198" formatCode="General">
                  <c:v>20624.398399999998</c:v>
                </c:pt>
                <c:pt idx="199" formatCode="General">
                  <c:v>23509.179700000001</c:v>
                </c:pt>
                <c:pt idx="200" formatCode="General">
                  <c:v>26797.460899999998</c:v>
                </c:pt>
                <c:pt idx="201" formatCode="General">
                  <c:v>30545.6816</c:v>
                </c:pt>
                <c:pt idx="202" formatCode="General">
                  <c:v>34818.175799999997</c:v>
                </c:pt>
                <c:pt idx="203" formatCode="General">
                  <c:v>39688.273399999998</c:v>
                </c:pt>
                <c:pt idx="204" formatCode="General">
                  <c:v>45239.5625</c:v>
                </c:pt>
                <c:pt idx="205" formatCode="General">
                  <c:v>51567.324200000003</c:v>
                </c:pt>
                <c:pt idx="206" formatCode="General">
                  <c:v>58780.160199999998</c:v>
                </c:pt>
                <c:pt idx="207" formatCode="General">
                  <c:v>67001.875</c:v>
                </c:pt>
                <c:pt idx="208" formatCode="General">
                  <c:v>76373.578099999999</c:v>
                </c:pt>
                <c:pt idx="209" formatCode="General">
                  <c:v>87056.125</c:v>
                </c:pt>
                <c:pt idx="210" formatCode="General">
                  <c:v>99232.859400000001</c:v>
                </c:pt>
                <c:pt idx="211" formatCode="General">
                  <c:v>113112.789</c:v>
                </c:pt>
                <c:pt idx="212" formatCode="General">
                  <c:v>128934.133</c:v>
                </c:pt>
                <c:pt idx="213" formatCode="General">
                  <c:v>146968.43799999999</c:v>
                </c:pt>
                <c:pt idx="214" formatCode="General">
                  <c:v>167525.25</c:v>
                </c:pt>
                <c:pt idx="215" formatCode="General">
                  <c:v>190957.391</c:v>
                </c:pt>
                <c:pt idx="216" formatCode="General">
                  <c:v>217667.03099999999</c:v>
                </c:pt>
                <c:pt idx="217" formatCode="General">
                  <c:v>248112.609</c:v>
                </c:pt>
                <c:pt idx="218" formatCode="General">
                  <c:v>282816.68800000002</c:v>
                </c:pt>
                <c:pt idx="219" formatCode="General">
                  <c:v>322374.875</c:v>
                </c:pt>
                <c:pt idx="220" formatCode="General">
                  <c:v>367466.18800000002</c:v>
                </c:pt>
                <c:pt idx="221" formatCode="General">
                  <c:v>418864.53100000002</c:v>
                </c:pt>
                <c:pt idx="222" formatCode="General">
                  <c:v>477452.06300000002</c:v>
                </c:pt>
                <c:pt idx="223" formatCode="General">
                  <c:v>544234.375</c:v>
                </c:pt>
                <c:pt idx="224" formatCode="General">
                  <c:v>620357.625</c:v>
                </c:pt>
                <c:pt idx="225" formatCode="General">
                  <c:v>707128.5</c:v>
                </c:pt>
                <c:pt idx="226" formatCode="General">
                  <c:v>806036.125</c:v>
                </c:pt>
                <c:pt idx="227" formatCode="General">
                  <c:v>918778.25</c:v>
                </c:pt>
                <c:pt idx="228" formatCode="General">
                  <c:v>1047289.81</c:v>
                </c:pt>
                <c:pt idx="229" formatCode="General">
                  <c:v>1193776.6299999999</c:v>
                </c:pt>
                <c:pt idx="230" formatCode="General">
                  <c:v>1360752.88</c:v>
                </c:pt>
                <c:pt idx="231" formatCode="General">
                  <c:v>1551084.5</c:v>
                </c:pt>
                <c:pt idx="232" formatCode="General">
                  <c:v>1768038.13</c:v>
                </c:pt>
                <c:pt idx="233" formatCode="General">
                  <c:v>2015337.63</c:v>
                </c:pt>
                <c:pt idx="234" formatCode="General">
                  <c:v>2297227.5</c:v>
                </c:pt>
                <c:pt idx="235" formatCode="General">
                  <c:v>2618546</c:v>
                </c:pt>
                <c:pt idx="236" formatCode="General">
                  <c:v>2984808</c:v>
                </c:pt>
                <c:pt idx="237" formatCode="General">
                  <c:v>3402299.75</c:v>
                </c:pt>
                <c:pt idx="238" formatCode="General">
                  <c:v>3878187.25</c:v>
                </c:pt>
                <c:pt idx="239" formatCode="General">
                  <c:v>4420638</c:v>
                </c:pt>
                <c:pt idx="240" formatCode="General">
                  <c:v>5038962.5</c:v>
                </c:pt>
                <c:pt idx="241" formatCode="General">
                  <c:v>5743773.5</c:v>
                </c:pt>
                <c:pt idx="242" formatCode="General">
                  <c:v>6547168.5</c:v>
                </c:pt>
                <c:pt idx="243" formatCode="General">
                  <c:v>7462935.5</c:v>
                </c:pt>
                <c:pt idx="244" formatCode="General">
                  <c:v>8506793</c:v>
                </c:pt>
                <c:pt idx="245" formatCode="General">
                  <c:v>9696658</c:v>
                </c:pt>
                <c:pt idx="246" formatCode="General">
                  <c:v>11052951</c:v>
                </c:pt>
                <c:pt idx="247" formatCode="General">
                  <c:v>12598953</c:v>
                </c:pt>
                <c:pt idx="248" formatCode="General">
                  <c:v>14361197</c:v>
                </c:pt>
                <c:pt idx="249" formatCode="General">
                  <c:v>16369930</c:v>
                </c:pt>
                <c:pt idx="250" formatCode="General">
                  <c:v>18659630</c:v>
                </c:pt>
                <c:pt idx="251" formatCode="General">
                  <c:v>21269594</c:v>
                </c:pt>
                <c:pt idx="252" formatCode="General">
                  <c:v>24244620</c:v>
                </c:pt>
                <c:pt idx="253" formatCode="General">
                  <c:v>27635770</c:v>
                </c:pt>
                <c:pt idx="254" formatCode="General">
                  <c:v>31501248</c:v>
                </c:pt>
                <c:pt idx="255" formatCode="General">
                  <c:v>35907400</c:v>
                </c:pt>
                <c:pt idx="256" formatCode="General">
                  <c:v>40929848</c:v>
                </c:pt>
                <c:pt idx="257" formatCode="General">
                  <c:v>46654800</c:v>
                </c:pt>
                <c:pt idx="258" formatCode="General">
                  <c:v>53180512</c:v>
                </c:pt>
                <c:pt idx="259" formatCode="General">
                  <c:v>60618988</c:v>
                </c:pt>
                <c:pt idx="260" formatCode="General">
                  <c:v>69097904</c:v>
                </c:pt>
                <c:pt idx="261" formatCode="General">
                  <c:v>78762784</c:v>
                </c:pt>
                <c:pt idx="262" formatCode="General">
                  <c:v>89779512</c:v>
                </c:pt>
                <c:pt idx="263" formatCode="General">
                  <c:v>102337176</c:v>
                </c:pt>
                <c:pt idx="264" formatCode="General">
                  <c:v>116651312</c:v>
                </c:pt>
                <c:pt idx="265" formatCode="General">
                  <c:v>132967600</c:v>
                </c:pt>
                <c:pt idx="266" formatCode="General">
                  <c:v>151566080</c:v>
                </c:pt>
                <c:pt idx="267" formatCode="General">
                  <c:v>172765968</c:v>
                </c:pt>
                <c:pt idx="268" formatCode="General">
                  <c:v>196931136</c:v>
                </c:pt>
                <c:pt idx="269" formatCode="General">
                  <c:v>224476336</c:v>
                </c:pt>
                <c:pt idx="270" formatCode="General">
                  <c:v>255874352</c:v>
                </c:pt>
                <c:pt idx="271" formatCode="General">
                  <c:v>291664064</c:v>
                </c:pt>
                <c:pt idx="272" formatCode="General">
                  <c:v>332459808</c:v>
                </c:pt>
                <c:pt idx="273" formatCode="General">
                  <c:v>378961696</c:v>
                </c:pt>
                <c:pt idx="274" formatCode="General">
                  <c:v>431967936</c:v>
                </c:pt>
                <c:pt idx="275" formatCode="General">
                  <c:v>492388256</c:v>
                </c:pt>
                <c:pt idx="276" formatCode="General">
                  <c:v>561259712</c:v>
                </c:pt>
                <c:pt idx="277" formatCode="General">
                  <c:v>639764416</c:v>
                </c:pt>
                <c:pt idx="278" formatCode="General">
                  <c:v>729249664</c:v>
                </c:pt>
                <c:pt idx="279" formatCode="General">
                  <c:v>831251520</c:v>
                </c:pt>
                <c:pt idx="280" formatCode="General">
                  <c:v>947520512</c:v>
                </c:pt>
                <c:pt idx="281" formatCode="General">
                  <c:v>1080052350</c:v>
                </c:pt>
                <c:pt idx="282" formatCode="General">
                  <c:v>1231121790</c:v>
                </c:pt>
                <c:pt idx="283" formatCode="General">
                  <c:v>1403321600</c:v>
                </c:pt>
                <c:pt idx="284" formatCode="General">
                  <c:v>1599607300</c:v>
                </c:pt>
                <c:pt idx="285" formatCode="General">
                  <c:v>1823347970</c:v>
                </c:pt>
                <c:pt idx="286" formatCode="General">
                  <c:v>2078383870</c:v>
                </c:pt>
                <c:pt idx="287" formatCode="General">
                  <c:v>2369092100</c:v>
                </c:pt>
                <c:pt idx="288" formatCode="General">
                  <c:v>2700462340</c:v>
                </c:pt>
                <c:pt idx="289" formatCode="General">
                  <c:v>3078182140</c:v>
                </c:pt>
                <c:pt idx="290" formatCode="General">
                  <c:v>3508734460</c:v>
                </c:pt>
                <c:pt idx="291" formatCode="General">
                  <c:v>3999508990</c:v>
                </c:pt>
                <c:pt idx="292" formatCode="General">
                  <c:v>4558929410</c:v>
                </c:pt>
                <c:pt idx="293" formatCode="General">
                  <c:v>5196597250</c:v>
                </c:pt>
                <c:pt idx="294" formatCode="General">
                  <c:v>5923457020</c:v>
                </c:pt>
                <c:pt idx="295" formatCode="General">
                  <c:v>6751984640</c:v>
                </c:pt>
                <c:pt idx="296" formatCode="General">
                  <c:v>7696399870</c:v>
                </c:pt>
                <c:pt idx="297" formatCode="General">
                  <c:v>8772913150</c:v>
                </c:pt>
                <c:pt idx="298" formatCode="General">
                  <c:v>10000000000</c:v>
                </c:pt>
              </c:numCache>
            </c:numRef>
          </c:xVal>
          <c:yVal>
            <c:numRef>
              <c:f>Abaqus_SSD_Analysis!$B$4:$B$302</c:f>
              <c:numCache>
                <c:formatCode>0.00E+00</c:formatCode>
                <c:ptCount val="299"/>
                <c:pt idx="0">
                  <c:v>6.7613425300000003</c:v>
                </c:pt>
                <c:pt idx="1">
                  <c:v>6.7682766900000004</c:v>
                </c:pt>
                <c:pt idx="2">
                  <c:v>6.7733445200000002</c:v>
                </c:pt>
                <c:pt idx="3">
                  <c:v>6.7798991199999996</c:v>
                </c:pt>
                <c:pt idx="4">
                  <c:v>6.7883663199999997</c:v>
                </c:pt>
                <c:pt idx="5">
                  <c:v>6.79928446</c:v>
                </c:pt>
                <c:pt idx="6">
                  <c:v>6.8133325600000001</c:v>
                </c:pt>
                <c:pt idx="7">
                  <c:v>6.8313560500000001</c:v>
                </c:pt>
                <c:pt idx="8">
                  <c:v>6.8543944400000001</c:v>
                </c:pt>
                <c:pt idx="9">
                  <c:v>6.8837070499999999</c:v>
                </c:pt>
                <c:pt idx="10">
                  <c:v>6.9207806600000001</c:v>
                </c:pt>
                <c:pt idx="11">
                  <c:v>6.9673194900000004</c:v>
                </c:pt>
                <c:pt idx="12">
                  <c:v>7.0251927399999996</c:v>
                </c:pt>
                <c:pt idx="13">
                  <c:v>7.0963253999999996</c:v>
                </c:pt>
                <c:pt idx="14">
                  <c:v>7.1825146699999998</c:v>
                </c:pt>
                <c:pt idx="15">
                  <c:v>7.2851586299999997</c:v>
                </c:pt>
                <c:pt idx="16">
                  <c:v>7.4049234400000001</c:v>
                </c:pt>
                <c:pt idx="17">
                  <c:v>7.5413870799999998</c:v>
                </c:pt>
                <c:pt idx="18">
                  <c:v>7.6927657099999998</c:v>
                </c:pt>
                <c:pt idx="19">
                  <c:v>7.8558230399999998</c:v>
                </c:pt>
                <c:pt idx="20">
                  <c:v>8.0260744099999997</c:v>
                </c:pt>
                <c:pt idx="21">
                  <c:v>8.1982860599999992</c:v>
                </c:pt>
                <c:pt idx="22">
                  <c:v>8.3671941800000003</c:v>
                </c:pt>
                <c:pt idx="23">
                  <c:v>8.5282497399999997</c:v>
                </c:pt>
                <c:pt idx="24">
                  <c:v>8.6781978599999992</c:v>
                </c:pt>
                <c:pt idx="25">
                  <c:v>8.8153781900000006</c:v>
                </c:pt>
                <c:pt idx="26">
                  <c:v>8.9397192000000008</c:v>
                </c:pt>
                <c:pt idx="27">
                  <c:v>9.0525083500000001</c:v>
                </c:pt>
                <c:pt idx="28">
                  <c:v>9.1560516399999994</c:v>
                </c:pt>
                <c:pt idx="29">
                  <c:v>9.2533006699999998</c:v>
                </c:pt>
                <c:pt idx="30">
                  <c:v>9.34750938</c:v>
                </c:pt>
                <c:pt idx="31">
                  <c:v>9.4419307700000008</c:v>
                </c:pt>
                <c:pt idx="32">
                  <c:v>9.5395326600000008</c:v>
                </c:pt>
                <c:pt idx="33">
                  <c:v>9.6427249899999996</c:v>
                </c:pt>
                <c:pt idx="34">
                  <c:v>9.7530889500000004</c:v>
                </c:pt>
                <c:pt idx="35">
                  <c:v>9.8711576500000007</c:v>
                </c:pt>
                <c:pt idx="36">
                  <c:v>9.9962873499999993</c:v>
                </c:pt>
                <c:pt idx="37">
                  <c:v>10.126714700000001</c:v>
                </c:pt>
                <c:pt idx="38">
                  <c:v>10.2598257</c:v>
                </c:pt>
                <c:pt idx="39">
                  <c:v>10.392625799999999</c:v>
                </c:pt>
                <c:pt idx="40">
                  <c:v>10.522311200000001</c:v>
                </c:pt>
                <c:pt idx="41">
                  <c:v>10.646801</c:v>
                </c:pt>
                <c:pt idx="42">
                  <c:v>10.76511</c:v>
                </c:pt>
                <c:pt idx="43">
                  <c:v>10.8775034</c:v>
                </c:pt>
                <c:pt idx="44">
                  <c:v>10.9854536</c:v>
                </c:pt>
                <c:pt idx="45">
                  <c:v>11.091451599999999</c:v>
                </c:pt>
                <c:pt idx="46">
                  <c:v>11.1987591</c:v>
                </c:pt>
                <c:pt idx="47">
                  <c:v>11.311126700000001</c:v>
                </c:pt>
                <c:pt idx="48">
                  <c:v>11.432498900000001</c:v>
                </c:pt>
                <c:pt idx="49">
                  <c:v>11.56668</c:v>
                </c:pt>
                <c:pt idx="50">
                  <c:v>11.7169571</c:v>
                </c:pt>
                <c:pt idx="51">
                  <c:v>11.885669699999999</c:v>
                </c:pt>
                <c:pt idx="52">
                  <c:v>12.0737667</c:v>
                </c:pt>
                <c:pt idx="53">
                  <c:v>12.280461300000001</c:v>
                </c:pt>
                <c:pt idx="54">
                  <c:v>12.5031137</c:v>
                </c:pt>
                <c:pt idx="55">
                  <c:v>12.7374659</c:v>
                </c:pt>
                <c:pt idx="56">
                  <c:v>12.978284800000001</c:v>
                </c:pt>
                <c:pt idx="57">
                  <c:v>13.220295</c:v>
                </c:pt>
                <c:pt idx="58">
                  <c:v>13.4592218</c:v>
                </c:pt>
                <c:pt idx="59">
                  <c:v>13.6926527</c:v>
                </c:pt>
                <c:pt idx="60">
                  <c:v>13.920578000000001</c:v>
                </c:pt>
                <c:pt idx="61">
                  <c:v>14.145522100000001</c:v>
                </c:pt>
                <c:pt idx="62">
                  <c:v>14.3723688</c:v>
                </c:pt>
                <c:pt idx="63">
                  <c:v>14.6079721</c:v>
                </c:pt>
                <c:pt idx="64">
                  <c:v>14.860654800000001</c:v>
                </c:pt>
                <c:pt idx="65">
                  <c:v>15.139628399999999</c:v>
                </c:pt>
                <c:pt idx="66">
                  <c:v>15.4543114</c:v>
                </c:pt>
                <c:pt idx="67">
                  <c:v>15.8134842</c:v>
                </c:pt>
                <c:pt idx="68">
                  <c:v>16.224264099999999</c:v>
                </c:pt>
                <c:pt idx="69">
                  <c:v>16.6909466</c:v>
                </c:pt>
                <c:pt idx="70">
                  <c:v>17.2139053</c:v>
                </c:pt>
                <c:pt idx="71">
                  <c:v>17.788877500000002</c:v>
                </c:pt>
                <c:pt idx="72">
                  <c:v>18.407028199999999</c:v>
                </c:pt>
                <c:pt idx="73">
                  <c:v>19.0560455</c:v>
                </c:pt>
                <c:pt idx="74">
                  <c:v>19.7222729</c:v>
                </c:pt>
                <c:pt idx="75">
                  <c:v>20.3934593</c:v>
                </c:pt>
                <c:pt idx="76">
                  <c:v>21.061487199999998</c:v>
                </c:pt>
                <c:pt idx="77">
                  <c:v>21.724432</c:v>
                </c:pt>
                <c:pt idx="78">
                  <c:v>22.387626600000001</c:v>
                </c:pt>
                <c:pt idx="79">
                  <c:v>23.063716899999999</c:v>
                </c:pt>
                <c:pt idx="80">
                  <c:v>23.7719612</c:v>
                </c:pt>
                <c:pt idx="81">
                  <c:v>24.537054099999999</c:v>
                </c:pt>
                <c:pt idx="82">
                  <c:v>25.387619000000001</c:v>
                </c:pt>
                <c:pt idx="83">
                  <c:v>26.354358699999999</c:v>
                </c:pt>
                <c:pt idx="84">
                  <c:v>27.467697099999999</c:v>
                </c:pt>
                <c:pt idx="85">
                  <c:v>28.754739799999999</c:v>
                </c:pt>
                <c:pt idx="86">
                  <c:v>30.2355862</c:v>
                </c:pt>
                <c:pt idx="87">
                  <c:v>31.919370700000002</c:v>
                </c:pt>
                <c:pt idx="88">
                  <c:v>33.800891900000003</c:v>
                </c:pt>
                <c:pt idx="89">
                  <c:v>35.8591385</c:v>
                </c:pt>
                <c:pt idx="90">
                  <c:v>38.058937100000001</c:v>
                </c:pt>
                <c:pt idx="91">
                  <c:v>40.356365199999999</c:v>
                </c:pt>
                <c:pt idx="92">
                  <c:v>42.707267799999997</c:v>
                </c:pt>
                <c:pt idx="93">
                  <c:v>45.077083600000002</c:v>
                </c:pt>
                <c:pt idx="94">
                  <c:v>47.449649800000003</c:v>
                </c:pt>
                <c:pt idx="95">
                  <c:v>49.833087900000002</c:v>
                </c:pt>
                <c:pt idx="96">
                  <c:v>52.262069699999998</c:v>
                </c:pt>
                <c:pt idx="97">
                  <c:v>54.796920800000002</c:v>
                </c:pt>
                <c:pt idx="98">
                  <c:v>57.520385699999999</c:v>
                </c:pt>
                <c:pt idx="99">
                  <c:v>60.532875099999998</c:v>
                </c:pt>
                <c:pt idx="100">
                  <c:v>63.946353899999998</c:v>
                </c:pt>
                <c:pt idx="101">
                  <c:v>67.876388500000004</c:v>
                </c:pt>
                <c:pt idx="102">
                  <c:v>72.431648300000006</c:v>
                </c:pt>
                <c:pt idx="103">
                  <c:v>77.700378400000005</c:v>
                </c:pt>
                <c:pt idx="104">
                  <c:v>83.734451300000003</c:v>
                </c:pt>
                <c:pt idx="105">
                  <c:v>90.533363300000005</c:v>
                </c:pt>
                <c:pt idx="106">
                  <c:v>98.032341000000002</c:v>
                </c:pt>
                <c:pt idx="107">
                  <c:v>106.099998</c:v>
                </c:pt>
                <c:pt idx="108">
                  <c:v>114.54982800000001</c:v>
                </c:pt>
                <c:pt idx="109">
                  <c:v>123.16590100000001</c:v>
                </c:pt>
                <c:pt idx="110">
                  <c:v>131.738373</c:v>
                </c:pt>
                <c:pt idx="111">
                  <c:v>140.09993</c:v>
                </c:pt>
                <c:pt idx="112">
                  <c:v>148.15443400000001</c:v>
                </c:pt>
                <c:pt idx="113">
                  <c:v>155.89183</c:v>
                </c:pt>
                <c:pt idx="114">
                  <c:v>163.38922099999999</c:v>
                </c:pt>
                <c:pt idx="115">
                  <c:v>170.80093400000001</c:v>
                </c:pt>
                <c:pt idx="116">
                  <c:v>178.34245300000001</c:v>
                </c:pt>
                <c:pt idx="117">
                  <c:v>186.27143899999999</c:v>
                </c:pt>
                <c:pt idx="118">
                  <c:v>194.866806</c:v>
                </c:pt>
                <c:pt idx="119">
                  <c:v>204.405258</c:v>
                </c:pt>
                <c:pt idx="120">
                  <c:v>215.13357500000001</c:v>
                </c:pt>
                <c:pt idx="121">
                  <c:v>227.235962</c:v>
                </c:pt>
                <c:pt idx="122">
                  <c:v>240.79873699999999</c:v>
                </c:pt>
                <c:pt idx="123">
                  <c:v>255.778458</c:v>
                </c:pt>
                <c:pt idx="124">
                  <c:v>271.98364299999997</c:v>
                </c:pt>
                <c:pt idx="125">
                  <c:v>289.080444</c:v>
                </c:pt>
                <c:pt idx="126">
                  <c:v>306.62899800000002</c:v>
                </c:pt>
                <c:pt idx="127">
                  <c:v>324.14660600000002</c:v>
                </c:pt>
                <c:pt idx="128">
                  <c:v>341.18405200000001</c:v>
                </c:pt>
                <c:pt idx="129">
                  <c:v>357.39584400000001</c:v>
                </c:pt>
                <c:pt idx="130">
                  <c:v>372.58715799999999</c:v>
                </c:pt>
                <c:pt idx="131">
                  <c:v>386.73080399999998</c:v>
                </c:pt>
                <c:pt idx="132">
                  <c:v>399.95669600000002</c:v>
                </c:pt>
                <c:pt idx="133">
                  <c:v>412.52389499999998</c:v>
                </c:pt>
                <c:pt idx="134">
                  <c:v>424.78439300000002</c:v>
                </c:pt>
                <c:pt idx="135">
                  <c:v>437.14541600000001</c:v>
                </c:pt>
                <c:pt idx="136">
                  <c:v>450.03222699999998</c:v>
                </c:pt>
                <c:pt idx="137">
                  <c:v>463.84997600000003</c:v>
                </c:pt>
                <c:pt idx="138">
                  <c:v>478.94281000000001</c:v>
                </c:pt>
                <c:pt idx="139">
                  <c:v>495.54934700000001</c:v>
                </c:pt>
                <c:pt idx="140">
                  <c:v>513.75891100000001</c:v>
                </c:pt>
                <c:pt idx="141">
                  <c:v>533.47723399999995</c:v>
                </c:pt>
                <c:pt idx="142">
                  <c:v>554.41558799999996</c:v>
                </c:pt>
                <c:pt idx="143">
                  <c:v>576.11328100000003</c:v>
                </c:pt>
                <c:pt idx="144">
                  <c:v>597.99890100000005</c:v>
                </c:pt>
                <c:pt idx="145">
                  <c:v>619.47845500000005</c:v>
                </c:pt>
                <c:pt idx="146">
                  <c:v>640.03015100000005</c:v>
                </c:pt>
                <c:pt idx="147">
                  <c:v>659.28179899999998</c:v>
                </c:pt>
                <c:pt idx="148">
                  <c:v>677.053406</c:v>
                </c:pt>
                <c:pt idx="149">
                  <c:v>693.363159</c:v>
                </c:pt>
                <c:pt idx="150" formatCode="General">
                  <c:v>708.40313700000002</c:v>
                </c:pt>
                <c:pt idx="151" formatCode="General">
                  <c:v>722.49926800000003</c:v>
                </c:pt>
                <c:pt idx="152" formatCode="General">
                  <c:v>736.06585700000005</c:v>
                </c:pt>
                <c:pt idx="153" formatCode="General">
                  <c:v>749.56152299999997</c:v>
                </c:pt>
                <c:pt idx="154" formatCode="General">
                  <c:v>763.44732699999997</c:v>
                </c:pt>
                <c:pt idx="155" formatCode="General">
                  <c:v>778.14556900000002</c:v>
                </c:pt>
                <c:pt idx="156" formatCode="General">
                  <c:v>793.99707000000001</c:v>
                </c:pt>
                <c:pt idx="157" formatCode="General">
                  <c:v>811.21728499999995</c:v>
                </c:pt>
                <c:pt idx="158" formatCode="General">
                  <c:v>829.85675000000003</c:v>
                </c:pt>
                <c:pt idx="159" formatCode="General">
                  <c:v>849.77673300000004</c:v>
                </c:pt>
                <c:pt idx="160" formatCode="General">
                  <c:v>870.65173300000004</c:v>
                </c:pt>
                <c:pt idx="161" formatCode="General">
                  <c:v>892.00799600000005</c:v>
                </c:pt>
                <c:pt idx="162" formatCode="General">
                  <c:v>913.296021</c:v>
                </c:pt>
                <c:pt idx="163" formatCode="General">
                  <c:v>933.98217799999998</c:v>
                </c:pt>
                <c:pt idx="164" formatCode="General">
                  <c:v>953.63647500000002</c:v>
                </c:pt>
                <c:pt idx="165" formatCode="General">
                  <c:v>971.99585000000002</c:v>
                </c:pt>
                <c:pt idx="166" formatCode="General">
                  <c:v>988.99066200000004</c:v>
                </c:pt>
                <c:pt idx="167" formatCode="General">
                  <c:v>1004.73853</c:v>
                </c:pt>
                <c:pt idx="168" formatCode="General">
                  <c:v>1019.51312</c:v>
                </c:pt>
                <c:pt idx="169" formatCode="General">
                  <c:v>1033.7028800000001</c:v>
                </c:pt>
                <c:pt idx="170" formatCode="General">
                  <c:v>1047.76611</c:v>
                </c:pt>
                <c:pt idx="171" formatCode="General">
                  <c:v>1062.1883499999999</c:v>
                </c:pt>
                <c:pt idx="172" formatCode="General">
                  <c:v>1077.43884</c:v>
                </c:pt>
                <c:pt idx="173" formatCode="General">
                  <c:v>1093.92578</c:v>
                </c:pt>
                <c:pt idx="174" formatCode="General">
                  <c:v>1111.94751</c:v>
                </c:pt>
                <c:pt idx="175" formatCode="General">
                  <c:v>1131.64392</c:v>
                </c:pt>
                <c:pt idx="176" formatCode="General">
                  <c:v>1152.9563000000001</c:v>
                </c:pt>
                <c:pt idx="177" formatCode="General">
                  <c:v>1175.6096199999999</c:v>
                </c:pt>
                <c:pt idx="178" formatCode="General">
                  <c:v>1199.1302499999999</c:v>
                </c:pt>
                <c:pt idx="179" formatCode="General">
                  <c:v>1222.90552</c:v>
                </c:pt>
                <c:pt idx="180" formatCode="General">
                  <c:v>1246.2758799999999</c:v>
                </c:pt>
                <c:pt idx="181" formatCode="General">
                  <c:v>1268.6385499999999</c:v>
                </c:pt>
                <c:pt idx="182" formatCode="General">
                  <c:v>1289.53674</c:v>
                </c:pt>
                <c:pt idx="183" formatCode="General">
                  <c:v>1308.7126499999999</c:v>
                </c:pt>
                <c:pt idx="184" formatCode="General">
                  <c:v>1326.11987</c:v>
                </c:pt>
                <c:pt idx="185" formatCode="General">
                  <c:v>1341.9018599999999</c:v>
                </c:pt>
                <c:pt idx="186" formatCode="General">
                  <c:v>1356.3491200000001</c:v>
                </c:pt>
                <c:pt idx="187" formatCode="General">
                  <c:v>1369.8515600000001</c:v>
                </c:pt>
                <c:pt idx="188" formatCode="General">
                  <c:v>1382.8504600000001</c:v>
                </c:pt>
                <c:pt idx="189" formatCode="General">
                  <c:v>1395.79675</c:v>
                </c:pt>
                <c:pt idx="190" formatCode="General">
                  <c:v>1409.1110799999999</c:v>
                </c:pt>
                <c:pt idx="191" formatCode="General">
                  <c:v>1423.1461200000001</c:v>
                </c:pt>
                <c:pt idx="192" formatCode="General">
                  <c:v>1438.14795</c:v>
                </c:pt>
                <c:pt idx="193" formatCode="General">
                  <c:v>1454.22192</c:v>
                </c:pt>
                <c:pt idx="194" formatCode="General">
                  <c:v>1471.30908</c:v>
                </c:pt>
                <c:pt idx="195" formatCode="General">
                  <c:v>1489.18481</c:v>
                </c:pt>
                <c:pt idx="196" formatCode="General">
                  <c:v>1507.48657</c:v>
                </c:pt>
                <c:pt idx="197" formatCode="General">
                  <c:v>1525.77197</c:v>
                </c:pt>
                <c:pt idx="198" formatCode="General">
                  <c:v>1543.59509</c:v>
                </c:pt>
                <c:pt idx="199" formatCode="General">
                  <c:v>1560.5843500000001</c:v>
                </c:pt>
                <c:pt idx="200" formatCode="General">
                  <c:v>1576.50073</c:v>
                </c:pt>
                <c:pt idx="201" formatCode="General">
                  <c:v>1591.26685</c:v>
                </c:pt>
                <c:pt idx="202" formatCode="General">
                  <c:v>1604.96631</c:v>
                </c:pt>
                <c:pt idx="203" formatCode="General">
                  <c:v>1617.82068</c:v>
                </c:pt>
                <c:pt idx="204" formatCode="General">
                  <c:v>1630.1557600000001</c:v>
                </c:pt>
                <c:pt idx="205" formatCode="General">
                  <c:v>1642.3634</c:v>
                </c:pt>
                <c:pt idx="206" formatCode="General">
                  <c:v>1654.8648700000001</c:v>
                </c:pt>
                <c:pt idx="207" formatCode="General">
                  <c:v>1668.0730000000001</c:v>
                </c:pt>
                <c:pt idx="208" formatCode="General">
                  <c:v>1682.3538799999999</c:v>
                </c:pt>
                <c:pt idx="209" formatCode="General">
                  <c:v>1697.9836399999999</c:v>
                </c:pt>
                <c:pt idx="210" formatCode="General">
                  <c:v>1715.1049800000001</c:v>
                </c:pt>
                <c:pt idx="211" formatCode="General">
                  <c:v>1733.6887200000001</c:v>
                </c:pt>
                <c:pt idx="212" formatCode="General">
                  <c:v>1753.51331</c:v>
                </c:pt>
                <c:pt idx="213" formatCode="General">
                  <c:v>1774.17407</c:v>
                </c:pt>
                <c:pt idx="214" formatCode="General">
                  <c:v>1795.1289099999999</c:v>
                </c:pt>
                <c:pt idx="215" formatCode="General">
                  <c:v>1815.7760000000001</c:v>
                </c:pt>
                <c:pt idx="216" formatCode="General">
                  <c:v>1835.5451700000001</c:v>
                </c:pt>
                <c:pt idx="217" formatCode="General">
                  <c:v>1853.9802199999999</c:v>
                </c:pt>
                <c:pt idx="218" formatCode="General">
                  <c:v>1870.7919899999999</c:v>
                </c:pt>
                <c:pt idx="219" formatCode="General">
                  <c:v>1885.8748800000001</c:v>
                </c:pt>
                <c:pt idx="220" formatCode="General">
                  <c:v>1899.29053</c:v>
                </c:pt>
                <c:pt idx="221" formatCode="General">
                  <c:v>1911.23315</c:v>
                </c:pt>
                <c:pt idx="222" formatCode="General">
                  <c:v>1921.98596</c:v>
                </c:pt>
                <c:pt idx="223" formatCode="General">
                  <c:v>1931.8807400000001</c:v>
                </c:pt>
                <c:pt idx="224" formatCode="General">
                  <c:v>1941.2625700000001</c:v>
                </c:pt>
                <c:pt idx="225" formatCode="General">
                  <c:v>1950.4599599999999</c:v>
                </c:pt>
                <c:pt idx="226" formatCode="General">
                  <c:v>1959.75891</c:v>
                </c:pt>
                <c:pt idx="227" formatCode="General">
                  <c:v>1969.3796400000001</c:v>
                </c:pt>
                <c:pt idx="228" formatCode="General">
                  <c:v>1979.45544</c:v>
                </c:pt>
                <c:pt idx="229" formatCode="General">
                  <c:v>1990.0190399999999</c:v>
                </c:pt>
                <c:pt idx="230" formatCode="General">
                  <c:v>2001.0004899999999</c:v>
                </c:pt>
                <c:pt idx="231" formatCode="General">
                  <c:v>2012.24207</c:v>
                </c:pt>
                <c:pt idx="232" formatCode="General">
                  <c:v>2023.53088</c:v>
                </c:pt>
                <c:pt idx="233" formatCode="General">
                  <c:v>2034.6449</c:v>
                </c:pt>
                <c:pt idx="234" formatCode="General">
                  <c:v>2045.4002700000001</c:v>
                </c:pt>
                <c:pt idx="235" formatCode="General">
                  <c:v>2055.6904300000001</c:v>
                </c:pt>
                <c:pt idx="236" formatCode="General">
                  <c:v>2065.5080600000001</c:v>
                </c:pt>
                <c:pt idx="237" formatCode="General">
                  <c:v>2074.9494599999998</c:v>
                </c:pt>
                <c:pt idx="238" formatCode="General">
                  <c:v>2084.2040999999999</c:v>
                </c:pt>
                <c:pt idx="239" formatCode="General">
                  <c:v>2093.5368699999999</c:v>
                </c:pt>
                <c:pt idx="240" formatCode="General">
                  <c:v>2103.26343</c:v>
                </c:pt>
                <c:pt idx="241" formatCode="General">
                  <c:v>2113.7272899999998</c:v>
                </c:pt>
                <c:pt idx="242" formatCode="General">
                  <c:v>2125.2683099999999</c:v>
                </c:pt>
                <c:pt idx="243" formatCode="General">
                  <c:v>2138.1914099999999</c:v>
                </c:pt>
                <c:pt idx="244" formatCode="General">
                  <c:v>2152.7248500000001</c:v>
                </c:pt>
                <c:pt idx="245" formatCode="General">
                  <c:v>2168.9765600000001</c:v>
                </c:pt>
                <c:pt idx="246" formatCode="General">
                  <c:v>2186.8923300000001</c:v>
                </c:pt>
                <c:pt idx="247" formatCode="General">
                  <c:v>2206.2297400000002</c:v>
                </c:pt>
                <c:pt idx="248" formatCode="General">
                  <c:v>2226.5585900000001</c:v>
                </c:pt>
                <c:pt idx="249" formatCode="General">
                  <c:v>2247.2997999999998</c:v>
                </c:pt>
                <c:pt idx="250" formatCode="General">
                  <c:v>2267.7976100000001</c:v>
                </c:pt>
                <c:pt idx="251" formatCode="General">
                  <c:v>2287.40967</c:v>
                </c:pt>
                <c:pt idx="252" formatCode="General">
                  <c:v>2305.5927700000002</c:v>
                </c:pt>
                <c:pt idx="253" formatCode="General">
                  <c:v>2321.9606899999999</c:v>
                </c:pt>
                <c:pt idx="254" formatCode="General">
                  <c:v>2336.3051799999998</c:v>
                </c:pt>
                <c:pt idx="255" formatCode="General">
                  <c:v>2348.5830099999998</c:v>
                </c:pt>
                <c:pt idx="256" formatCode="General">
                  <c:v>2358.8803699999999</c:v>
                </c:pt>
                <c:pt idx="257" formatCode="General">
                  <c:v>2367.3703599999999</c:v>
                </c:pt>
                <c:pt idx="258" formatCode="General">
                  <c:v>2374.2719699999998</c:v>
                </c:pt>
                <c:pt idx="259" formatCode="General">
                  <c:v>2379.8181199999999</c:v>
                </c:pt>
                <c:pt idx="260" formatCode="General">
                  <c:v>2384.2334000000001</c:v>
                </c:pt>
                <c:pt idx="261" formatCode="General">
                  <c:v>2387.7229000000002</c:v>
                </c:pt>
                <c:pt idx="262" formatCode="General">
                  <c:v>2390.4643599999999</c:v>
                </c:pt>
                <c:pt idx="263" formatCode="General">
                  <c:v>2392.6079100000002</c:v>
                </c:pt>
                <c:pt idx="264" formatCode="General">
                  <c:v>2394.27808</c:v>
                </c:pt>
                <c:pt idx="265" formatCode="General">
                  <c:v>2395.5752000000002</c:v>
                </c:pt>
                <c:pt idx="266" formatCode="General">
                  <c:v>2396.58032</c:v>
                </c:pt>
                <c:pt idx="267" formatCode="General">
                  <c:v>2397.3576699999999</c:v>
                </c:pt>
                <c:pt idx="268" formatCode="General">
                  <c:v>2397.9572800000001</c:v>
                </c:pt>
                <c:pt idx="269" formatCode="General">
                  <c:v>2398.4187000000002</c:v>
                </c:pt>
                <c:pt idx="270" formatCode="General">
                  <c:v>2398.77295</c:v>
                </c:pt>
                <c:pt idx="271" formatCode="General">
                  <c:v>2399.0434599999999</c:v>
                </c:pt>
                <c:pt idx="272" formatCode="General">
                  <c:v>2399.24854</c:v>
                </c:pt>
                <c:pt idx="273" formatCode="General">
                  <c:v>2399.4020999999998</c:v>
                </c:pt>
                <c:pt idx="274" formatCode="General">
                  <c:v>2399.5144</c:v>
                </c:pt>
                <c:pt idx="275" formatCode="General">
                  <c:v>2399.5935100000002</c:v>
                </c:pt>
                <c:pt idx="276" formatCode="General">
                  <c:v>2399.6440400000001</c:v>
                </c:pt>
                <c:pt idx="277" formatCode="General">
                  <c:v>2399.66968</c:v>
                </c:pt>
                <c:pt idx="278" formatCode="General">
                  <c:v>2399.6709000000001</c:v>
                </c:pt>
                <c:pt idx="279" formatCode="General">
                  <c:v>2399.6455099999998</c:v>
                </c:pt>
                <c:pt idx="280" formatCode="General">
                  <c:v>2399.5805700000001</c:v>
                </c:pt>
                <c:pt idx="281" formatCode="General">
                  <c:v>2399.31738</c:v>
                </c:pt>
                <c:pt idx="282" formatCode="General">
                  <c:v>2399.6169399999999</c:v>
                </c:pt>
                <c:pt idx="283" formatCode="General">
                  <c:v>2399.4133299999999</c:v>
                </c:pt>
                <c:pt idx="284" formatCode="General">
                  <c:v>2399.2197299999998</c:v>
                </c:pt>
                <c:pt idx="285" formatCode="General">
                  <c:v>2398.9765600000001</c:v>
                </c:pt>
                <c:pt idx="286" formatCode="General">
                  <c:v>2398.6464799999999</c:v>
                </c:pt>
                <c:pt idx="287" formatCode="General">
                  <c:v>2398.3046899999999</c:v>
                </c:pt>
                <c:pt idx="288" formatCode="General">
                  <c:v>2397.5747099999999</c:v>
                </c:pt>
                <c:pt idx="289" formatCode="General">
                  <c:v>2397.1162100000001</c:v>
                </c:pt>
                <c:pt idx="290" formatCode="General">
                  <c:v>2393.8222700000001</c:v>
                </c:pt>
                <c:pt idx="291" formatCode="General">
                  <c:v>2395.2456099999999</c:v>
                </c:pt>
                <c:pt idx="292" formatCode="General">
                  <c:v>2394.7077599999998</c:v>
                </c:pt>
                <c:pt idx="293" formatCode="General">
                  <c:v>2391.9252900000001</c:v>
                </c:pt>
                <c:pt idx="294" formatCode="General">
                  <c:v>2389.4436000000001</c:v>
                </c:pt>
                <c:pt idx="295" formatCode="General">
                  <c:v>2386.24316</c:v>
                </c:pt>
                <c:pt idx="296" formatCode="General">
                  <c:v>2382.0927700000002</c:v>
                </c:pt>
                <c:pt idx="297" formatCode="General">
                  <c:v>2376.70361</c:v>
                </c:pt>
                <c:pt idx="298" formatCode="General">
                  <c:v>2369.7033700000002</c:v>
                </c:pt>
              </c:numCache>
            </c:numRef>
          </c:yVal>
          <c:smooth val="0"/>
        </c:ser>
        <c:ser>
          <c:idx val="1"/>
          <c:order val="3"/>
          <c:tx>
            <c:v>Gl from Abaqus_SSD</c:v>
          </c:tx>
          <c:spPr>
            <a:ln w="28575">
              <a:solidFill>
                <a:schemeClr val="accent1"/>
              </a:solidFill>
            </a:ln>
          </c:spPr>
          <c:marker>
            <c:symbol val="none"/>
          </c:marker>
          <c:xVal>
            <c:numRef>
              <c:f>Abaqus_SSD_Analysis!$A$4:$A$302</c:f>
              <c:numCache>
                <c:formatCode>0.00E+00</c:formatCode>
                <c:ptCount val="299"/>
                <c:pt idx="0">
                  <c:v>1.00000001E-7</c:v>
                </c:pt>
                <c:pt idx="1">
                  <c:v>1.29930882E-7</c:v>
                </c:pt>
                <c:pt idx="2">
                  <c:v>1.4810460400000001E-7</c:v>
                </c:pt>
                <c:pt idx="3">
                  <c:v>1.68820335E-7</c:v>
                </c:pt>
                <c:pt idx="4">
                  <c:v>1.92433617E-7</c:v>
                </c:pt>
                <c:pt idx="5">
                  <c:v>2.1934974400000001E-7</c:v>
                </c:pt>
                <c:pt idx="6">
                  <c:v>2.50030695E-7</c:v>
                </c:pt>
                <c:pt idx="7">
                  <c:v>2.8500303999999999E-7</c:v>
                </c:pt>
                <c:pt idx="8">
                  <c:v>3.24867074E-7</c:v>
                </c:pt>
                <c:pt idx="9">
                  <c:v>3.7030696399999998E-7</c:v>
                </c:pt>
                <c:pt idx="10">
                  <c:v>4.2210263000000001E-7</c:v>
                </c:pt>
                <c:pt idx="11">
                  <c:v>4.8114310400000002E-7</c:v>
                </c:pt>
                <c:pt idx="12">
                  <c:v>5.48441676E-7</c:v>
                </c:pt>
                <c:pt idx="13">
                  <c:v>6.2515346100000002E-7</c:v>
                </c:pt>
                <c:pt idx="14">
                  <c:v>7.1259506699999996E-7</c:v>
                </c:pt>
                <c:pt idx="15">
                  <c:v>8.1226733100000001E-7</c:v>
                </c:pt>
                <c:pt idx="16">
                  <c:v>9.2588101100000004E-7</c:v>
                </c:pt>
                <c:pt idx="17">
                  <c:v>1.0553860599999999E-6</c:v>
                </c:pt>
                <c:pt idx="18">
                  <c:v>1.2030053500000001E-6</c:v>
                </c:pt>
                <c:pt idx="19">
                  <c:v>1.3712724499999999E-6</c:v>
                </c:pt>
                <c:pt idx="20">
                  <c:v>1.56307544E-6</c:v>
                </c:pt>
                <c:pt idx="21">
                  <c:v>1.7817063700000001E-6</c:v>
                </c:pt>
                <c:pt idx="22">
                  <c:v>2.03091759E-6</c:v>
                </c:pt>
                <c:pt idx="23">
                  <c:v>2.3149866600000002E-6</c:v>
                </c:pt>
                <c:pt idx="24">
                  <c:v>2.6387890600000002E-6</c:v>
                </c:pt>
                <c:pt idx="25">
                  <c:v>3.0078824700000002E-6</c:v>
                </c:pt>
                <c:pt idx="26">
                  <c:v>3.4286017600000001E-6</c:v>
                </c:pt>
                <c:pt idx="27">
                  <c:v>3.9081683099999997E-6</c:v>
                </c:pt>
                <c:pt idx="28">
                  <c:v>4.4548123699999999E-6</c:v>
                </c:pt>
                <c:pt idx="29">
                  <c:v>5.07791719E-6</c:v>
                </c:pt>
                <c:pt idx="30">
                  <c:v>5.7881770799999998E-6</c:v>
                </c:pt>
                <c:pt idx="31">
                  <c:v>6.5977824299999998E-6</c:v>
                </c:pt>
                <c:pt idx="32">
                  <c:v>7.52062942E-6</c:v>
                </c:pt>
                <c:pt idx="33">
                  <c:v>8.5725569100000005E-6</c:v>
                </c:pt>
                <c:pt idx="34">
                  <c:v>9.7716192600000006E-6</c:v>
                </c:pt>
                <c:pt idx="35">
                  <c:v>1.11383979E-5</c:v>
                </c:pt>
                <c:pt idx="36">
                  <c:v>1.26963514E-5</c:v>
                </c:pt>
                <c:pt idx="37">
                  <c:v>1.44722189E-5</c:v>
                </c:pt>
                <c:pt idx="38">
                  <c:v>1.6496480399999999E-5</c:v>
                </c:pt>
                <c:pt idx="39">
                  <c:v>1.8803881199999999E-5</c:v>
                </c:pt>
                <c:pt idx="40">
                  <c:v>2.1434021599999999E-5</c:v>
                </c:pt>
                <c:pt idx="41">
                  <c:v>2.4432047200000001E-5</c:v>
                </c:pt>
                <c:pt idx="42">
                  <c:v>2.7849413500000002E-5</c:v>
                </c:pt>
                <c:pt idx="43">
                  <c:v>3.1744773899999999E-5</c:v>
                </c:pt>
                <c:pt idx="44">
                  <c:v>3.6184988899999998E-5</c:v>
                </c:pt>
                <c:pt idx="45">
                  <c:v>4.1246265000000003E-5</c:v>
                </c:pt>
                <c:pt idx="46">
                  <c:v>4.7015473699999998E-5</c:v>
                </c:pt>
                <c:pt idx="47">
                  <c:v>5.3591633300000002E-5</c:v>
                </c:pt>
                <c:pt idx="48">
                  <c:v>6.1087615900000007E-5</c:v>
                </c:pt>
                <c:pt idx="49">
                  <c:v>6.9632078499999998E-5</c:v>
                </c:pt>
                <c:pt idx="50">
                  <c:v>7.9371675400000002E-5</c:v>
                </c:pt>
                <c:pt idx="51">
                  <c:v>9.0473571599999998E-5</c:v>
                </c:pt>
                <c:pt idx="52">
                  <c:v>1.03128317E-4</c:v>
                </c:pt>
                <c:pt idx="53">
                  <c:v>1.17553107E-4</c:v>
                </c:pt>
                <c:pt idx="54">
                  <c:v>1.3399551999999999E-4</c:v>
                </c:pt>
                <c:pt idx="55">
                  <c:v>1.5273779E-4</c:v>
                </c:pt>
                <c:pt idx="56">
                  <c:v>1.7410155900000001E-4</c:v>
                </c:pt>
                <c:pt idx="57">
                  <c:v>1.98453548E-4</c:v>
                </c:pt>
                <c:pt idx="58">
                  <c:v>2.2621168999999999E-4</c:v>
                </c:pt>
                <c:pt idx="59">
                  <c:v>2.57852429E-4</c:v>
                </c:pt>
                <c:pt idx="60">
                  <c:v>2.93918827E-4</c:v>
                </c:pt>
                <c:pt idx="61">
                  <c:v>3.3502993800000003E-4</c:v>
                </c:pt>
                <c:pt idx="62">
                  <c:v>3.8189132499999998E-4</c:v>
                </c:pt>
                <c:pt idx="63">
                  <c:v>4.3530733099999999E-4</c:v>
                </c:pt>
                <c:pt idx="64">
                  <c:v>4.9619475599999995E-4</c:v>
                </c:pt>
                <c:pt idx="65">
                  <c:v>5.6559866100000002E-4</c:v>
                </c:pt>
                <c:pt idx="66">
                  <c:v>6.4471020599999999E-4</c:v>
                </c:pt>
                <c:pt idx="67">
                  <c:v>7.3488725999999998E-4</c:v>
                </c:pt>
                <c:pt idx="68">
                  <c:v>8.37677624E-4</c:v>
                </c:pt>
                <c:pt idx="69">
                  <c:v>9.5484551299999997E-4</c:v>
                </c:pt>
                <c:pt idx="70">
                  <c:v>1.0884018800000001E-3</c:v>
                </c:pt>
                <c:pt idx="71">
                  <c:v>1.2406391299999999E-3</c:v>
                </c:pt>
                <c:pt idx="72">
                  <c:v>1.4141701400000001E-3</c:v>
                </c:pt>
                <c:pt idx="73">
                  <c:v>1.61197339E-3</c:v>
                </c:pt>
                <c:pt idx="74">
                  <c:v>1.8374436799999999E-3</c:v>
                </c:pt>
                <c:pt idx="75">
                  <c:v>2.0944511100000002E-3</c:v>
                </c:pt>
                <c:pt idx="76">
                  <c:v>2.3874067699999999E-3</c:v>
                </c:pt>
                <c:pt idx="77">
                  <c:v>2.7213387700000002E-3</c:v>
                </c:pt>
                <c:pt idx="78">
                  <c:v>3.1019786799999999E-3</c:v>
                </c:pt>
                <c:pt idx="79">
                  <c:v>3.5358592899999998E-3</c:v>
                </c:pt>
                <c:pt idx="80">
                  <c:v>4.0304279000000004E-3</c:v>
                </c:pt>
                <c:pt idx="81">
                  <c:v>4.5941732799999998E-3</c:v>
                </c:pt>
                <c:pt idx="82">
                  <c:v>5.2367704899999997E-3</c:v>
                </c:pt>
                <c:pt idx="83">
                  <c:v>5.9692496400000003E-3</c:v>
                </c:pt>
                <c:pt idx="84">
                  <c:v>6.8041821899999999E-3</c:v>
                </c:pt>
                <c:pt idx="85">
                  <c:v>7.7558983999999999E-3</c:v>
                </c:pt>
                <c:pt idx="86">
                  <c:v>8.84073321E-3</c:v>
                </c:pt>
                <c:pt idx="87">
                  <c:v>1.0077307000000001E-2</c:v>
                </c:pt>
                <c:pt idx="88">
                  <c:v>1.1486842299999999E-2</c:v>
                </c:pt>
                <c:pt idx="89">
                  <c:v>1.3093532999999999E-2</c:v>
                </c:pt>
                <c:pt idx="90">
                  <c:v>1.49249556E-2</c:v>
                </c:pt>
                <c:pt idx="91">
                  <c:v>1.70125421E-2</c:v>
                </c:pt>
                <c:pt idx="92">
                  <c:v>1.93921253E-2</c:v>
                </c:pt>
                <c:pt idx="93">
                  <c:v>2.2104546400000001E-2</c:v>
                </c:pt>
                <c:pt idx="94">
                  <c:v>2.51963586E-2</c:v>
                </c:pt>
                <c:pt idx="95">
                  <c:v>2.8720630300000001E-2</c:v>
                </c:pt>
                <c:pt idx="96">
                  <c:v>3.27378511E-2</c:v>
                </c:pt>
                <c:pt idx="97">
                  <c:v>3.7316966799999997E-2</c:v>
                </c:pt>
                <c:pt idx="98">
                  <c:v>4.2536579099999999E-2</c:v>
                </c:pt>
                <c:pt idx="99">
                  <c:v>4.8486266299999997E-2</c:v>
                </c:pt>
                <c:pt idx="100">
                  <c:v>5.5268149799999999E-2</c:v>
                </c:pt>
                <c:pt idx="101">
                  <c:v>6.2998630099999994E-2</c:v>
                </c:pt>
                <c:pt idx="102">
                  <c:v>7.1810394499999999E-2</c:v>
                </c:pt>
                <c:pt idx="103">
                  <c:v>8.1854671200000007E-2</c:v>
                </c:pt>
                <c:pt idx="104">
                  <c:v>9.3303874100000003E-2</c:v>
                </c:pt>
                <c:pt idx="105">
                  <c:v>0.10635449700000001</c:v>
                </c:pt>
                <c:pt idx="106">
                  <c:v>0.121230543</c:v>
                </c:pt>
                <c:pt idx="107">
                  <c:v>0.138187334</c:v>
                </c:pt>
                <c:pt idx="108">
                  <c:v>0.15751589799999999</c:v>
                </c:pt>
                <c:pt idx="109">
                  <c:v>0.17954801000000001</c:v>
                </c:pt>
                <c:pt idx="110">
                  <c:v>0.204661801</c:v>
                </c:pt>
                <c:pt idx="111">
                  <c:v>0.233288303</c:v>
                </c:pt>
                <c:pt idx="112">
                  <c:v>0.265918881</c:v>
                </c:pt>
                <c:pt idx="113">
                  <c:v>0.30311355000000001</c:v>
                </c:pt>
                <c:pt idx="114">
                  <c:v>0.34551072100000002</c:v>
                </c:pt>
                <c:pt idx="115">
                  <c:v>0.39383810800000002</c:v>
                </c:pt>
                <c:pt idx="116">
                  <c:v>0.448925138</c:v>
                </c:pt>
                <c:pt idx="117">
                  <c:v>0.51171731899999995</c:v>
                </c:pt>
                <c:pt idx="118">
                  <c:v>0.58329236500000003</c:v>
                </c:pt>
                <c:pt idx="119">
                  <c:v>0.66487878600000005</c:v>
                </c:pt>
                <c:pt idx="120">
                  <c:v>0.75787687299999995</c:v>
                </c:pt>
                <c:pt idx="121">
                  <c:v>0.86388284000000004</c:v>
                </c:pt>
                <c:pt idx="122">
                  <c:v>0.98471611699999995</c:v>
                </c:pt>
                <c:pt idx="123">
                  <c:v>1.1224505899999999</c:v>
                </c:pt>
                <c:pt idx="124">
                  <c:v>1.2794502999999999</c:v>
                </c:pt>
                <c:pt idx="125">
                  <c:v>1.4584099100000001</c:v>
                </c:pt>
                <c:pt idx="126">
                  <c:v>1.66240096</c:v>
                </c:pt>
                <c:pt idx="127">
                  <c:v>1.8949247600000001</c:v>
                </c:pt>
                <c:pt idx="128">
                  <c:v>2.15997219</c:v>
                </c:pt>
                <c:pt idx="129">
                  <c:v>2.4620924</c:v>
                </c:pt>
                <c:pt idx="130">
                  <c:v>2.8064708700000001</c:v>
                </c:pt>
                <c:pt idx="131">
                  <c:v>3.19901824</c:v>
                </c:pt>
                <c:pt idx="132">
                  <c:v>3.6464722200000002</c:v>
                </c:pt>
                <c:pt idx="133">
                  <c:v>4.1565127400000002</c:v>
                </c:pt>
                <c:pt idx="134">
                  <c:v>4.7378935799999997</c:v>
                </c:pt>
                <c:pt idx="135">
                  <c:v>5.4005932799999998</c:v>
                </c:pt>
                <c:pt idx="136">
                  <c:v>6.1559863100000003</c:v>
                </c:pt>
                <c:pt idx="137">
                  <c:v>7.01703835</c:v>
                </c:pt>
                <c:pt idx="138">
                  <c:v>7.9985275299999996</c:v>
                </c:pt>
                <c:pt idx="139">
                  <c:v>9.1172990800000004</c:v>
                </c:pt>
                <c:pt idx="140">
                  <c:v>10.392557099999999</c:v>
                </c:pt>
                <c:pt idx="141">
                  <c:v>11.8461876</c:v>
                </c:pt>
                <c:pt idx="142">
                  <c:v>13.503140399999999</c:v>
                </c:pt>
                <c:pt idx="143">
                  <c:v>15.3918552</c:v>
                </c:pt>
                <c:pt idx="144">
                  <c:v>17.544748299999998</c:v>
                </c:pt>
                <c:pt idx="145">
                  <c:v>19.9987736</c:v>
                </c:pt>
                <c:pt idx="146">
                  <c:v>22.7960472</c:v>
                </c:pt>
                <c:pt idx="147">
                  <c:v>25.984580999999999</c:v>
                </c:pt>
                <c:pt idx="148">
                  <c:v>29.6191025</c:v>
                </c:pt>
                <c:pt idx="149">
                  <c:v>33.761993400000001</c:v>
                </c:pt>
                <c:pt idx="150" formatCode="General">
                  <c:v>38.484359699999999</c:v>
                </c:pt>
                <c:pt idx="151" formatCode="General">
                  <c:v>43.8672562</c:v>
                </c:pt>
                <c:pt idx="152" formatCode="General">
                  <c:v>50.003067000000001</c:v>
                </c:pt>
                <c:pt idx="153" formatCode="General">
                  <c:v>56.997112299999998</c:v>
                </c:pt>
                <c:pt idx="154" formatCode="General">
                  <c:v>64.969429000000005</c:v>
                </c:pt>
                <c:pt idx="155" formatCode="General">
                  <c:v>74.0568466</c:v>
                </c:pt>
                <c:pt idx="156" formatCode="General">
                  <c:v>84.415344200000007</c:v>
                </c:pt>
                <c:pt idx="157" formatCode="General">
                  <c:v>96.222709699999996</c:v>
                </c:pt>
                <c:pt idx="158" formatCode="General">
                  <c:v>109.681602</c:v>
                </c:pt>
                <c:pt idx="159" formatCode="General">
                  <c:v>125.02301799999999</c:v>
                </c:pt>
                <c:pt idx="160" formatCode="General">
                  <c:v>142.51026899999999</c:v>
                </c:pt>
                <c:pt idx="161" formatCode="General">
                  <c:v>162.44349700000001</c:v>
                </c:pt>
                <c:pt idx="162" formatCode="General">
                  <c:v>185.164841</c:v>
                </c:pt>
                <c:pt idx="163" formatCode="General">
                  <c:v>211.06426999999999</c:v>
                </c:pt>
                <c:pt idx="164" formatCode="General">
                  <c:v>240.58630400000001</c:v>
                </c:pt>
                <c:pt idx="165" formatCode="General">
                  <c:v>274.23767099999998</c:v>
                </c:pt>
                <c:pt idx="166" formatCode="General">
                  <c:v>312.59588600000001</c:v>
                </c:pt>
                <c:pt idx="167" formatCode="General">
                  <c:v>356.31939699999998</c:v>
                </c:pt>
                <c:pt idx="168" formatCode="General">
                  <c:v>406.15859999999998</c:v>
                </c:pt>
                <c:pt idx="169" formatCode="General">
                  <c:v>462.96893299999999</c:v>
                </c:pt>
                <c:pt idx="170" formatCode="General">
                  <c:v>527.72546399999999</c:v>
                </c:pt>
                <c:pt idx="171" formatCode="General">
                  <c:v>601.53961200000003</c:v>
                </c:pt>
                <c:pt idx="172" formatCode="General">
                  <c:v>685.67828399999996</c:v>
                </c:pt>
                <c:pt idx="173" formatCode="General">
                  <c:v>781.58569299999999</c:v>
                </c:pt>
                <c:pt idx="174" formatCode="General">
                  <c:v>890.90783699999997</c:v>
                </c:pt>
                <c:pt idx="175" formatCode="General">
                  <c:v>1015.52112</c:v>
                </c:pt>
                <c:pt idx="176" formatCode="General">
                  <c:v>1157.5643299999999</c:v>
                </c:pt>
                <c:pt idx="177" formatCode="General">
                  <c:v>1319.4754600000001</c:v>
                </c:pt>
                <c:pt idx="178" formatCode="General">
                  <c:v>1504.0335700000001</c:v>
                </c:pt>
                <c:pt idx="179" formatCode="General">
                  <c:v>1714.4061300000001</c:v>
                </c:pt>
                <c:pt idx="180" formatCode="General">
                  <c:v>1954.20398</c:v>
                </c:pt>
                <c:pt idx="181" formatCode="General">
                  <c:v>2227.54297</c:v>
                </c:pt>
                <c:pt idx="182" formatCode="General">
                  <c:v>2539.1145000000001</c:v>
                </c:pt>
                <c:pt idx="183" formatCode="General">
                  <c:v>2894.26611</c:v>
                </c:pt>
                <c:pt idx="184" formatCode="General">
                  <c:v>3299.09375</c:v>
                </c:pt>
                <c:pt idx="185" formatCode="General">
                  <c:v>3760.5454100000002</c:v>
                </c:pt>
                <c:pt idx="186" formatCode="General">
                  <c:v>4286.5415000000003</c:v>
                </c:pt>
                <c:pt idx="187" formatCode="General">
                  <c:v>4886.1098599999996</c:v>
                </c:pt>
                <c:pt idx="188" formatCode="General">
                  <c:v>5569.5410199999997</c:v>
                </c:pt>
                <c:pt idx="189" formatCode="General">
                  <c:v>6348.5654299999997</c:v>
                </c:pt>
                <c:pt idx="190" formatCode="General">
                  <c:v>7236.5532199999998</c:v>
                </c:pt>
                <c:pt idx="191" formatCode="General">
                  <c:v>8248.7460900000005</c:v>
                </c:pt>
                <c:pt idx="192" formatCode="General">
                  <c:v>9402.5175799999997</c:v>
                </c:pt>
                <c:pt idx="193" formatCode="General">
                  <c:v>10717.668900000001</c:v>
                </c:pt>
                <c:pt idx="194" formatCode="General">
                  <c:v>12216.7734</c:v>
                </c:pt>
                <c:pt idx="195" formatCode="General">
                  <c:v>13925.5615</c:v>
                </c:pt>
                <c:pt idx="196" formatCode="General">
                  <c:v>15873.3613</c:v>
                </c:pt>
                <c:pt idx="197" formatCode="General">
                  <c:v>18093.603500000001</c:v>
                </c:pt>
                <c:pt idx="198" formatCode="General">
                  <c:v>20624.398399999998</c:v>
                </c:pt>
                <c:pt idx="199" formatCode="General">
                  <c:v>23509.179700000001</c:v>
                </c:pt>
                <c:pt idx="200" formatCode="General">
                  <c:v>26797.460899999998</c:v>
                </c:pt>
                <c:pt idx="201" formatCode="General">
                  <c:v>30545.6816</c:v>
                </c:pt>
                <c:pt idx="202" formatCode="General">
                  <c:v>34818.175799999997</c:v>
                </c:pt>
                <c:pt idx="203" formatCode="General">
                  <c:v>39688.273399999998</c:v>
                </c:pt>
                <c:pt idx="204" formatCode="General">
                  <c:v>45239.5625</c:v>
                </c:pt>
                <c:pt idx="205" formatCode="General">
                  <c:v>51567.324200000003</c:v>
                </c:pt>
                <c:pt idx="206" formatCode="General">
                  <c:v>58780.160199999998</c:v>
                </c:pt>
                <c:pt idx="207" formatCode="General">
                  <c:v>67001.875</c:v>
                </c:pt>
                <c:pt idx="208" formatCode="General">
                  <c:v>76373.578099999999</c:v>
                </c:pt>
                <c:pt idx="209" formatCode="General">
                  <c:v>87056.125</c:v>
                </c:pt>
                <c:pt idx="210" formatCode="General">
                  <c:v>99232.859400000001</c:v>
                </c:pt>
                <c:pt idx="211" formatCode="General">
                  <c:v>113112.789</c:v>
                </c:pt>
                <c:pt idx="212" formatCode="General">
                  <c:v>128934.133</c:v>
                </c:pt>
                <c:pt idx="213" formatCode="General">
                  <c:v>146968.43799999999</c:v>
                </c:pt>
                <c:pt idx="214" formatCode="General">
                  <c:v>167525.25</c:v>
                </c:pt>
                <c:pt idx="215" formatCode="General">
                  <c:v>190957.391</c:v>
                </c:pt>
                <c:pt idx="216" formatCode="General">
                  <c:v>217667.03099999999</c:v>
                </c:pt>
                <c:pt idx="217" formatCode="General">
                  <c:v>248112.609</c:v>
                </c:pt>
                <c:pt idx="218" formatCode="General">
                  <c:v>282816.68800000002</c:v>
                </c:pt>
                <c:pt idx="219" formatCode="General">
                  <c:v>322374.875</c:v>
                </c:pt>
                <c:pt idx="220" formatCode="General">
                  <c:v>367466.18800000002</c:v>
                </c:pt>
                <c:pt idx="221" formatCode="General">
                  <c:v>418864.53100000002</c:v>
                </c:pt>
                <c:pt idx="222" formatCode="General">
                  <c:v>477452.06300000002</c:v>
                </c:pt>
                <c:pt idx="223" formatCode="General">
                  <c:v>544234.375</c:v>
                </c:pt>
                <c:pt idx="224" formatCode="General">
                  <c:v>620357.625</c:v>
                </c:pt>
                <c:pt idx="225" formatCode="General">
                  <c:v>707128.5</c:v>
                </c:pt>
                <c:pt idx="226" formatCode="General">
                  <c:v>806036.125</c:v>
                </c:pt>
                <c:pt idx="227" formatCode="General">
                  <c:v>918778.25</c:v>
                </c:pt>
                <c:pt idx="228" formatCode="General">
                  <c:v>1047289.81</c:v>
                </c:pt>
                <c:pt idx="229" formatCode="General">
                  <c:v>1193776.6299999999</c:v>
                </c:pt>
                <c:pt idx="230" formatCode="General">
                  <c:v>1360752.88</c:v>
                </c:pt>
                <c:pt idx="231" formatCode="General">
                  <c:v>1551084.5</c:v>
                </c:pt>
                <c:pt idx="232" formatCode="General">
                  <c:v>1768038.13</c:v>
                </c:pt>
                <c:pt idx="233" formatCode="General">
                  <c:v>2015337.63</c:v>
                </c:pt>
                <c:pt idx="234" formatCode="General">
                  <c:v>2297227.5</c:v>
                </c:pt>
                <c:pt idx="235" formatCode="General">
                  <c:v>2618546</c:v>
                </c:pt>
                <c:pt idx="236" formatCode="General">
                  <c:v>2984808</c:v>
                </c:pt>
                <c:pt idx="237" formatCode="General">
                  <c:v>3402299.75</c:v>
                </c:pt>
                <c:pt idx="238" formatCode="General">
                  <c:v>3878187.25</c:v>
                </c:pt>
                <c:pt idx="239" formatCode="General">
                  <c:v>4420638</c:v>
                </c:pt>
                <c:pt idx="240" formatCode="General">
                  <c:v>5038962.5</c:v>
                </c:pt>
                <c:pt idx="241" formatCode="General">
                  <c:v>5743773.5</c:v>
                </c:pt>
                <c:pt idx="242" formatCode="General">
                  <c:v>6547168.5</c:v>
                </c:pt>
                <c:pt idx="243" formatCode="General">
                  <c:v>7462935.5</c:v>
                </c:pt>
                <c:pt idx="244" formatCode="General">
                  <c:v>8506793</c:v>
                </c:pt>
                <c:pt idx="245" formatCode="General">
                  <c:v>9696658</c:v>
                </c:pt>
                <c:pt idx="246" formatCode="General">
                  <c:v>11052951</c:v>
                </c:pt>
                <c:pt idx="247" formatCode="General">
                  <c:v>12598953</c:v>
                </c:pt>
                <c:pt idx="248" formatCode="General">
                  <c:v>14361197</c:v>
                </c:pt>
                <c:pt idx="249" formatCode="General">
                  <c:v>16369930</c:v>
                </c:pt>
                <c:pt idx="250" formatCode="General">
                  <c:v>18659630</c:v>
                </c:pt>
                <c:pt idx="251" formatCode="General">
                  <c:v>21269594</c:v>
                </c:pt>
                <c:pt idx="252" formatCode="General">
                  <c:v>24244620</c:v>
                </c:pt>
                <c:pt idx="253" formatCode="General">
                  <c:v>27635770</c:v>
                </c:pt>
                <c:pt idx="254" formatCode="General">
                  <c:v>31501248</c:v>
                </c:pt>
                <c:pt idx="255" formatCode="General">
                  <c:v>35907400</c:v>
                </c:pt>
                <c:pt idx="256" formatCode="General">
                  <c:v>40929848</c:v>
                </c:pt>
                <c:pt idx="257" formatCode="General">
                  <c:v>46654800</c:v>
                </c:pt>
                <c:pt idx="258" formatCode="General">
                  <c:v>53180512</c:v>
                </c:pt>
                <c:pt idx="259" formatCode="General">
                  <c:v>60618988</c:v>
                </c:pt>
                <c:pt idx="260" formatCode="General">
                  <c:v>69097904</c:v>
                </c:pt>
                <c:pt idx="261" formatCode="General">
                  <c:v>78762784</c:v>
                </c:pt>
                <c:pt idx="262" formatCode="General">
                  <c:v>89779512</c:v>
                </c:pt>
                <c:pt idx="263" formatCode="General">
                  <c:v>102337176</c:v>
                </c:pt>
                <c:pt idx="264" formatCode="General">
                  <c:v>116651312</c:v>
                </c:pt>
                <c:pt idx="265" formatCode="General">
                  <c:v>132967600</c:v>
                </c:pt>
                <c:pt idx="266" formatCode="General">
                  <c:v>151566080</c:v>
                </c:pt>
                <c:pt idx="267" formatCode="General">
                  <c:v>172765968</c:v>
                </c:pt>
                <c:pt idx="268" formatCode="General">
                  <c:v>196931136</c:v>
                </c:pt>
                <c:pt idx="269" formatCode="General">
                  <c:v>224476336</c:v>
                </c:pt>
                <c:pt idx="270" formatCode="General">
                  <c:v>255874352</c:v>
                </c:pt>
                <c:pt idx="271" formatCode="General">
                  <c:v>291664064</c:v>
                </c:pt>
                <c:pt idx="272" formatCode="General">
                  <c:v>332459808</c:v>
                </c:pt>
                <c:pt idx="273" formatCode="General">
                  <c:v>378961696</c:v>
                </c:pt>
                <c:pt idx="274" formatCode="General">
                  <c:v>431967936</c:v>
                </c:pt>
                <c:pt idx="275" formatCode="General">
                  <c:v>492388256</c:v>
                </c:pt>
                <c:pt idx="276" formatCode="General">
                  <c:v>561259712</c:v>
                </c:pt>
                <c:pt idx="277" formatCode="General">
                  <c:v>639764416</c:v>
                </c:pt>
                <c:pt idx="278" formatCode="General">
                  <c:v>729249664</c:v>
                </c:pt>
                <c:pt idx="279" formatCode="General">
                  <c:v>831251520</c:v>
                </c:pt>
                <c:pt idx="280" formatCode="General">
                  <c:v>947520512</c:v>
                </c:pt>
                <c:pt idx="281" formatCode="General">
                  <c:v>1080052350</c:v>
                </c:pt>
                <c:pt idx="282" formatCode="General">
                  <c:v>1231121790</c:v>
                </c:pt>
                <c:pt idx="283" formatCode="General">
                  <c:v>1403321600</c:v>
                </c:pt>
                <c:pt idx="284" formatCode="General">
                  <c:v>1599607300</c:v>
                </c:pt>
                <c:pt idx="285" formatCode="General">
                  <c:v>1823347970</c:v>
                </c:pt>
                <c:pt idx="286" formatCode="General">
                  <c:v>2078383870</c:v>
                </c:pt>
                <c:pt idx="287" formatCode="General">
                  <c:v>2369092100</c:v>
                </c:pt>
                <c:pt idx="288" formatCode="General">
                  <c:v>2700462340</c:v>
                </c:pt>
                <c:pt idx="289" formatCode="General">
                  <c:v>3078182140</c:v>
                </c:pt>
                <c:pt idx="290" formatCode="General">
                  <c:v>3508734460</c:v>
                </c:pt>
                <c:pt idx="291" formatCode="General">
                  <c:v>3999508990</c:v>
                </c:pt>
                <c:pt idx="292" formatCode="General">
                  <c:v>4558929410</c:v>
                </c:pt>
                <c:pt idx="293" formatCode="General">
                  <c:v>5196597250</c:v>
                </c:pt>
                <c:pt idx="294" formatCode="General">
                  <c:v>5923457020</c:v>
                </c:pt>
                <c:pt idx="295" formatCode="General">
                  <c:v>6751984640</c:v>
                </c:pt>
                <c:pt idx="296" formatCode="General">
                  <c:v>7696399870</c:v>
                </c:pt>
                <c:pt idx="297" formatCode="General">
                  <c:v>8772913150</c:v>
                </c:pt>
                <c:pt idx="298" formatCode="General">
                  <c:v>10000000000</c:v>
                </c:pt>
              </c:numCache>
            </c:numRef>
          </c:xVal>
          <c:yVal>
            <c:numRef>
              <c:f>Abaqus_SSD_Analysis!$C$4:$C$302</c:f>
              <c:numCache>
                <c:formatCode>0.00E+00</c:formatCode>
                <c:ptCount val="299"/>
                <c:pt idx="0">
                  <c:v>0.17448882800000001</c:v>
                </c:pt>
                <c:pt idx="1">
                  <c:v>0.22615245</c:v>
                </c:pt>
                <c:pt idx="2">
                  <c:v>0.25731641100000002</c:v>
                </c:pt>
                <c:pt idx="3">
                  <c:v>0.29261711200000001</c:v>
                </c:pt>
                <c:pt idx="4">
                  <c:v>0.33252912800000001</c:v>
                </c:pt>
                <c:pt idx="5">
                  <c:v>0.37754595299999999</c:v>
                </c:pt>
                <c:pt idx="6">
                  <c:v>0.42816206800000001</c:v>
                </c:pt>
                <c:pt idx="7">
                  <c:v>0.48484453599999999</c:v>
                </c:pt>
                <c:pt idx="8">
                  <c:v>0.54799067999999995</c:v>
                </c:pt>
                <c:pt idx="9">
                  <c:v>0.61786729100000004</c:v>
                </c:pt>
                <c:pt idx="10">
                  <c:v>0.69452857999999995</c:v>
                </c:pt>
                <c:pt idx="11">
                  <c:v>0.77771014000000005</c:v>
                </c:pt>
                <c:pt idx="12">
                  <c:v>0.86670345100000001</c:v>
                </c:pt>
                <c:pt idx="13">
                  <c:v>0.96022158899999999</c:v>
                </c:pt>
                <c:pt idx="14">
                  <c:v>1.05628181</c:v>
                </c:pt>
                <c:pt idx="15">
                  <c:v>1.1521465799999999</c:v>
                </c:pt>
                <c:pt idx="16">
                  <c:v>1.2443753500000001</c:v>
                </c:pt>
                <c:pt idx="17">
                  <c:v>1.32904339</c:v>
                </c:pt>
                <c:pt idx="18">
                  <c:v>1.4021520599999999</c:v>
                </c:pt>
                <c:pt idx="19">
                  <c:v>1.4601983999999999</c:v>
                </c:pt>
                <c:pt idx="20">
                  <c:v>1.50079608</c:v>
                </c:pt>
                <c:pt idx="21">
                  <c:v>1.5231769100000001</c:v>
                </c:pt>
                <c:pt idx="22">
                  <c:v>1.52841282</c:v>
                </c:pt>
                <c:pt idx="23">
                  <c:v>1.5192771</c:v>
                </c:pt>
                <c:pt idx="24">
                  <c:v>1.49978995</c:v>
                </c:pt>
                <c:pt idx="25">
                  <c:v>1.4745901800000001</c:v>
                </c:pt>
                <c:pt idx="26">
                  <c:v>1.44830573</c:v>
                </c:pt>
                <c:pt idx="27">
                  <c:v>1.42504692</c:v>
                </c:pt>
                <c:pt idx="28">
                  <c:v>1.40807664</c:v>
                </c:pt>
                <c:pt idx="29">
                  <c:v>1.3996397300000001</c:v>
                </c:pt>
                <c:pt idx="30">
                  <c:v>1.4009102600000001</c:v>
                </c:pt>
                <c:pt idx="31">
                  <c:v>1.4120101899999999</c:v>
                </c:pt>
                <c:pt idx="32">
                  <c:v>1.43207705</c:v>
                </c:pt>
                <c:pt idx="33">
                  <c:v>1.4593848</c:v>
                </c:pt>
                <c:pt idx="34">
                  <c:v>1.49154198</c:v>
                </c:pt>
                <c:pt idx="35">
                  <c:v>1.5257951000000001</c:v>
                </c:pt>
                <c:pt idx="36">
                  <c:v>1.55944109</c:v>
                </c:pt>
                <c:pt idx="37">
                  <c:v>1.59030771</c:v>
                </c:pt>
                <c:pt idx="38">
                  <c:v>1.61720598</c:v>
                </c:pt>
                <c:pt idx="39">
                  <c:v>1.64023542</c:v>
                </c:pt>
                <c:pt idx="40">
                  <c:v>1.6608471899999999</c:v>
                </c:pt>
                <c:pt idx="41">
                  <c:v>1.68164337</c:v>
                </c:pt>
                <c:pt idx="42">
                  <c:v>1.7059787500000001</c:v>
                </c:pt>
                <c:pt idx="43">
                  <c:v>1.7374776599999999</c:v>
                </c:pt>
                <c:pt idx="44">
                  <c:v>1.77957845</c:v>
                </c:pt>
                <c:pt idx="45">
                  <c:v>1.83516908</c:v>
                </c:pt>
                <c:pt idx="46">
                  <c:v>1.90633035</c:v>
                </c:pt>
                <c:pt idx="47">
                  <c:v>1.9941635099999999</c:v>
                </c:pt>
                <c:pt idx="48">
                  <c:v>2.0986797799999999</c:v>
                </c:pt>
                <c:pt idx="49">
                  <c:v>2.2187395099999998</c:v>
                </c:pt>
                <c:pt idx="50">
                  <c:v>2.35206604</c:v>
                </c:pt>
                <c:pt idx="51">
                  <c:v>2.4953787300000001</c:v>
                </c:pt>
                <c:pt idx="52">
                  <c:v>2.6447138799999999</c:v>
                </c:pt>
                <c:pt idx="53">
                  <c:v>2.7959692500000002</c:v>
                </c:pt>
                <c:pt idx="54">
                  <c:v>2.9456491499999999</c:v>
                </c:pt>
                <c:pt idx="55">
                  <c:v>3.0916895900000001</c:v>
                </c:pt>
                <c:pt idx="56">
                  <c:v>3.2341589900000001</c:v>
                </c:pt>
                <c:pt idx="57">
                  <c:v>3.3756198899999998</c:v>
                </c:pt>
                <c:pt idx="58">
                  <c:v>3.5210246999999999</c:v>
                </c:pt>
                <c:pt idx="59">
                  <c:v>3.6771659900000002</c:v>
                </c:pt>
                <c:pt idx="60">
                  <c:v>3.8518433600000002</c:v>
                </c:pt>
                <c:pt idx="61">
                  <c:v>4.0529532399999999</c:v>
                </c:pt>
                <c:pt idx="62">
                  <c:v>4.2876696599999997</c:v>
                </c:pt>
                <c:pt idx="63">
                  <c:v>4.5617856999999997</c:v>
                </c:pt>
                <c:pt idx="64">
                  <c:v>4.8792133299999998</c:v>
                </c:pt>
                <c:pt idx="65">
                  <c:v>5.2416000399999998</c:v>
                </c:pt>
                <c:pt idx="66">
                  <c:v>5.6480336199999996</c:v>
                </c:pt>
                <c:pt idx="67">
                  <c:v>6.0948848699999996</c:v>
                </c:pt>
                <c:pt idx="68">
                  <c:v>6.5758829099999998</c:v>
                </c:pt>
                <c:pt idx="69">
                  <c:v>7.0826053599999996</c:v>
                </c:pt>
                <c:pt idx="70">
                  <c:v>7.60553217</c:v>
                </c:pt>
                <c:pt idx="71">
                  <c:v>8.1357183499999994</c:v>
                </c:pt>
                <c:pt idx="72">
                  <c:v>8.6669130299999999</c:v>
                </c:pt>
                <c:pt idx="73">
                  <c:v>9.1976890600000001</c:v>
                </c:pt>
                <c:pt idx="74">
                  <c:v>9.7330017099999999</c:v>
                </c:pt>
                <c:pt idx="75">
                  <c:v>10.2846355</c:v>
                </c:pt>
                <c:pt idx="76">
                  <c:v>10.870374699999999</c:v>
                </c:pt>
                <c:pt idx="77">
                  <c:v>11.5120907</c:v>
                </c:pt>
                <c:pt idx="78">
                  <c:v>12.2332754</c:v>
                </c:pt>
                <c:pt idx="79">
                  <c:v>13.056532900000001</c:v>
                </c:pt>
                <c:pt idx="80">
                  <c:v>14.001377099999999</c:v>
                </c:pt>
                <c:pt idx="81">
                  <c:v>15.0824108</c:v>
                </c:pt>
                <c:pt idx="82">
                  <c:v>16.307842300000001</c:v>
                </c:pt>
                <c:pt idx="83">
                  <c:v>17.678220700000001</c:v>
                </c:pt>
                <c:pt idx="84">
                  <c:v>19.185472499999999</c:v>
                </c:pt>
                <c:pt idx="85">
                  <c:v>20.812475200000002</c:v>
                </c:pt>
                <c:pt idx="86">
                  <c:v>22.533704799999999</c:v>
                </c:pt>
                <c:pt idx="87">
                  <c:v>24.3175259</c:v>
                </c:pt>
                <c:pt idx="88">
                  <c:v>26.130617099999998</c:v>
                </c:pt>
                <c:pt idx="89">
                  <c:v>27.944368399999998</c:v>
                </c:pt>
                <c:pt idx="90">
                  <c:v>29.7423325</c:v>
                </c:pt>
                <c:pt idx="91">
                  <c:v>31.5268841</c:v>
                </c:pt>
                <c:pt idx="92">
                  <c:v>33.323043800000001</c:v>
                </c:pt>
                <c:pt idx="93">
                  <c:v>35.178039599999998</c:v>
                </c:pt>
                <c:pt idx="94">
                  <c:v>37.156509399999997</c:v>
                </c:pt>
                <c:pt idx="95">
                  <c:v>39.3325958</c:v>
                </c:pt>
                <c:pt idx="96">
                  <c:v>41.780777</c:v>
                </c:pt>
                <c:pt idx="97">
                  <c:v>44.567016600000002</c:v>
                </c:pt>
                <c:pt idx="98">
                  <c:v>47.741027799999998</c:v>
                </c:pt>
                <c:pt idx="99">
                  <c:v>51.329631800000001</c:v>
                </c:pt>
                <c:pt idx="100">
                  <c:v>55.330955500000002</c:v>
                </c:pt>
                <c:pt idx="101">
                  <c:v>59.709331499999998</c:v>
                </c:pt>
                <c:pt idx="102">
                  <c:v>64.391609200000005</c:v>
                </c:pt>
                <c:pt idx="103">
                  <c:v>69.266334499999999</c:v>
                </c:pt>
                <c:pt idx="104">
                  <c:v>74.188201899999996</c:v>
                </c:pt>
                <c:pt idx="105">
                  <c:v>78.990074199999995</c:v>
                </c:pt>
                <c:pt idx="106">
                  <c:v>83.503753700000004</c:v>
                </c:pt>
                <c:pt idx="107">
                  <c:v>87.587669399999996</c:v>
                </c:pt>
                <c:pt idx="108">
                  <c:v>91.156242399999996</c:v>
                </c:pt>
                <c:pt idx="109">
                  <c:v>94.202835100000001</c:v>
                </c:pt>
                <c:pt idx="110">
                  <c:v>96.808929399999997</c:v>
                </c:pt>
                <c:pt idx="111">
                  <c:v>99.135833700000006</c:v>
                </c:pt>
                <c:pt idx="112">
                  <c:v>101.401276</c:v>
                </c:pt>
                <c:pt idx="113">
                  <c:v>103.847504</c:v>
                </c:pt>
                <c:pt idx="114">
                  <c:v>106.708748</c:v>
                </c:pt>
                <c:pt idx="115">
                  <c:v>110.183296</c:v>
                </c:pt>
                <c:pt idx="116">
                  <c:v>114.41235399999999</c:v>
                </c:pt>
                <c:pt idx="117">
                  <c:v>119.464905</c:v>
                </c:pt>
                <c:pt idx="118">
                  <c:v>125.326767</c:v>
                </c:pt>
                <c:pt idx="119">
                  <c:v>131.89308199999999</c:v>
                </c:pt>
                <c:pt idx="120">
                  <c:v>138.96530200000001</c:v>
                </c:pt>
                <c:pt idx="121">
                  <c:v>146.25599700000001</c:v>
                </c:pt>
                <c:pt idx="122">
                  <c:v>153.40647899999999</c:v>
                </c:pt>
                <c:pt idx="123">
                  <c:v>160.02131700000001</c:v>
                </c:pt>
                <c:pt idx="124">
                  <c:v>165.72006200000001</c:v>
                </c:pt>
                <c:pt idx="125">
                  <c:v>170.199524</c:v>
                </c:pt>
                <c:pt idx="126">
                  <c:v>173.29284699999999</c:v>
                </c:pt>
                <c:pt idx="127">
                  <c:v>175.00817900000001</c:v>
                </c:pt>
                <c:pt idx="128">
                  <c:v>175.53401199999999</c:v>
                </c:pt>
                <c:pt idx="129">
                  <c:v>175.20903000000001</c:v>
                </c:pt>
                <c:pt idx="130">
                  <c:v>174.465881</c:v>
                </c:pt>
                <c:pt idx="131">
                  <c:v>173.765198</c:v>
                </c:pt>
                <c:pt idx="132">
                  <c:v>173.53495799999999</c:v>
                </c:pt>
                <c:pt idx="133">
                  <c:v>174.12428299999999</c:v>
                </c:pt>
                <c:pt idx="134">
                  <c:v>175.773087</c:v>
                </c:pt>
                <c:pt idx="135">
                  <c:v>178.594482</c:v>
                </c:pt>
                <c:pt idx="136">
                  <c:v>182.56590299999999</c:v>
                </c:pt>
                <c:pt idx="137">
                  <c:v>187.52658099999999</c:v>
                </c:pt>
                <c:pt idx="138">
                  <c:v>193.18248</c:v>
                </c:pt>
                <c:pt idx="139">
                  <c:v>199.12283300000001</c:v>
                </c:pt>
                <c:pt idx="140">
                  <c:v>204.85424800000001</c:v>
                </c:pt>
                <c:pt idx="141">
                  <c:v>209.855942</c:v>
                </c:pt>
                <c:pt idx="142">
                  <c:v>213.65315200000001</c:v>
                </c:pt>
                <c:pt idx="143">
                  <c:v>215.89711</c:v>
                </c:pt>
                <c:pt idx="144">
                  <c:v>216.431656</c:v>
                </c:pt>
                <c:pt idx="145">
                  <c:v>215.32652300000001</c:v>
                </c:pt>
                <c:pt idx="146">
                  <c:v>212.866028</c:v>
                </c:pt>
                <c:pt idx="147">
                  <c:v>209.49702500000001</c:v>
                </c:pt>
                <c:pt idx="148">
                  <c:v>205.75254799999999</c:v>
                </c:pt>
                <c:pt idx="149">
                  <c:v>202.17227199999999</c:v>
                </c:pt>
                <c:pt idx="150" formatCode="General">
                  <c:v>199.23585499999999</c:v>
                </c:pt>
                <c:pt idx="151" formatCode="General">
                  <c:v>197.31691000000001</c:v>
                </c:pt>
                <c:pt idx="152" formatCode="General">
                  <c:v>196.656036</c:v>
                </c:pt>
                <c:pt idx="153" formatCode="General">
                  <c:v>197.34848</c:v>
                </c:pt>
                <c:pt idx="154" formatCode="General">
                  <c:v>199.340912</c:v>
                </c:pt>
                <c:pt idx="155" formatCode="General">
                  <c:v>202.43514999999999</c:v>
                </c:pt>
                <c:pt idx="156" formatCode="General">
                  <c:v>206.30050700000001</c:v>
                </c:pt>
                <c:pt idx="157" formatCode="General">
                  <c:v>210.499191</c:v>
                </c:pt>
                <c:pt idx="158" formatCode="General">
                  <c:v>214.529785</c:v>
                </c:pt>
                <c:pt idx="159" formatCode="General">
                  <c:v>217.89033499999999</c:v>
                </c:pt>
                <c:pt idx="160" formatCode="General">
                  <c:v>220.15479999999999</c:v>
                </c:pt>
                <c:pt idx="161" formatCode="General">
                  <c:v>221.04809599999999</c:v>
                </c:pt>
                <c:pt idx="162" formatCode="General">
                  <c:v>220.499527</c:v>
                </c:pt>
                <c:pt idx="163" formatCode="General">
                  <c:v>218.65780599999999</c:v>
                </c:pt>
                <c:pt idx="164" formatCode="General">
                  <c:v>215.86253400000001</c:v>
                </c:pt>
                <c:pt idx="165" formatCode="General">
                  <c:v>212.58158900000001</c:v>
                </c:pt>
                <c:pt idx="166" formatCode="General">
                  <c:v>209.33311499999999</c:v>
                </c:pt>
                <c:pt idx="167" formatCode="General">
                  <c:v>206.61146500000001</c:v>
                </c:pt>
                <c:pt idx="168" formatCode="General">
                  <c:v>204.82917800000001</c:v>
                </c:pt>
                <c:pt idx="169" formatCode="General">
                  <c:v>204.27844200000001</c:v>
                </c:pt>
                <c:pt idx="170" formatCode="General">
                  <c:v>205.10913099999999</c:v>
                </c:pt>
                <c:pt idx="171" formatCode="General">
                  <c:v>207.317947</c:v>
                </c:pt>
                <c:pt idx="172" formatCode="General">
                  <c:v>210.74560500000001</c:v>
                </c:pt>
                <c:pt idx="173" formatCode="General">
                  <c:v>215.081512</c:v>
                </c:pt>
                <c:pt idx="174" formatCode="General">
                  <c:v>219.880325</c:v>
                </c:pt>
                <c:pt idx="175" formatCode="General">
                  <c:v>224.59622200000001</c:v>
                </c:pt>
                <c:pt idx="176" formatCode="General">
                  <c:v>228.63969399999999</c:v>
                </c:pt>
                <c:pt idx="177" formatCode="General">
                  <c:v>231.455353</c:v>
                </c:pt>
                <c:pt idx="178" formatCode="General">
                  <c:v>232.60964999999999</c:v>
                </c:pt>
                <c:pt idx="179" formatCode="General">
                  <c:v>231.86816400000001</c:v>
                </c:pt>
                <c:pt idx="180" formatCode="General">
                  <c:v>229.239822</c:v>
                </c:pt>
                <c:pt idx="181" formatCode="General">
                  <c:v>224.97383099999999</c:v>
                </c:pt>
                <c:pt idx="182" formatCode="General">
                  <c:v>219.51011700000001</c:v>
                </c:pt>
                <c:pt idx="183" formatCode="General">
                  <c:v>213.399902</c:v>
                </c:pt>
                <c:pt idx="184" formatCode="General">
                  <c:v>207.21911600000001</c:v>
                </c:pt>
                <c:pt idx="185" formatCode="General">
                  <c:v>201.49414100000001</c:v>
                </c:pt>
                <c:pt idx="186" formatCode="General">
                  <c:v>196.649689</c:v>
                </c:pt>
                <c:pt idx="187" formatCode="General">
                  <c:v>192.979263</c:v>
                </c:pt>
                <c:pt idx="188" formatCode="General">
                  <c:v>190.632813</c:v>
                </c:pt>
                <c:pt idx="189" formatCode="General">
                  <c:v>189.61552399999999</c:v>
                </c:pt>
                <c:pt idx="190" formatCode="General">
                  <c:v>189.793869</c:v>
                </c:pt>
                <c:pt idx="191" formatCode="General">
                  <c:v>190.90832499999999</c:v>
                </c:pt>
                <c:pt idx="192" formatCode="General">
                  <c:v>192.59620699999999</c:v>
                </c:pt>
                <c:pt idx="193" formatCode="General">
                  <c:v>194.428314</c:v>
                </c:pt>
                <c:pt idx="194" formatCode="General">
                  <c:v>195.961761</c:v>
                </c:pt>
                <c:pt idx="195" formatCode="General">
                  <c:v>196.804901</c:v>
                </c:pt>
                <c:pt idx="196" formatCode="General">
                  <c:v>196.68331900000001</c:v>
                </c:pt>
                <c:pt idx="197" formatCode="General">
                  <c:v>195.49014299999999</c:v>
                </c:pt>
                <c:pt idx="198" formatCode="General">
                  <c:v>193.305466</c:v>
                </c:pt>
                <c:pt idx="199" formatCode="General">
                  <c:v>190.37866199999999</c:v>
                </c:pt>
                <c:pt idx="200" formatCode="General">
                  <c:v>187.07925399999999</c:v>
                </c:pt>
                <c:pt idx="201" formatCode="General">
                  <c:v>183.83175700000001</c:v>
                </c:pt>
                <c:pt idx="202" formatCode="General">
                  <c:v>181.05102500000001</c:v>
                </c:pt>
                <c:pt idx="203" formatCode="General">
                  <c:v>179.08972199999999</c:v>
                </c:pt>
                <c:pt idx="204" formatCode="General">
                  <c:v>178.20223999999999</c:v>
                </c:pt>
                <c:pt idx="205" formatCode="General">
                  <c:v>178.523056</c:v>
                </c:pt>
                <c:pt idx="206" formatCode="General">
                  <c:v>180.055252</c:v>
                </c:pt>
                <c:pt idx="207" formatCode="General">
                  <c:v>182.66610700000001</c:v>
                </c:pt>
                <c:pt idx="208" formatCode="General">
                  <c:v>186.089035</c:v>
                </c:pt>
                <c:pt idx="209" formatCode="General">
                  <c:v>189.93536399999999</c:v>
                </c:pt>
                <c:pt idx="210" formatCode="General">
                  <c:v>193.72096300000001</c:v>
                </c:pt>
                <c:pt idx="211" formatCode="General">
                  <c:v>196.91255200000001</c:v>
                </c:pt>
                <c:pt idx="212" formatCode="General">
                  <c:v>198.99389600000001</c:v>
                </c:pt>
                <c:pt idx="213" formatCode="General">
                  <c:v>199.543137</c:v>
                </c:pt>
                <c:pt idx="214" formatCode="General">
                  <c:v>198.304733</c:v>
                </c:pt>
                <c:pt idx="215" formatCode="General">
                  <c:v>195.23541299999999</c:v>
                </c:pt>
                <c:pt idx="216" formatCode="General">
                  <c:v>190.50943000000001</c:v>
                </c:pt>
                <c:pt idx="217" formatCode="General">
                  <c:v>184.481537</c:v>
                </c:pt>
                <c:pt idx="218" formatCode="General">
                  <c:v>177.62029999999999</c:v>
                </c:pt>
                <c:pt idx="219" formatCode="General">
                  <c:v>170.431961</c:v>
                </c:pt>
                <c:pt idx="220" formatCode="General">
                  <c:v>163.393326</c:v>
                </c:pt>
                <c:pt idx="221" formatCode="General">
                  <c:v>156.904144</c:v>
                </c:pt>
                <c:pt idx="222" formatCode="General">
                  <c:v>151.260727</c:v>
                </c:pt>
                <c:pt idx="223" formatCode="General">
                  <c:v>146.64666700000001</c:v>
                </c:pt>
                <c:pt idx="224" formatCode="General">
                  <c:v>143.13455200000001</c:v>
                </c:pt>
                <c:pt idx="225" formatCode="General">
                  <c:v>140.693985</c:v>
                </c:pt>
                <c:pt idx="226" formatCode="General">
                  <c:v>139.20394899999999</c:v>
                </c:pt>
                <c:pt idx="227" formatCode="General">
                  <c:v>138.46992499999999</c:v>
                </c:pt>
                <c:pt idx="228" formatCode="General">
                  <c:v>138.247894</c:v>
                </c:pt>
                <c:pt idx="229" formatCode="General">
                  <c:v>138.27659600000001</c:v>
                </c:pt>
                <c:pt idx="230" formatCode="General">
                  <c:v>138.31686400000001</c:v>
                </c:pt>
                <c:pt idx="231" formatCode="General">
                  <c:v>138.191956</c:v>
                </c:pt>
                <c:pt idx="232" formatCode="General">
                  <c:v>137.82008400000001</c:v>
                </c:pt>
                <c:pt idx="233" formatCode="General">
                  <c:v>137.22953799999999</c:v>
                </c:pt>
                <c:pt idx="234" formatCode="General">
                  <c:v>136.55169699999999</c:v>
                </c:pt>
                <c:pt idx="235" formatCode="General">
                  <c:v>135.994202</c:v>
                </c:pt>
                <c:pt idx="236" formatCode="General">
                  <c:v>135.802109</c:v>
                </c:pt>
                <c:pt idx="237" formatCode="General">
                  <c:v>136.216858</c:v>
                </c:pt>
                <c:pt idx="238" formatCode="General">
                  <c:v>137.44042999999999</c:v>
                </c:pt>
                <c:pt idx="239" formatCode="General">
                  <c:v>139.60763499999999</c:v>
                </c:pt>
                <c:pt idx="240" formatCode="General">
                  <c:v>142.76597599999999</c:v>
                </c:pt>
                <c:pt idx="241" formatCode="General">
                  <c:v>146.86093099999999</c:v>
                </c:pt>
                <c:pt idx="242" formatCode="General">
                  <c:v>151.72551000000001</c:v>
                </c:pt>
                <c:pt idx="243" formatCode="General">
                  <c:v>157.074997</c:v>
                </c:pt>
                <c:pt idx="244" formatCode="General">
                  <c:v>162.51078799999999</c:v>
                </c:pt>
                <c:pt idx="245" formatCode="General">
                  <c:v>167.539413</c:v>
                </c:pt>
                <c:pt idx="246" formatCode="General">
                  <c:v>171.61198400000001</c:v>
                </c:pt>
                <c:pt idx="247" formatCode="General">
                  <c:v>174.18544</c:v>
                </c:pt>
                <c:pt idx="248" formatCode="General">
                  <c:v>174.79856899999999</c:v>
                </c:pt>
                <c:pt idx="249" formatCode="General">
                  <c:v>173.146591</c:v>
                </c:pt>
                <c:pt idx="250" formatCode="General">
                  <c:v>169.133499</c:v>
                </c:pt>
                <c:pt idx="251" formatCode="General">
                  <c:v>162.8853</c:v>
                </c:pt>
                <c:pt idx="252" formatCode="General">
                  <c:v>154.71965</c:v>
                </c:pt>
                <c:pt idx="253" formatCode="General">
                  <c:v>145.08299299999999</c:v>
                </c:pt>
                <c:pt idx="254" formatCode="General">
                  <c:v>134.47494499999999</c:v>
                </c:pt>
                <c:pt idx="255" formatCode="General">
                  <c:v>123.380211</c:v>
                </c:pt>
                <c:pt idx="256" formatCode="General">
                  <c:v>112.220596</c:v>
                </c:pt>
                <c:pt idx="257" formatCode="General">
                  <c:v>101.330254</c:v>
                </c:pt>
                <c:pt idx="258" formatCode="General">
                  <c:v>90.9507294</c:v>
                </c:pt>
                <c:pt idx="259" formatCode="General">
                  <c:v>81.2390671</c:v>
                </c:pt>
                <c:pt idx="260" formatCode="General">
                  <c:v>72.282440199999996</c:v>
                </c:pt>
                <c:pt idx="261" formatCode="General">
                  <c:v>64.114570599999993</c:v>
                </c:pt>
                <c:pt idx="262" formatCode="General">
                  <c:v>56.730953200000002</c:v>
                </c:pt>
                <c:pt idx="263" formatCode="General">
                  <c:v>50.101535800000001</c:v>
                </c:pt>
                <c:pt idx="264" formatCode="General">
                  <c:v>44.180599200000003</c:v>
                </c:pt>
                <c:pt idx="265" formatCode="General">
                  <c:v>38.913986199999997</c:v>
                </c:pt>
                <c:pt idx="266" formatCode="General">
                  <c:v>34.244159699999997</c:v>
                </c:pt>
                <c:pt idx="267" formatCode="General">
                  <c:v>30.113584500000002</c:v>
                </c:pt>
                <c:pt idx="268" formatCode="General">
                  <c:v>26.466865500000001</c:v>
                </c:pt>
                <c:pt idx="269" formatCode="General">
                  <c:v>23.251996999999999</c:v>
                </c:pt>
                <c:pt idx="270" formatCode="General">
                  <c:v>20.421011</c:v>
                </c:pt>
                <c:pt idx="271" formatCode="General">
                  <c:v>17.930219699999999</c:v>
                </c:pt>
                <c:pt idx="272" formatCode="General">
                  <c:v>15.7401991</c:v>
                </c:pt>
                <c:pt idx="273" formatCode="General">
                  <c:v>13.8156166</c:v>
                </c:pt>
                <c:pt idx="274" formatCode="General">
                  <c:v>12.1249685</c:v>
                </c:pt>
                <c:pt idx="275" formatCode="General">
                  <c:v>10.6402702</c:v>
                </c:pt>
                <c:pt idx="276" formatCode="General">
                  <c:v>9.33673763</c:v>
                </c:pt>
                <c:pt idx="277" formatCode="General">
                  <c:v>8.1924724599999994</c:v>
                </c:pt>
                <c:pt idx="278" formatCode="General">
                  <c:v>7.1881523100000004</c:v>
                </c:pt>
                <c:pt idx="279" formatCode="General">
                  <c:v>6.3067569700000004</c:v>
                </c:pt>
                <c:pt idx="280" formatCode="General">
                  <c:v>5.5333046899999996</c:v>
                </c:pt>
                <c:pt idx="281" formatCode="General">
                  <c:v>4.8546199799999998</c:v>
                </c:pt>
                <c:pt idx="282" formatCode="General">
                  <c:v>4.2591156999999997</c:v>
                </c:pt>
                <c:pt idx="283" formatCode="General">
                  <c:v>3.7366206599999998</c:v>
                </c:pt>
                <c:pt idx="284" formatCode="General">
                  <c:v>3.27819657</c:v>
                </c:pt>
                <c:pt idx="285" formatCode="General">
                  <c:v>2.87599516</c:v>
                </c:pt>
                <c:pt idx="286" formatCode="General">
                  <c:v>2.5231275599999998</c:v>
                </c:pt>
                <c:pt idx="287" formatCode="General">
                  <c:v>2.2135460400000002</c:v>
                </c:pt>
                <c:pt idx="288" formatCode="General">
                  <c:v>1.94194555</c:v>
                </c:pt>
                <c:pt idx="289" formatCode="General">
                  <c:v>1.7036632300000001</c:v>
                </c:pt>
                <c:pt idx="290" formatCode="General">
                  <c:v>1.4946566800000001</c:v>
                </c:pt>
                <c:pt idx="291" formatCode="General">
                  <c:v>1.31122088</c:v>
                </c:pt>
                <c:pt idx="292" formatCode="General">
                  <c:v>1.1503405600000001</c:v>
                </c:pt>
                <c:pt idx="293" formatCode="General">
                  <c:v>1.00917447</c:v>
                </c:pt>
                <c:pt idx="294" formatCode="General">
                  <c:v>0.88534182299999997</c:v>
                </c:pt>
                <c:pt idx="295" formatCode="General">
                  <c:v>0.77670407299999999</c:v>
                </c:pt>
                <c:pt idx="296" formatCode="General">
                  <c:v>0.68139690200000003</c:v>
                </c:pt>
                <c:pt idx="297" formatCode="General">
                  <c:v>0.59778457900000004</c:v>
                </c:pt>
                <c:pt idx="298" formatCode="General">
                  <c:v>0.52443230200000002</c:v>
                </c:pt>
              </c:numCache>
            </c:numRef>
          </c:yVal>
          <c:smooth val="0"/>
        </c:ser>
        <c:ser>
          <c:idx val="4"/>
          <c:order val="4"/>
          <c:tx>
            <c:v>Gs from MCal</c:v>
          </c:tx>
          <c:spPr>
            <a:ln w="28575">
              <a:noFill/>
            </a:ln>
          </c:spPr>
          <c:xVal>
            <c:numRef>
              <c:f>'Prony Fit'!$F$6:$F$46</c:f>
              <c:numCache>
                <c:formatCode>0.0000E+00</c:formatCode>
                <c:ptCount val="41"/>
                <c:pt idx="0">
                  <c:v>6.3095734448019212E-6</c:v>
                </c:pt>
                <c:pt idx="1">
                  <c:v>1.3881061578564237E-5</c:v>
                </c:pt>
                <c:pt idx="2">
                  <c:v>2.9024037846088861E-5</c:v>
                </c:pt>
                <c:pt idx="3">
                  <c:v>6.3095734448019279E-5</c:v>
                </c:pt>
                <c:pt idx="4">
                  <c:v>1.3881061578564229E-4</c:v>
                </c:pt>
                <c:pt idx="5">
                  <c:v>2.9024037846088892E-4</c:v>
                </c:pt>
                <c:pt idx="6">
                  <c:v>6.3095734448019244E-4</c:v>
                </c:pt>
                <c:pt idx="7">
                  <c:v>1.3565582906324136E-3</c:v>
                </c:pt>
                <c:pt idx="8">
                  <c:v>2.5118864315095777E-3</c:v>
                </c:pt>
                <c:pt idx="9">
                  <c:v>5.400555827745593E-3</c:v>
                </c:pt>
                <c:pt idx="10">
                  <c:v>1.2589254117941664E-2</c:v>
                </c:pt>
                <c:pt idx="11">
                  <c:v>2.7066896353574597E-2</c:v>
                </c:pt>
                <c:pt idx="12">
                  <c:v>5.8414139107249366E-2</c:v>
                </c:pt>
                <c:pt idx="13">
                  <c:v>8.5606928002003368E-2</c:v>
                </c:pt>
                <c:pt idx="14">
                  <c:v>0.13881061578564249</c:v>
                </c:pt>
                <c:pt idx="15">
                  <c:v>0.21999999999999997</c:v>
                </c:pt>
                <c:pt idx="16">
                  <c:v>0.36856830091206649</c:v>
                </c:pt>
                <c:pt idx="17">
                  <c:v>0.67999999999999994</c:v>
                </c:pt>
                <c:pt idx="18">
                  <c:v>1.5</c:v>
                </c:pt>
                <c:pt idx="19">
                  <c:v>3.2000000000000006</c:v>
                </c:pt>
                <c:pt idx="20">
                  <c:v>6.8000000000000007</c:v>
                </c:pt>
                <c:pt idx="21">
                  <c:v>18.312929845460879</c:v>
                </c:pt>
                <c:pt idx="22">
                  <c:v>31.600000000000012</c:v>
                </c:pt>
                <c:pt idx="23">
                  <c:v>59.71607558302464</c:v>
                </c:pt>
                <c:pt idx="24">
                  <c:v>127.39429457711913</c:v>
                </c:pt>
                <c:pt idx="25">
                  <c:v>270.71287597637831</c:v>
                </c:pt>
                <c:pt idx="26">
                  <c:v>556.02976430699744</c:v>
                </c:pt>
                <c:pt idx="27">
                  <c:v>1191.4923520864234</c:v>
                </c:pt>
                <c:pt idx="28">
                  <c:v>2541.8503511177009</c:v>
                </c:pt>
                <c:pt idx="29">
                  <c:v>5401.4319961251185</c:v>
                </c:pt>
                <c:pt idx="30">
                  <c:v>11914.923520864215</c:v>
                </c:pt>
                <c:pt idx="31">
                  <c:v>25418.503511177038</c:v>
                </c:pt>
                <c:pt idx="32">
                  <c:v>54014.319961251145</c:v>
                </c:pt>
                <c:pt idx="33">
                  <c:v>115971.92226974518</c:v>
                </c:pt>
                <c:pt idx="34">
                  <c:v>251007.72217287341</c:v>
                </c:pt>
                <c:pt idx="35">
                  <c:v>540143.19961251202</c:v>
                </c:pt>
                <c:pt idx="36">
                  <c:v>1500000.0000000037</c:v>
                </c:pt>
                <c:pt idx="37">
                  <c:v>4600000.0000000093</c:v>
                </c:pt>
                <c:pt idx="38">
                  <c:v>14600000.000000028</c:v>
                </c:pt>
                <c:pt idx="39">
                  <c:v>46400000.000000134</c:v>
                </c:pt>
                <c:pt idx="40">
                  <c:v>100000000</c:v>
                </c:pt>
              </c:numCache>
            </c:numRef>
          </c:xVal>
          <c:yVal>
            <c:numRef>
              <c:f>MCal_w_Abq_Solver!$C$1:$C$41</c:f>
              <c:numCache>
                <c:formatCode>General</c:formatCode>
                <c:ptCount val="41"/>
                <c:pt idx="0">
                  <c:v>9.4130400000000005</c:v>
                </c:pt>
                <c:pt idx="1">
                  <c:v>10.0867</c:v>
                </c:pt>
                <c:pt idx="2">
                  <c:v>10.804399999999999</c:v>
                </c:pt>
                <c:pt idx="3">
                  <c:v>11.4693</c:v>
                </c:pt>
                <c:pt idx="4">
                  <c:v>12.5693</c:v>
                </c:pt>
                <c:pt idx="5">
                  <c:v>13.9072</c:v>
                </c:pt>
                <c:pt idx="6">
                  <c:v>15.4125</c:v>
                </c:pt>
                <c:pt idx="7">
                  <c:v>18.218499999999999</c:v>
                </c:pt>
                <c:pt idx="8">
                  <c:v>21.338699999999999</c:v>
                </c:pt>
                <c:pt idx="9">
                  <c:v>25.634799999999998</c:v>
                </c:pt>
                <c:pt idx="10">
                  <c:v>35.245199999999997</c:v>
                </c:pt>
                <c:pt idx="11">
                  <c:v>48.7958</c:v>
                </c:pt>
                <c:pt idx="12">
                  <c:v>65.604200000000006</c:v>
                </c:pt>
                <c:pt idx="13">
                  <c:v>79.723600000000005</c:v>
                </c:pt>
                <c:pt idx="14">
                  <c:v>106.38</c:v>
                </c:pt>
                <c:pt idx="15">
                  <c:v>136.41800000000001</c:v>
                </c:pt>
                <c:pt idx="16">
                  <c:v>167.19399999999999</c:v>
                </c:pt>
                <c:pt idx="17">
                  <c:v>206.30799999999999</c:v>
                </c:pt>
                <c:pt idx="18">
                  <c:v>292.79700000000003</c:v>
                </c:pt>
                <c:pt idx="19">
                  <c:v>386.97899999999998</c:v>
                </c:pt>
                <c:pt idx="20">
                  <c:v>460.70699999999999</c:v>
                </c:pt>
                <c:pt idx="21">
                  <c:v>605.10900000000004</c:v>
                </c:pt>
                <c:pt idx="22">
                  <c:v>685.56399999999996</c:v>
                </c:pt>
                <c:pt idx="23">
                  <c:v>754.82</c:v>
                </c:pt>
                <c:pt idx="24">
                  <c:v>852.81399999999996</c:v>
                </c:pt>
                <c:pt idx="25">
                  <c:v>970.42399999999998</c:v>
                </c:pt>
                <c:pt idx="26">
                  <c:v>1053.82</c:v>
                </c:pt>
                <c:pt idx="27">
                  <c:v>1157.95</c:v>
                </c:pt>
                <c:pt idx="28">
                  <c:v>1289.8499999999999</c:v>
                </c:pt>
                <c:pt idx="29">
                  <c:v>1380.24</c:v>
                </c:pt>
                <c:pt idx="30">
                  <c:v>1468.13</c:v>
                </c:pt>
                <c:pt idx="31">
                  <c:v>1570.36</c:v>
                </c:pt>
                <c:pt idx="32">
                  <c:v>1647.05</c:v>
                </c:pt>
                <c:pt idx="33">
                  <c:v>1737.44</c:v>
                </c:pt>
                <c:pt idx="34">
                  <c:v>1855.62</c:v>
                </c:pt>
                <c:pt idx="35">
                  <c:v>1931.67</c:v>
                </c:pt>
                <c:pt idx="36">
                  <c:v>2009.44</c:v>
                </c:pt>
                <c:pt idx="37">
                  <c:v>2096.61</c:v>
                </c:pt>
                <c:pt idx="38">
                  <c:v>2229.04</c:v>
                </c:pt>
                <c:pt idx="39">
                  <c:v>2367.35</c:v>
                </c:pt>
                <c:pt idx="40">
                  <c:v>2392.52</c:v>
                </c:pt>
              </c:numCache>
            </c:numRef>
          </c:yVal>
          <c:smooth val="0"/>
        </c:ser>
        <c:ser>
          <c:idx val="5"/>
          <c:order val="5"/>
          <c:tx>
            <c:v>Gl from MCal</c:v>
          </c:tx>
          <c:spPr>
            <a:ln w="28575">
              <a:noFill/>
            </a:ln>
          </c:spPr>
          <c:marker>
            <c:symbol val="star"/>
            <c:size val="7"/>
          </c:marker>
          <c:xVal>
            <c:numRef>
              <c:f>'Prony Fit'!$F$6:$F$46</c:f>
              <c:numCache>
                <c:formatCode>0.0000E+00</c:formatCode>
                <c:ptCount val="41"/>
                <c:pt idx="0">
                  <c:v>6.3095734448019212E-6</c:v>
                </c:pt>
                <c:pt idx="1">
                  <c:v>1.3881061578564237E-5</c:v>
                </c:pt>
                <c:pt idx="2">
                  <c:v>2.9024037846088861E-5</c:v>
                </c:pt>
                <c:pt idx="3">
                  <c:v>6.3095734448019279E-5</c:v>
                </c:pt>
                <c:pt idx="4">
                  <c:v>1.3881061578564229E-4</c:v>
                </c:pt>
                <c:pt idx="5">
                  <c:v>2.9024037846088892E-4</c:v>
                </c:pt>
                <c:pt idx="6">
                  <c:v>6.3095734448019244E-4</c:v>
                </c:pt>
                <c:pt idx="7">
                  <c:v>1.3565582906324136E-3</c:v>
                </c:pt>
                <c:pt idx="8">
                  <c:v>2.5118864315095777E-3</c:v>
                </c:pt>
                <c:pt idx="9">
                  <c:v>5.400555827745593E-3</c:v>
                </c:pt>
                <c:pt idx="10">
                  <c:v>1.2589254117941664E-2</c:v>
                </c:pt>
                <c:pt idx="11">
                  <c:v>2.7066896353574597E-2</c:v>
                </c:pt>
                <c:pt idx="12">
                  <c:v>5.8414139107249366E-2</c:v>
                </c:pt>
                <c:pt idx="13">
                  <c:v>8.5606928002003368E-2</c:v>
                </c:pt>
                <c:pt idx="14">
                  <c:v>0.13881061578564249</c:v>
                </c:pt>
                <c:pt idx="15">
                  <c:v>0.21999999999999997</c:v>
                </c:pt>
                <c:pt idx="16">
                  <c:v>0.36856830091206649</c:v>
                </c:pt>
                <c:pt idx="17">
                  <c:v>0.67999999999999994</c:v>
                </c:pt>
                <c:pt idx="18">
                  <c:v>1.5</c:v>
                </c:pt>
                <c:pt idx="19">
                  <c:v>3.2000000000000006</c:v>
                </c:pt>
                <c:pt idx="20">
                  <c:v>6.8000000000000007</c:v>
                </c:pt>
                <c:pt idx="21">
                  <c:v>18.312929845460879</c:v>
                </c:pt>
                <c:pt idx="22">
                  <c:v>31.600000000000012</c:v>
                </c:pt>
                <c:pt idx="23">
                  <c:v>59.71607558302464</c:v>
                </c:pt>
                <c:pt idx="24">
                  <c:v>127.39429457711913</c:v>
                </c:pt>
                <c:pt idx="25">
                  <c:v>270.71287597637831</c:v>
                </c:pt>
                <c:pt idx="26">
                  <c:v>556.02976430699744</c:v>
                </c:pt>
                <c:pt idx="27">
                  <c:v>1191.4923520864234</c:v>
                </c:pt>
                <c:pt idx="28">
                  <c:v>2541.8503511177009</c:v>
                </c:pt>
                <c:pt idx="29">
                  <c:v>5401.4319961251185</c:v>
                </c:pt>
                <c:pt idx="30">
                  <c:v>11914.923520864215</c:v>
                </c:pt>
                <c:pt idx="31">
                  <c:v>25418.503511177038</c:v>
                </c:pt>
                <c:pt idx="32">
                  <c:v>54014.319961251145</c:v>
                </c:pt>
                <c:pt idx="33">
                  <c:v>115971.92226974518</c:v>
                </c:pt>
                <c:pt idx="34">
                  <c:v>251007.72217287341</c:v>
                </c:pt>
                <c:pt idx="35">
                  <c:v>540143.19961251202</c:v>
                </c:pt>
                <c:pt idx="36">
                  <c:v>1500000.0000000037</c:v>
                </c:pt>
                <c:pt idx="37">
                  <c:v>4600000.0000000093</c:v>
                </c:pt>
                <c:pt idx="38">
                  <c:v>14600000.000000028</c:v>
                </c:pt>
                <c:pt idx="39">
                  <c:v>46400000.000000134</c:v>
                </c:pt>
                <c:pt idx="40">
                  <c:v>100000000</c:v>
                </c:pt>
              </c:numCache>
            </c:numRef>
          </c:xVal>
          <c:yVal>
            <c:numRef>
              <c:f>MCal_w_Abq_Solver!$E$1:$E$41</c:f>
              <c:numCache>
                <c:formatCode>General</c:formatCode>
                <c:ptCount val="41"/>
                <c:pt idx="0">
                  <c:v>1.4093199999999999</c:v>
                </c:pt>
                <c:pt idx="1">
                  <c:v>1.58257</c:v>
                </c:pt>
                <c:pt idx="2">
                  <c:v>1.71827</c:v>
                </c:pt>
                <c:pt idx="3">
                  <c:v>2.1286800000000001</c:v>
                </c:pt>
                <c:pt idx="4">
                  <c:v>2.9879799999999999</c:v>
                </c:pt>
                <c:pt idx="5">
                  <c:v>3.8399800000000002</c:v>
                </c:pt>
                <c:pt idx="6">
                  <c:v>5.5813199999999998</c:v>
                </c:pt>
                <c:pt idx="7">
                  <c:v>8.5049899999999994</c:v>
                </c:pt>
                <c:pt idx="8">
                  <c:v>11.1274</c:v>
                </c:pt>
                <c:pt idx="9">
                  <c:v>16.627700000000001</c:v>
                </c:pt>
                <c:pt idx="10">
                  <c:v>27.418600000000001</c:v>
                </c:pt>
                <c:pt idx="11">
                  <c:v>38.372999999999998</c:v>
                </c:pt>
                <c:pt idx="12">
                  <c:v>57.171799999999998</c:v>
                </c:pt>
                <c:pt idx="13">
                  <c:v>70.985600000000005</c:v>
                </c:pt>
                <c:pt idx="14">
                  <c:v>87.804100000000005</c:v>
                </c:pt>
                <c:pt idx="15">
                  <c:v>98.305199999999999</c:v>
                </c:pt>
                <c:pt idx="16">
                  <c:v>108.532</c:v>
                </c:pt>
                <c:pt idx="17">
                  <c:v>133.18199999999999</c:v>
                </c:pt>
                <c:pt idx="18">
                  <c:v>171.20599999999999</c:v>
                </c:pt>
                <c:pt idx="19">
                  <c:v>174.19900000000001</c:v>
                </c:pt>
                <c:pt idx="20">
                  <c:v>186.45699999999999</c:v>
                </c:pt>
                <c:pt idx="21">
                  <c:v>216.65100000000001</c:v>
                </c:pt>
                <c:pt idx="22">
                  <c:v>204.47399999999999</c:v>
                </c:pt>
                <c:pt idx="23">
                  <c:v>198.208</c:v>
                </c:pt>
                <c:pt idx="24">
                  <c:v>218.51400000000001</c:v>
                </c:pt>
                <c:pt idx="25">
                  <c:v>213.45099999999999</c:v>
                </c:pt>
                <c:pt idx="26">
                  <c:v>206.143</c:v>
                </c:pt>
                <c:pt idx="27">
                  <c:v>229.6</c:v>
                </c:pt>
                <c:pt idx="28">
                  <c:v>220.05799999999999</c:v>
                </c:pt>
                <c:pt idx="29">
                  <c:v>191.42500000000001</c:v>
                </c:pt>
                <c:pt idx="30">
                  <c:v>195.905</c:v>
                </c:pt>
                <c:pt idx="31">
                  <c:v>188.88300000000001</c:v>
                </c:pt>
                <c:pt idx="32">
                  <c:v>179.20699999999999</c:v>
                </c:pt>
                <c:pt idx="33">
                  <c:v>197.57599999999999</c:v>
                </c:pt>
                <c:pt idx="34">
                  <c:v>184.42500000000001</c:v>
                </c:pt>
                <c:pt idx="35">
                  <c:v>147.21</c:v>
                </c:pt>
                <c:pt idx="36">
                  <c:v>138.41399999999999</c:v>
                </c:pt>
                <c:pt idx="37">
                  <c:v>140.65899999999999</c:v>
                </c:pt>
                <c:pt idx="38">
                  <c:v>174.96100000000001</c:v>
                </c:pt>
                <c:pt idx="39">
                  <c:v>102.181</c:v>
                </c:pt>
                <c:pt idx="40">
                  <c:v>51.342300000000002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720576"/>
        <c:axId val="141722752"/>
      </c:scatterChart>
      <c:valAx>
        <c:axId val="141720576"/>
        <c:scaling>
          <c:logBase val="10"/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Frequency, Hz.</a:t>
                </a:r>
              </a:p>
            </c:rich>
          </c:tx>
          <c:layout/>
          <c:overlay val="0"/>
        </c:title>
        <c:numFmt formatCode="0.E+0" sourceLinked="0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141722752"/>
        <c:crossesAt val="1.0000000000000002E-2"/>
        <c:crossBetween val="midCat"/>
      </c:valAx>
      <c:valAx>
        <c:axId val="14172275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en-US" sz="1400"/>
                  <a:t>Shear &amp; Loss Modulus (MPa)</a:t>
                </a:r>
              </a:p>
            </c:rich>
          </c:tx>
          <c:layout>
            <c:manualLayout>
              <c:xMode val="edge"/>
              <c:yMode val="edge"/>
              <c:x val="1.2431765428514192E-2"/>
              <c:y val="0.24896176637714101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141720576"/>
        <c:crossesAt val="1.0000000000000003E-4"/>
        <c:crossBetween val="midCat"/>
      </c:valAx>
    </c:plotArea>
    <c:legend>
      <c:legendPos val="r"/>
      <c:layout>
        <c:manualLayout>
          <c:xMode val="edge"/>
          <c:yMode val="edge"/>
          <c:x val="0.49673212365483421"/>
          <c:y val="0.47958438184917607"/>
          <c:w val="0.21400901705620418"/>
          <c:h val="0.33820277619936684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</c:spPr>
      <c:txPr>
        <a:bodyPr/>
        <a:lstStyle/>
        <a:p>
          <a:pPr>
            <a:defRPr sz="12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aseline="0"/>
              <a:t>Storage Modulus</a:t>
            </a:r>
            <a:endParaRPr lang="en-US"/>
          </a:p>
        </c:rich>
      </c:tx>
      <c:layout>
        <c:manualLayout>
          <c:xMode val="edge"/>
          <c:yMode val="edge"/>
          <c:x val="0.4062338133147721"/>
          <c:y val="9.0857841487762742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2729905308797726"/>
          <c:y val="3.9090686706491608E-2"/>
          <c:w val="0.75569307289627474"/>
          <c:h val="0.80291366845818068"/>
        </c:manualLayout>
      </c:layout>
      <c:scatterChart>
        <c:scatterStyle val="lineMarker"/>
        <c:varyColors val="0"/>
        <c:ser>
          <c:idx val="0"/>
          <c:order val="0"/>
          <c:tx>
            <c:v>60 C</c:v>
          </c:tx>
          <c:spPr>
            <a:ln w="28575">
              <a:noFill/>
            </a:ln>
          </c:spPr>
          <c:marker>
            <c:symbol val="diamond"/>
            <c:size val="4"/>
          </c:marker>
          <c:xVal>
            <c:numRef>
              <c:f>'Raw Test Data'!$H$8:$H$26</c:f>
              <c:numCache>
                <c:formatCode>0.00</c:formatCode>
                <c:ptCount val="19"/>
                <c:pt idx="0">
                  <c:v>0.1</c:v>
                </c:pt>
                <c:pt idx="1">
                  <c:v>0.15</c:v>
                </c:pt>
                <c:pt idx="2">
                  <c:v>0.22</c:v>
                </c:pt>
                <c:pt idx="3">
                  <c:v>0.32</c:v>
                </c:pt>
                <c:pt idx="4">
                  <c:v>0.46</c:v>
                </c:pt>
                <c:pt idx="5">
                  <c:v>0.68</c:v>
                </c:pt>
                <c:pt idx="6">
                  <c:v>1</c:v>
                </c:pt>
                <c:pt idx="7">
                  <c:v>1.5</c:v>
                </c:pt>
                <c:pt idx="8">
                  <c:v>2.2000000000000002</c:v>
                </c:pt>
                <c:pt idx="9">
                  <c:v>3.2</c:v>
                </c:pt>
                <c:pt idx="10">
                  <c:v>4.5999999999999996</c:v>
                </c:pt>
                <c:pt idx="11">
                  <c:v>6.8</c:v>
                </c:pt>
                <c:pt idx="12">
                  <c:v>10</c:v>
                </c:pt>
                <c:pt idx="13">
                  <c:v>14.6</c:v>
                </c:pt>
                <c:pt idx="14">
                  <c:v>21.5</c:v>
                </c:pt>
                <c:pt idx="15">
                  <c:v>31.6</c:v>
                </c:pt>
                <c:pt idx="16">
                  <c:v>46.4</c:v>
                </c:pt>
                <c:pt idx="17">
                  <c:v>68</c:v>
                </c:pt>
                <c:pt idx="18">
                  <c:v>100</c:v>
                </c:pt>
              </c:numCache>
            </c:numRef>
          </c:xVal>
          <c:yVal>
            <c:numRef>
              <c:f>'Raw Test Data'!$D$8:$D$26</c:f>
              <c:numCache>
                <c:formatCode>0.0000</c:formatCode>
                <c:ptCount val="19"/>
                <c:pt idx="0">
                  <c:v>1625.829</c:v>
                </c:pt>
                <c:pt idx="1">
                  <c:v>1666.5039999999999</c:v>
                </c:pt>
                <c:pt idx="2">
                  <c:v>1706.336</c:v>
                </c:pt>
                <c:pt idx="3">
                  <c:v>1742.52</c:v>
                </c:pt>
                <c:pt idx="4">
                  <c:v>1776.425</c:v>
                </c:pt>
                <c:pt idx="5">
                  <c:v>1812.4</c:v>
                </c:pt>
                <c:pt idx="6">
                  <c:v>1845.133</c:v>
                </c:pt>
                <c:pt idx="7">
                  <c:v>1877.809</c:v>
                </c:pt>
                <c:pt idx="8">
                  <c:v>1908.6690000000001</c:v>
                </c:pt>
                <c:pt idx="9">
                  <c:v>1938.134</c:v>
                </c:pt>
                <c:pt idx="10">
                  <c:v>1966.98</c:v>
                </c:pt>
                <c:pt idx="11">
                  <c:v>1997.537</c:v>
                </c:pt>
                <c:pt idx="12">
                  <c:v>2027.748</c:v>
                </c:pt>
                <c:pt idx="13">
                  <c:v>2056.576</c:v>
                </c:pt>
                <c:pt idx="14">
                  <c:v>2086.8580000000002</c:v>
                </c:pt>
                <c:pt idx="15">
                  <c:v>2117.4920000000002</c:v>
                </c:pt>
                <c:pt idx="16">
                  <c:v>2145.627</c:v>
                </c:pt>
                <c:pt idx="17">
                  <c:v>2173.4160000000002</c:v>
                </c:pt>
                <c:pt idx="18">
                  <c:v>2180.3760000000002</c:v>
                </c:pt>
              </c:numCache>
            </c:numRef>
          </c:yVal>
          <c:smooth val="0"/>
        </c:ser>
        <c:ser>
          <c:idx val="1"/>
          <c:order val="1"/>
          <c:tx>
            <c:v>65 C</c:v>
          </c:tx>
          <c:spPr>
            <a:ln w="28575">
              <a:noFill/>
            </a:ln>
          </c:spPr>
          <c:marker>
            <c:symbol val="square"/>
            <c:size val="4"/>
          </c:marker>
          <c:xVal>
            <c:numRef>
              <c:f>'Raw Test Data'!$H$33:$H$51</c:f>
              <c:numCache>
                <c:formatCode>0.00</c:formatCode>
                <c:ptCount val="19"/>
                <c:pt idx="0">
                  <c:v>0.1</c:v>
                </c:pt>
                <c:pt idx="1">
                  <c:v>0.15</c:v>
                </c:pt>
                <c:pt idx="2">
                  <c:v>0.22</c:v>
                </c:pt>
                <c:pt idx="3">
                  <c:v>0.32</c:v>
                </c:pt>
                <c:pt idx="4">
                  <c:v>0.46</c:v>
                </c:pt>
                <c:pt idx="5">
                  <c:v>0.68</c:v>
                </c:pt>
                <c:pt idx="6">
                  <c:v>1</c:v>
                </c:pt>
                <c:pt idx="7">
                  <c:v>1.5</c:v>
                </c:pt>
                <c:pt idx="8">
                  <c:v>2.2000000000000002</c:v>
                </c:pt>
                <c:pt idx="9">
                  <c:v>3.2</c:v>
                </c:pt>
                <c:pt idx="10">
                  <c:v>4.5999999999999996</c:v>
                </c:pt>
                <c:pt idx="11">
                  <c:v>6.8</c:v>
                </c:pt>
                <c:pt idx="12">
                  <c:v>10</c:v>
                </c:pt>
                <c:pt idx="13">
                  <c:v>14.6</c:v>
                </c:pt>
                <c:pt idx="14">
                  <c:v>21.5</c:v>
                </c:pt>
                <c:pt idx="15">
                  <c:v>31.6</c:v>
                </c:pt>
                <c:pt idx="16">
                  <c:v>46.4</c:v>
                </c:pt>
                <c:pt idx="17">
                  <c:v>68</c:v>
                </c:pt>
                <c:pt idx="18">
                  <c:v>100</c:v>
                </c:pt>
              </c:numCache>
            </c:numRef>
          </c:xVal>
          <c:yVal>
            <c:numRef>
              <c:f>'Raw Test Data'!$D$33:$D$51</c:f>
              <c:numCache>
                <c:formatCode>0.0000</c:formatCode>
                <c:ptCount val="19"/>
                <c:pt idx="0">
                  <c:v>1054.4970000000001</c:v>
                </c:pt>
                <c:pt idx="1">
                  <c:v>1110.02</c:v>
                </c:pt>
                <c:pt idx="2">
                  <c:v>1160.9829999999999</c:v>
                </c:pt>
                <c:pt idx="3">
                  <c:v>1210.2940000000001</c:v>
                </c:pt>
                <c:pt idx="4">
                  <c:v>1256.43</c:v>
                </c:pt>
                <c:pt idx="5">
                  <c:v>1304.481</c:v>
                </c:pt>
                <c:pt idx="6">
                  <c:v>1348.5419999999999</c:v>
                </c:pt>
                <c:pt idx="7">
                  <c:v>1395.328</c:v>
                </c:pt>
                <c:pt idx="8">
                  <c:v>1438.5450000000001</c:v>
                </c:pt>
                <c:pt idx="9">
                  <c:v>1480.018</c:v>
                </c:pt>
                <c:pt idx="10">
                  <c:v>1520.3389999999999</c:v>
                </c:pt>
                <c:pt idx="11">
                  <c:v>1562.296</c:v>
                </c:pt>
                <c:pt idx="12">
                  <c:v>1603.7</c:v>
                </c:pt>
                <c:pt idx="13">
                  <c:v>1643.249</c:v>
                </c:pt>
                <c:pt idx="14">
                  <c:v>1684.2809999999999</c:v>
                </c:pt>
                <c:pt idx="15">
                  <c:v>1724.9110000000001</c:v>
                </c:pt>
                <c:pt idx="16">
                  <c:v>1761.61</c:v>
                </c:pt>
                <c:pt idx="17">
                  <c:v>1801.5840000000001</c:v>
                </c:pt>
                <c:pt idx="18">
                  <c:v>1822.0229999999999</c:v>
                </c:pt>
              </c:numCache>
            </c:numRef>
          </c:yVal>
          <c:smooth val="0"/>
        </c:ser>
        <c:ser>
          <c:idx val="2"/>
          <c:order val="2"/>
          <c:tx>
            <c:v>70 C</c:v>
          </c:tx>
          <c:spPr>
            <a:ln w="28575">
              <a:noFill/>
            </a:ln>
          </c:spPr>
          <c:marker>
            <c:symbol val="diamond"/>
            <c:size val="4"/>
          </c:marker>
          <c:xVal>
            <c:numRef>
              <c:f>'Raw Test Data'!$H$53:$H$71</c:f>
              <c:numCache>
                <c:formatCode>0.00</c:formatCode>
                <c:ptCount val="19"/>
                <c:pt idx="0">
                  <c:v>0.1</c:v>
                </c:pt>
                <c:pt idx="1">
                  <c:v>0.15</c:v>
                </c:pt>
                <c:pt idx="2">
                  <c:v>0.22</c:v>
                </c:pt>
                <c:pt idx="3">
                  <c:v>0.32</c:v>
                </c:pt>
                <c:pt idx="4">
                  <c:v>0.46</c:v>
                </c:pt>
                <c:pt idx="5">
                  <c:v>0.68</c:v>
                </c:pt>
                <c:pt idx="6">
                  <c:v>1</c:v>
                </c:pt>
                <c:pt idx="7">
                  <c:v>1.5</c:v>
                </c:pt>
                <c:pt idx="8">
                  <c:v>2.2000000000000002</c:v>
                </c:pt>
                <c:pt idx="9">
                  <c:v>3.2</c:v>
                </c:pt>
                <c:pt idx="10">
                  <c:v>4.5999999999999996</c:v>
                </c:pt>
                <c:pt idx="11">
                  <c:v>6.8</c:v>
                </c:pt>
                <c:pt idx="12">
                  <c:v>10</c:v>
                </c:pt>
                <c:pt idx="13">
                  <c:v>14.6</c:v>
                </c:pt>
                <c:pt idx="14">
                  <c:v>21.5</c:v>
                </c:pt>
                <c:pt idx="15">
                  <c:v>31.6</c:v>
                </c:pt>
                <c:pt idx="16">
                  <c:v>46.4</c:v>
                </c:pt>
                <c:pt idx="17">
                  <c:v>68</c:v>
                </c:pt>
                <c:pt idx="18">
                  <c:v>100</c:v>
                </c:pt>
              </c:numCache>
            </c:numRef>
          </c:xVal>
          <c:yVal>
            <c:numRef>
              <c:f>'Raw Test Data'!$D$53:$D$71</c:f>
              <c:numCache>
                <c:formatCode>0.0000</c:formatCode>
                <c:ptCount val="19"/>
                <c:pt idx="0">
                  <c:v>493.78960000000001</c:v>
                </c:pt>
                <c:pt idx="1">
                  <c:v>473.6807</c:v>
                </c:pt>
                <c:pt idx="2">
                  <c:v>489.50259999999997</c:v>
                </c:pt>
                <c:pt idx="3">
                  <c:v>534.02890000000002</c:v>
                </c:pt>
                <c:pt idx="4">
                  <c:v>577.97180000000003</c:v>
                </c:pt>
                <c:pt idx="5">
                  <c:v>625.17610000000002</c:v>
                </c:pt>
                <c:pt idx="6">
                  <c:v>673.65089999999998</c:v>
                </c:pt>
                <c:pt idx="7">
                  <c:v>723.61030000000005</c:v>
                </c:pt>
                <c:pt idx="8">
                  <c:v>768.02189999999996</c:v>
                </c:pt>
                <c:pt idx="9">
                  <c:v>811.76710000000003</c:v>
                </c:pt>
                <c:pt idx="10">
                  <c:v>854.01580000000001</c:v>
                </c:pt>
                <c:pt idx="11">
                  <c:v>898.55489999999998</c:v>
                </c:pt>
                <c:pt idx="12">
                  <c:v>944.40710000000001</c:v>
                </c:pt>
                <c:pt idx="13">
                  <c:v>985.64469999999994</c:v>
                </c:pt>
                <c:pt idx="14">
                  <c:v>1029.2239999999999</c:v>
                </c:pt>
                <c:pt idx="15">
                  <c:v>1069.7850000000001</c:v>
                </c:pt>
                <c:pt idx="16">
                  <c:v>1106.345</c:v>
                </c:pt>
                <c:pt idx="17">
                  <c:v>1149.43</c:v>
                </c:pt>
                <c:pt idx="18">
                  <c:v>1178.6010000000001</c:v>
                </c:pt>
              </c:numCache>
            </c:numRef>
          </c:yVal>
          <c:smooth val="0"/>
        </c:ser>
        <c:ser>
          <c:idx val="3"/>
          <c:order val="3"/>
          <c:tx>
            <c:v>75 C</c:v>
          </c:tx>
          <c:spPr>
            <a:ln w="28575">
              <a:noFill/>
            </a:ln>
          </c:spPr>
          <c:marker>
            <c:symbol val="diamond"/>
            <c:size val="4"/>
          </c:marker>
          <c:xVal>
            <c:numRef>
              <c:f>'Raw Test Data'!$H$72:$H$90</c:f>
              <c:numCache>
                <c:formatCode>0.00</c:formatCode>
                <c:ptCount val="19"/>
                <c:pt idx="0">
                  <c:v>0.1</c:v>
                </c:pt>
                <c:pt idx="1">
                  <c:v>0.15</c:v>
                </c:pt>
                <c:pt idx="2">
                  <c:v>0.22</c:v>
                </c:pt>
                <c:pt idx="3">
                  <c:v>0.32</c:v>
                </c:pt>
                <c:pt idx="4">
                  <c:v>0.46</c:v>
                </c:pt>
                <c:pt idx="5">
                  <c:v>0.68</c:v>
                </c:pt>
                <c:pt idx="6">
                  <c:v>1</c:v>
                </c:pt>
                <c:pt idx="7">
                  <c:v>1.5</c:v>
                </c:pt>
                <c:pt idx="8">
                  <c:v>2.2000000000000002</c:v>
                </c:pt>
                <c:pt idx="9">
                  <c:v>3.2</c:v>
                </c:pt>
                <c:pt idx="10">
                  <c:v>4.5999999999999996</c:v>
                </c:pt>
                <c:pt idx="11">
                  <c:v>6.8</c:v>
                </c:pt>
                <c:pt idx="12">
                  <c:v>10</c:v>
                </c:pt>
                <c:pt idx="13">
                  <c:v>14.6</c:v>
                </c:pt>
                <c:pt idx="14">
                  <c:v>21.5</c:v>
                </c:pt>
                <c:pt idx="15">
                  <c:v>31.6</c:v>
                </c:pt>
                <c:pt idx="16">
                  <c:v>46.4</c:v>
                </c:pt>
                <c:pt idx="17">
                  <c:v>68</c:v>
                </c:pt>
                <c:pt idx="18">
                  <c:v>100</c:v>
                </c:pt>
              </c:numCache>
            </c:numRef>
          </c:xVal>
          <c:yVal>
            <c:numRef>
              <c:f>'Raw Test Data'!$D$72:$D$90</c:f>
              <c:numCache>
                <c:formatCode>0.0000</c:formatCode>
                <c:ptCount val="19"/>
                <c:pt idx="0">
                  <c:v>93.074820000000003</c:v>
                </c:pt>
                <c:pt idx="1">
                  <c:v>109.4228</c:v>
                </c:pt>
                <c:pt idx="2">
                  <c:v>128.88489999999999</c:v>
                </c:pt>
                <c:pt idx="3">
                  <c:v>154.1653</c:v>
                </c:pt>
                <c:pt idx="4">
                  <c:v>182.3681</c:v>
                </c:pt>
                <c:pt idx="5">
                  <c:v>215.51169999999999</c:v>
                </c:pt>
                <c:pt idx="6">
                  <c:v>249.88120000000001</c:v>
                </c:pt>
                <c:pt idx="7">
                  <c:v>288.8802</c:v>
                </c:pt>
                <c:pt idx="8">
                  <c:v>328.45100000000002</c:v>
                </c:pt>
                <c:pt idx="9">
                  <c:v>369.19830000000002</c:v>
                </c:pt>
                <c:pt idx="10">
                  <c:v>410.37830000000002</c:v>
                </c:pt>
                <c:pt idx="11">
                  <c:v>456.12299999999999</c:v>
                </c:pt>
                <c:pt idx="12">
                  <c:v>502.37459999999999</c:v>
                </c:pt>
                <c:pt idx="13">
                  <c:v>548.73760000000004</c:v>
                </c:pt>
                <c:pt idx="14">
                  <c:v>596.5068</c:v>
                </c:pt>
                <c:pt idx="15">
                  <c:v>643.90800000000002</c:v>
                </c:pt>
                <c:pt idx="16">
                  <c:v>687.67489999999998</c:v>
                </c:pt>
                <c:pt idx="17">
                  <c:v>732.81979999999999</c:v>
                </c:pt>
                <c:pt idx="18">
                  <c:v>768.28710000000001</c:v>
                </c:pt>
              </c:numCache>
            </c:numRef>
          </c:yVal>
          <c:smooth val="0"/>
        </c:ser>
        <c:ser>
          <c:idx val="4"/>
          <c:order val="4"/>
          <c:tx>
            <c:v>80 C</c:v>
          </c:tx>
          <c:spPr>
            <a:ln w="28575">
              <a:noFill/>
            </a:ln>
          </c:spPr>
          <c:marker>
            <c:symbol val="square"/>
            <c:size val="4"/>
          </c:marker>
          <c:xVal>
            <c:numRef>
              <c:f>'Raw Test Data'!$H$91:$H$109</c:f>
              <c:numCache>
                <c:formatCode>0.00</c:formatCode>
                <c:ptCount val="19"/>
                <c:pt idx="0">
                  <c:v>0.1</c:v>
                </c:pt>
                <c:pt idx="1">
                  <c:v>0.15</c:v>
                </c:pt>
                <c:pt idx="2">
                  <c:v>0.22</c:v>
                </c:pt>
                <c:pt idx="3">
                  <c:v>0.32</c:v>
                </c:pt>
                <c:pt idx="4">
                  <c:v>0.46</c:v>
                </c:pt>
                <c:pt idx="5">
                  <c:v>0.68</c:v>
                </c:pt>
                <c:pt idx="6">
                  <c:v>1</c:v>
                </c:pt>
                <c:pt idx="7">
                  <c:v>1.5</c:v>
                </c:pt>
                <c:pt idx="8">
                  <c:v>2.2000000000000002</c:v>
                </c:pt>
                <c:pt idx="9">
                  <c:v>3.2</c:v>
                </c:pt>
                <c:pt idx="10">
                  <c:v>4.5999999999999996</c:v>
                </c:pt>
                <c:pt idx="11">
                  <c:v>6.8</c:v>
                </c:pt>
                <c:pt idx="12">
                  <c:v>10</c:v>
                </c:pt>
                <c:pt idx="13">
                  <c:v>14.6</c:v>
                </c:pt>
                <c:pt idx="14">
                  <c:v>21.5</c:v>
                </c:pt>
                <c:pt idx="15">
                  <c:v>31.6</c:v>
                </c:pt>
                <c:pt idx="16">
                  <c:v>46.4</c:v>
                </c:pt>
                <c:pt idx="17">
                  <c:v>68</c:v>
                </c:pt>
                <c:pt idx="18">
                  <c:v>100</c:v>
                </c:pt>
              </c:numCache>
            </c:numRef>
          </c:xVal>
          <c:yVal>
            <c:numRef>
              <c:f>'Raw Test Data'!$D$91:$D$109</c:f>
              <c:numCache>
                <c:formatCode>0.0000</c:formatCode>
                <c:ptCount val="19"/>
                <c:pt idx="0">
                  <c:v>26.106940000000002</c:v>
                </c:pt>
                <c:pt idx="1">
                  <c:v>29.332159999999998</c:v>
                </c:pt>
                <c:pt idx="2">
                  <c:v>34.350360000000002</c:v>
                </c:pt>
                <c:pt idx="3">
                  <c:v>41.194580000000002</c:v>
                </c:pt>
                <c:pt idx="4">
                  <c:v>49.47898</c:v>
                </c:pt>
                <c:pt idx="5">
                  <c:v>60.372979999999998</c:v>
                </c:pt>
                <c:pt idx="6">
                  <c:v>72.675399999999996</c:v>
                </c:pt>
                <c:pt idx="7">
                  <c:v>88.307119999999998</c:v>
                </c:pt>
                <c:pt idx="8">
                  <c:v>106.28270000000001</c:v>
                </c:pt>
                <c:pt idx="9">
                  <c:v>126.8644</c:v>
                </c:pt>
                <c:pt idx="10">
                  <c:v>149.83449999999999</c:v>
                </c:pt>
                <c:pt idx="11">
                  <c:v>178.0198</c:v>
                </c:pt>
                <c:pt idx="12">
                  <c:v>209.11369999999999</c:v>
                </c:pt>
                <c:pt idx="13">
                  <c:v>242.95</c:v>
                </c:pt>
                <c:pt idx="14">
                  <c:v>280.86399999999998</c:v>
                </c:pt>
                <c:pt idx="15">
                  <c:v>322.17790000000002</c:v>
                </c:pt>
                <c:pt idx="16">
                  <c:v>362.35820000000001</c:v>
                </c:pt>
                <c:pt idx="17">
                  <c:v>408.33089999999999</c:v>
                </c:pt>
                <c:pt idx="18">
                  <c:v>450.32170000000002</c:v>
                </c:pt>
              </c:numCache>
            </c:numRef>
          </c:yVal>
          <c:smooth val="0"/>
        </c:ser>
        <c:ser>
          <c:idx val="5"/>
          <c:order val="5"/>
          <c:tx>
            <c:v>85 C</c:v>
          </c:tx>
          <c:spPr>
            <a:ln w="28575">
              <a:noFill/>
            </a:ln>
          </c:spPr>
          <c:marker>
            <c:symbol val="circle"/>
            <c:size val="4"/>
          </c:marker>
          <c:xVal>
            <c:numRef>
              <c:f>'Raw Test Data'!$H$110:$H$128</c:f>
              <c:numCache>
                <c:formatCode>0.00</c:formatCode>
                <c:ptCount val="19"/>
                <c:pt idx="0">
                  <c:v>0.1</c:v>
                </c:pt>
                <c:pt idx="1">
                  <c:v>0.15</c:v>
                </c:pt>
                <c:pt idx="2">
                  <c:v>0.22</c:v>
                </c:pt>
                <c:pt idx="3">
                  <c:v>0.32</c:v>
                </c:pt>
                <c:pt idx="4">
                  <c:v>0.46</c:v>
                </c:pt>
                <c:pt idx="5">
                  <c:v>0.68</c:v>
                </c:pt>
                <c:pt idx="6">
                  <c:v>1</c:v>
                </c:pt>
                <c:pt idx="7">
                  <c:v>1.5</c:v>
                </c:pt>
                <c:pt idx="8">
                  <c:v>2.2000000000000002</c:v>
                </c:pt>
                <c:pt idx="9">
                  <c:v>3.2</c:v>
                </c:pt>
                <c:pt idx="10">
                  <c:v>4.5999999999999996</c:v>
                </c:pt>
                <c:pt idx="11">
                  <c:v>6.8</c:v>
                </c:pt>
                <c:pt idx="12">
                  <c:v>10</c:v>
                </c:pt>
                <c:pt idx="13">
                  <c:v>14.6</c:v>
                </c:pt>
                <c:pt idx="14">
                  <c:v>21.5</c:v>
                </c:pt>
                <c:pt idx="15">
                  <c:v>31.6</c:v>
                </c:pt>
                <c:pt idx="16">
                  <c:v>46.4</c:v>
                </c:pt>
                <c:pt idx="17">
                  <c:v>68</c:v>
                </c:pt>
                <c:pt idx="18">
                  <c:v>100</c:v>
                </c:pt>
              </c:numCache>
            </c:numRef>
          </c:xVal>
          <c:yVal>
            <c:numRef>
              <c:f>'Raw Test Data'!$D$110:$D$128</c:f>
              <c:numCache>
                <c:formatCode>0.0000</c:formatCode>
                <c:ptCount val="19"/>
                <c:pt idx="0">
                  <c:v>15.760260000000001</c:v>
                </c:pt>
                <c:pt idx="1">
                  <c:v>16.85425</c:v>
                </c:pt>
                <c:pt idx="2">
                  <c:v>18.297920000000001</c:v>
                </c:pt>
                <c:pt idx="3">
                  <c:v>20.205469999999998</c:v>
                </c:pt>
                <c:pt idx="4">
                  <c:v>22.499320000000001</c:v>
                </c:pt>
                <c:pt idx="5">
                  <c:v>25.484500000000001</c:v>
                </c:pt>
                <c:pt idx="6">
                  <c:v>28.851299999999998</c:v>
                </c:pt>
                <c:pt idx="7">
                  <c:v>33.267859999999999</c:v>
                </c:pt>
                <c:pt idx="8">
                  <c:v>38.645040000000002</c:v>
                </c:pt>
                <c:pt idx="9">
                  <c:v>45.243940000000002</c:v>
                </c:pt>
                <c:pt idx="10">
                  <c:v>53.181100000000001</c:v>
                </c:pt>
                <c:pt idx="11">
                  <c:v>71.378810000000001</c:v>
                </c:pt>
                <c:pt idx="12">
                  <c:v>83.854939999999999</c:v>
                </c:pt>
                <c:pt idx="13">
                  <c:v>97.681889999999996</c:v>
                </c:pt>
                <c:pt idx="14">
                  <c:v>116.0951</c:v>
                </c:pt>
                <c:pt idx="15">
                  <c:v>137.6859</c:v>
                </c:pt>
                <c:pt idx="16">
                  <c:v>159.84639999999999</c:v>
                </c:pt>
                <c:pt idx="17">
                  <c:v>192.13980000000001</c:v>
                </c:pt>
                <c:pt idx="18">
                  <c:v>219.71180000000001</c:v>
                </c:pt>
              </c:numCache>
            </c:numRef>
          </c:yVal>
          <c:smooth val="0"/>
        </c:ser>
        <c:ser>
          <c:idx val="6"/>
          <c:order val="6"/>
          <c:tx>
            <c:v>90 C</c:v>
          </c:tx>
          <c:spPr>
            <a:ln w="28575">
              <a:noFill/>
            </a:ln>
          </c:spPr>
          <c:marker>
            <c:symbol val="diamond"/>
            <c:size val="4"/>
          </c:marker>
          <c:xVal>
            <c:numRef>
              <c:f>'Raw Test Data'!$H$129:$H$147</c:f>
              <c:numCache>
                <c:formatCode>0.00</c:formatCode>
                <c:ptCount val="19"/>
                <c:pt idx="0">
                  <c:v>0.1</c:v>
                </c:pt>
                <c:pt idx="1">
                  <c:v>0.15</c:v>
                </c:pt>
                <c:pt idx="2">
                  <c:v>0.22</c:v>
                </c:pt>
                <c:pt idx="3">
                  <c:v>0.32</c:v>
                </c:pt>
                <c:pt idx="4">
                  <c:v>0.46</c:v>
                </c:pt>
                <c:pt idx="5">
                  <c:v>0.68</c:v>
                </c:pt>
                <c:pt idx="6">
                  <c:v>1</c:v>
                </c:pt>
                <c:pt idx="7">
                  <c:v>1.5</c:v>
                </c:pt>
                <c:pt idx="8">
                  <c:v>2.2000000000000002</c:v>
                </c:pt>
                <c:pt idx="9">
                  <c:v>3.2</c:v>
                </c:pt>
                <c:pt idx="10">
                  <c:v>4.5999999999999996</c:v>
                </c:pt>
                <c:pt idx="11">
                  <c:v>6.8</c:v>
                </c:pt>
                <c:pt idx="12">
                  <c:v>10</c:v>
                </c:pt>
                <c:pt idx="13">
                  <c:v>14.6</c:v>
                </c:pt>
                <c:pt idx="14">
                  <c:v>21.5</c:v>
                </c:pt>
                <c:pt idx="15">
                  <c:v>31.6</c:v>
                </c:pt>
                <c:pt idx="16">
                  <c:v>46.4</c:v>
                </c:pt>
                <c:pt idx="17">
                  <c:v>68</c:v>
                </c:pt>
                <c:pt idx="18">
                  <c:v>100</c:v>
                </c:pt>
              </c:numCache>
            </c:numRef>
          </c:xVal>
          <c:yVal>
            <c:numRef>
              <c:f>'Raw Test Data'!$D$129:$D$147</c:f>
              <c:numCache>
                <c:formatCode>0.0000</c:formatCode>
                <c:ptCount val="19"/>
                <c:pt idx="0">
                  <c:v>12.72977</c:v>
                </c:pt>
                <c:pt idx="1">
                  <c:v>13.23512</c:v>
                </c:pt>
                <c:pt idx="2">
                  <c:v>13.8683</c:v>
                </c:pt>
                <c:pt idx="3">
                  <c:v>14.694319999999999</c:v>
                </c:pt>
                <c:pt idx="4">
                  <c:v>15.627800000000001</c:v>
                </c:pt>
                <c:pt idx="5">
                  <c:v>16.794060000000002</c:v>
                </c:pt>
                <c:pt idx="6">
                  <c:v>18.04196</c:v>
                </c:pt>
                <c:pt idx="7">
                  <c:v>19.574839999999998</c:v>
                </c:pt>
                <c:pt idx="8">
                  <c:v>21.40222</c:v>
                </c:pt>
                <c:pt idx="9">
                  <c:v>23.618490000000001</c:v>
                </c:pt>
                <c:pt idx="10">
                  <c:v>26.281099999999999</c:v>
                </c:pt>
                <c:pt idx="11">
                  <c:v>29.867999999999999</c:v>
                </c:pt>
                <c:pt idx="12">
                  <c:v>34.3065</c:v>
                </c:pt>
                <c:pt idx="13">
                  <c:v>39.740299999999998</c:v>
                </c:pt>
                <c:pt idx="14">
                  <c:v>47.036020000000001</c:v>
                </c:pt>
                <c:pt idx="15">
                  <c:v>56.865499999999997</c:v>
                </c:pt>
                <c:pt idx="16">
                  <c:v>66.214699999999993</c:v>
                </c:pt>
                <c:pt idx="17">
                  <c:v>82.694180000000003</c:v>
                </c:pt>
                <c:pt idx="18">
                  <c:v>93.186419999999998</c:v>
                </c:pt>
              </c:numCache>
            </c:numRef>
          </c:yVal>
          <c:smooth val="0"/>
        </c:ser>
        <c:ser>
          <c:idx val="7"/>
          <c:order val="7"/>
          <c:tx>
            <c:v>95 C</c:v>
          </c:tx>
          <c:spPr>
            <a:ln w="28575">
              <a:noFill/>
            </a:ln>
          </c:spPr>
          <c:marker>
            <c:symbol val="square"/>
            <c:size val="4"/>
          </c:marker>
          <c:xVal>
            <c:numRef>
              <c:f>'Raw Test Data'!$H$148:$H$166</c:f>
              <c:numCache>
                <c:formatCode>0.00</c:formatCode>
                <c:ptCount val="19"/>
                <c:pt idx="0">
                  <c:v>0.1</c:v>
                </c:pt>
                <c:pt idx="1">
                  <c:v>0.15</c:v>
                </c:pt>
                <c:pt idx="2">
                  <c:v>0.22</c:v>
                </c:pt>
                <c:pt idx="3">
                  <c:v>0.32</c:v>
                </c:pt>
                <c:pt idx="4">
                  <c:v>0.46</c:v>
                </c:pt>
                <c:pt idx="5">
                  <c:v>0.68</c:v>
                </c:pt>
                <c:pt idx="6">
                  <c:v>1</c:v>
                </c:pt>
                <c:pt idx="7">
                  <c:v>1.5</c:v>
                </c:pt>
                <c:pt idx="8">
                  <c:v>2.2000000000000002</c:v>
                </c:pt>
                <c:pt idx="9">
                  <c:v>3.2</c:v>
                </c:pt>
                <c:pt idx="10">
                  <c:v>4.5999999999999996</c:v>
                </c:pt>
                <c:pt idx="11">
                  <c:v>6.8</c:v>
                </c:pt>
                <c:pt idx="12">
                  <c:v>10</c:v>
                </c:pt>
                <c:pt idx="13">
                  <c:v>14.6</c:v>
                </c:pt>
                <c:pt idx="14">
                  <c:v>21.5</c:v>
                </c:pt>
                <c:pt idx="15">
                  <c:v>31.6</c:v>
                </c:pt>
                <c:pt idx="16">
                  <c:v>46.4</c:v>
                </c:pt>
                <c:pt idx="17">
                  <c:v>68</c:v>
                </c:pt>
                <c:pt idx="18">
                  <c:v>100</c:v>
                </c:pt>
              </c:numCache>
            </c:numRef>
          </c:xVal>
          <c:yVal>
            <c:numRef>
              <c:f>'Raw Test Data'!$D$148:$D$166</c:f>
              <c:numCache>
                <c:formatCode>0.0000</c:formatCode>
                <c:ptCount val="19"/>
                <c:pt idx="0">
                  <c:v>10.840529999999999</c:v>
                </c:pt>
                <c:pt idx="1">
                  <c:v>11.172079999999999</c:v>
                </c:pt>
                <c:pt idx="2">
                  <c:v>11.54082</c:v>
                </c:pt>
                <c:pt idx="3">
                  <c:v>12.055260000000001</c:v>
                </c:pt>
                <c:pt idx="4">
                  <c:v>12.625249999999999</c:v>
                </c:pt>
                <c:pt idx="5">
                  <c:v>13.29208</c:v>
                </c:pt>
                <c:pt idx="6">
                  <c:v>13.949859999999999</c:v>
                </c:pt>
                <c:pt idx="7">
                  <c:v>14.71692</c:v>
                </c:pt>
                <c:pt idx="8">
                  <c:v>15.57686</c:v>
                </c:pt>
                <c:pt idx="9">
                  <c:v>16.568660000000001</c:v>
                </c:pt>
                <c:pt idx="10">
                  <c:v>17.71621</c:v>
                </c:pt>
                <c:pt idx="11">
                  <c:v>19.217590000000001</c:v>
                </c:pt>
                <c:pt idx="12">
                  <c:v>21.028659999999999</c:v>
                </c:pt>
                <c:pt idx="13">
                  <c:v>23.16968</c:v>
                </c:pt>
                <c:pt idx="14">
                  <c:v>26.229649999999999</c:v>
                </c:pt>
                <c:pt idx="15">
                  <c:v>30.73208</c:v>
                </c:pt>
                <c:pt idx="16">
                  <c:v>33.46902</c:v>
                </c:pt>
                <c:pt idx="17">
                  <c:v>41.88494</c:v>
                </c:pt>
                <c:pt idx="18">
                  <c:v>42.713520000000003</c:v>
                </c:pt>
              </c:numCache>
            </c:numRef>
          </c:yVal>
          <c:smooth val="0"/>
        </c:ser>
        <c:ser>
          <c:idx val="8"/>
          <c:order val="8"/>
          <c:tx>
            <c:v>100 C</c:v>
          </c:tx>
          <c:spPr>
            <a:ln w="28575">
              <a:noFill/>
            </a:ln>
          </c:spPr>
          <c:marker>
            <c:symbol val="square"/>
            <c:size val="4"/>
          </c:marker>
          <c:xVal>
            <c:numRef>
              <c:f>'Raw Test Data'!$H$167:$H$185</c:f>
              <c:numCache>
                <c:formatCode>0.00</c:formatCode>
                <c:ptCount val="19"/>
                <c:pt idx="0">
                  <c:v>0.1</c:v>
                </c:pt>
                <c:pt idx="1">
                  <c:v>0.15</c:v>
                </c:pt>
                <c:pt idx="2">
                  <c:v>0.22</c:v>
                </c:pt>
                <c:pt idx="3">
                  <c:v>0.32</c:v>
                </c:pt>
                <c:pt idx="4">
                  <c:v>0.46</c:v>
                </c:pt>
                <c:pt idx="5">
                  <c:v>0.68</c:v>
                </c:pt>
                <c:pt idx="6">
                  <c:v>1</c:v>
                </c:pt>
                <c:pt idx="7">
                  <c:v>1.5</c:v>
                </c:pt>
                <c:pt idx="8">
                  <c:v>2.2000000000000002</c:v>
                </c:pt>
                <c:pt idx="9">
                  <c:v>3.2</c:v>
                </c:pt>
                <c:pt idx="10">
                  <c:v>4.5999999999999996</c:v>
                </c:pt>
                <c:pt idx="11">
                  <c:v>6.8</c:v>
                </c:pt>
                <c:pt idx="12">
                  <c:v>10</c:v>
                </c:pt>
                <c:pt idx="13">
                  <c:v>14.6</c:v>
                </c:pt>
                <c:pt idx="14">
                  <c:v>21.5</c:v>
                </c:pt>
                <c:pt idx="15">
                  <c:v>31.6</c:v>
                </c:pt>
                <c:pt idx="16">
                  <c:v>46.4</c:v>
                </c:pt>
                <c:pt idx="17">
                  <c:v>68</c:v>
                </c:pt>
                <c:pt idx="18">
                  <c:v>100</c:v>
                </c:pt>
              </c:numCache>
            </c:numRef>
          </c:xVal>
          <c:yVal>
            <c:numRef>
              <c:f>'Raw Test Data'!$D$167:$D$185</c:f>
              <c:numCache>
                <c:formatCode>0.0000</c:formatCode>
                <c:ptCount val="19"/>
                <c:pt idx="0">
                  <c:v>9.2533480000000008</c:v>
                </c:pt>
                <c:pt idx="1">
                  <c:v>9.5517459999999996</c:v>
                </c:pt>
                <c:pt idx="2">
                  <c:v>9.8949809999999996</c:v>
                </c:pt>
                <c:pt idx="3">
                  <c:v>10.31288</c:v>
                </c:pt>
                <c:pt idx="4">
                  <c:v>10.75249</c:v>
                </c:pt>
                <c:pt idx="5">
                  <c:v>11.24316</c:v>
                </c:pt>
                <c:pt idx="6">
                  <c:v>11.70074</c:v>
                </c:pt>
                <c:pt idx="7">
                  <c:v>12.21129</c:v>
                </c:pt>
                <c:pt idx="8">
                  <c:v>12.753500000000001</c:v>
                </c:pt>
                <c:pt idx="9">
                  <c:v>13.34796</c:v>
                </c:pt>
                <c:pt idx="10">
                  <c:v>14.00217</c:v>
                </c:pt>
                <c:pt idx="11">
                  <c:v>14.81527</c:v>
                </c:pt>
                <c:pt idx="12">
                  <c:v>15.74677</c:v>
                </c:pt>
                <c:pt idx="13">
                  <c:v>16.791910000000001</c:v>
                </c:pt>
                <c:pt idx="14">
                  <c:v>18.40692</c:v>
                </c:pt>
                <c:pt idx="15">
                  <c:v>21.012599999999999</c:v>
                </c:pt>
                <c:pt idx="16">
                  <c:v>21.310020000000002</c:v>
                </c:pt>
                <c:pt idx="17">
                  <c:v>26.674689999999998</c:v>
                </c:pt>
                <c:pt idx="18">
                  <c:v>23.490760000000002</c:v>
                </c:pt>
              </c:numCache>
            </c:numRef>
          </c:yVal>
          <c:smooth val="0"/>
        </c:ser>
        <c:ser>
          <c:idx val="9"/>
          <c:order val="9"/>
          <c:tx>
            <c:v>60 C Sim</c:v>
          </c:tx>
          <c:spPr>
            <a:ln w="28575">
              <a:solidFill>
                <a:schemeClr val="accent1"/>
              </a:solidFill>
            </a:ln>
          </c:spPr>
          <c:marker>
            <c:symbol val="none"/>
          </c:marker>
          <c:xVal>
            <c:numRef>
              <c:f>'Sim Results from PSF'!$A$5:$A$23</c:f>
              <c:numCache>
                <c:formatCode>0.00</c:formatCode>
                <c:ptCount val="19"/>
                <c:pt idx="0">
                  <c:v>0.1</c:v>
                </c:pt>
                <c:pt idx="1">
                  <c:v>0.15</c:v>
                </c:pt>
                <c:pt idx="2">
                  <c:v>0.22</c:v>
                </c:pt>
                <c:pt idx="3">
                  <c:v>0.32</c:v>
                </c:pt>
                <c:pt idx="4">
                  <c:v>0.46</c:v>
                </c:pt>
                <c:pt idx="5">
                  <c:v>0.68</c:v>
                </c:pt>
                <c:pt idx="6">
                  <c:v>1</c:v>
                </c:pt>
                <c:pt idx="7">
                  <c:v>1.5</c:v>
                </c:pt>
                <c:pt idx="8">
                  <c:v>2.2000000000000002</c:v>
                </c:pt>
                <c:pt idx="9">
                  <c:v>3.2</c:v>
                </c:pt>
                <c:pt idx="10">
                  <c:v>4.5999999999999996</c:v>
                </c:pt>
                <c:pt idx="11">
                  <c:v>6.8</c:v>
                </c:pt>
                <c:pt idx="12">
                  <c:v>10</c:v>
                </c:pt>
                <c:pt idx="13">
                  <c:v>14.6</c:v>
                </c:pt>
                <c:pt idx="14">
                  <c:v>21.5</c:v>
                </c:pt>
                <c:pt idx="15">
                  <c:v>31.6</c:v>
                </c:pt>
                <c:pt idx="16">
                  <c:v>46.4</c:v>
                </c:pt>
                <c:pt idx="17">
                  <c:v>68</c:v>
                </c:pt>
                <c:pt idx="18">
                  <c:v>100</c:v>
                </c:pt>
              </c:numCache>
            </c:numRef>
          </c:xVal>
          <c:yVal>
            <c:numRef>
              <c:f>'Sim Results from PSF'!$C$5:$C$23</c:f>
              <c:numCache>
                <c:formatCode>0.000</c:formatCode>
                <c:ptCount val="19"/>
                <c:pt idx="0">
                  <c:v>1853.1703341724781</c:v>
                </c:pt>
                <c:pt idx="1">
                  <c:v>1899.9425911272776</c:v>
                </c:pt>
                <c:pt idx="2">
                  <c:v>1931.6475400634722</c:v>
                </c:pt>
                <c:pt idx="3">
                  <c:v>1958.1146722675785</c:v>
                </c:pt>
                <c:pt idx="4">
                  <c:v>1985.5631322926765</c:v>
                </c:pt>
                <c:pt idx="5">
                  <c:v>2018.6158740242461</c:v>
                </c:pt>
                <c:pt idx="6">
                  <c:v>2050.7278239759239</c:v>
                </c:pt>
                <c:pt idx="7">
                  <c:v>2080.7101426741292</c:v>
                </c:pt>
                <c:pt idx="8">
                  <c:v>2109.0632399234282</c:v>
                </c:pt>
                <c:pt idx="9">
                  <c:v>2144.3138442797886</c:v>
                </c:pt>
                <c:pt idx="10">
                  <c:v>2190.8340550758971</c:v>
                </c:pt>
                <c:pt idx="11">
                  <c:v>2251.339891443698</c:v>
                </c:pt>
                <c:pt idx="12">
                  <c:v>2308.0045949594382</c:v>
                </c:pt>
                <c:pt idx="13">
                  <c:v>2348.9035603222037</c:v>
                </c:pt>
                <c:pt idx="14">
                  <c:v>2374.0914361861833</c:v>
                </c:pt>
                <c:pt idx="15">
                  <c:v>2387.1909885102259</c:v>
                </c:pt>
                <c:pt idx="16">
                  <c:v>2393.4986564592145</c:v>
                </c:pt>
                <c:pt idx="17">
                  <c:v>2396.5117751216326</c:v>
                </c:pt>
                <c:pt idx="18">
                  <c:v>2398.0757369599642</c:v>
                </c:pt>
              </c:numCache>
            </c:numRef>
          </c:yVal>
          <c:smooth val="0"/>
        </c:ser>
        <c:ser>
          <c:idx val="10"/>
          <c:order val="10"/>
          <c:tx>
            <c:v>65 C Sim</c:v>
          </c:tx>
          <c:spPr>
            <a:ln w="28575">
              <a:solidFill>
                <a:srgbClr val="C00000"/>
              </a:solidFill>
            </a:ln>
          </c:spPr>
          <c:marker>
            <c:symbol val="none"/>
          </c:marker>
          <c:xVal>
            <c:numRef>
              <c:f>'Sim Results from PSF'!$A$5:$A$23</c:f>
              <c:numCache>
                <c:formatCode>0.00</c:formatCode>
                <c:ptCount val="19"/>
                <c:pt idx="0">
                  <c:v>0.1</c:v>
                </c:pt>
                <c:pt idx="1">
                  <c:v>0.15</c:v>
                </c:pt>
                <c:pt idx="2">
                  <c:v>0.22</c:v>
                </c:pt>
                <c:pt idx="3">
                  <c:v>0.32</c:v>
                </c:pt>
                <c:pt idx="4">
                  <c:v>0.46</c:v>
                </c:pt>
                <c:pt idx="5">
                  <c:v>0.68</c:v>
                </c:pt>
                <c:pt idx="6">
                  <c:v>1</c:v>
                </c:pt>
                <c:pt idx="7">
                  <c:v>1.5</c:v>
                </c:pt>
                <c:pt idx="8">
                  <c:v>2.2000000000000002</c:v>
                </c:pt>
                <c:pt idx="9">
                  <c:v>3.2</c:v>
                </c:pt>
                <c:pt idx="10">
                  <c:v>4.5999999999999996</c:v>
                </c:pt>
                <c:pt idx="11">
                  <c:v>6.8</c:v>
                </c:pt>
                <c:pt idx="12">
                  <c:v>10</c:v>
                </c:pt>
                <c:pt idx="13">
                  <c:v>14.6</c:v>
                </c:pt>
                <c:pt idx="14">
                  <c:v>21.5</c:v>
                </c:pt>
                <c:pt idx="15">
                  <c:v>31.6</c:v>
                </c:pt>
                <c:pt idx="16">
                  <c:v>46.4</c:v>
                </c:pt>
                <c:pt idx="17">
                  <c:v>68</c:v>
                </c:pt>
                <c:pt idx="18">
                  <c:v>100</c:v>
                </c:pt>
              </c:numCache>
            </c:numRef>
          </c:xVal>
          <c:yVal>
            <c:numRef>
              <c:f>'Sim Results from PSF'!$F$5:$F$23</c:f>
              <c:numCache>
                <c:formatCode>0.000</c:formatCode>
                <c:ptCount val="19"/>
                <c:pt idx="0">
                  <c:v>1009.0298690598737</c:v>
                </c:pt>
                <c:pt idx="1">
                  <c:v>1053.2890633041413</c:v>
                </c:pt>
                <c:pt idx="2">
                  <c:v>1099.3659984719216</c:v>
                </c:pt>
                <c:pt idx="3">
                  <c:v>1156.7268923842173</c:v>
                </c:pt>
                <c:pt idx="4">
                  <c:v>1221.5033063263897</c:v>
                </c:pt>
                <c:pt idx="5">
                  <c:v>1288.0521141281774</c:v>
                </c:pt>
                <c:pt idx="6">
                  <c:v>1339.9932878583777</c:v>
                </c:pt>
                <c:pt idx="7">
                  <c:v>1382.4991549202678</c:v>
                </c:pt>
                <c:pt idx="8">
                  <c:v>1421.5778214343402</c:v>
                </c:pt>
                <c:pt idx="9">
                  <c:v>1466.8848180980158</c:v>
                </c:pt>
                <c:pt idx="10">
                  <c:v>1516.9446851143391</c:v>
                </c:pt>
                <c:pt idx="11">
                  <c:v>1568.7094772612379</c:v>
                </c:pt>
                <c:pt idx="12">
                  <c:v>1610.8726446252163</c:v>
                </c:pt>
                <c:pt idx="13">
                  <c:v>1646.7119035395056</c:v>
                </c:pt>
                <c:pt idx="14">
                  <c:v>1687.0569491593794</c:v>
                </c:pt>
                <c:pt idx="15">
                  <c:v>1738.5507319365738</c:v>
                </c:pt>
                <c:pt idx="16">
                  <c:v>1798.9641490927436</c:v>
                </c:pt>
                <c:pt idx="17">
                  <c:v>1855.7860224336216</c:v>
                </c:pt>
                <c:pt idx="18">
                  <c:v>1899.9085718906551</c:v>
                </c:pt>
              </c:numCache>
            </c:numRef>
          </c:yVal>
          <c:smooth val="0"/>
        </c:ser>
        <c:ser>
          <c:idx val="11"/>
          <c:order val="11"/>
          <c:tx>
            <c:v>70 C Sim</c:v>
          </c:tx>
          <c:spPr>
            <a:ln w="28575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'Sim Results from PSF'!$A$5:$A$23</c:f>
              <c:numCache>
                <c:formatCode>0.00</c:formatCode>
                <c:ptCount val="19"/>
                <c:pt idx="0">
                  <c:v>0.1</c:v>
                </c:pt>
                <c:pt idx="1">
                  <c:v>0.15</c:v>
                </c:pt>
                <c:pt idx="2">
                  <c:v>0.22</c:v>
                </c:pt>
                <c:pt idx="3">
                  <c:v>0.32</c:v>
                </c:pt>
                <c:pt idx="4">
                  <c:v>0.46</c:v>
                </c:pt>
                <c:pt idx="5">
                  <c:v>0.68</c:v>
                </c:pt>
                <c:pt idx="6">
                  <c:v>1</c:v>
                </c:pt>
                <c:pt idx="7">
                  <c:v>1.5</c:v>
                </c:pt>
                <c:pt idx="8">
                  <c:v>2.2000000000000002</c:v>
                </c:pt>
                <c:pt idx="9">
                  <c:v>3.2</c:v>
                </c:pt>
                <c:pt idx="10">
                  <c:v>4.5999999999999996</c:v>
                </c:pt>
                <c:pt idx="11">
                  <c:v>6.8</c:v>
                </c:pt>
                <c:pt idx="12">
                  <c:v>10</c:v>
                </c:pt>
                <c:pt idx="13">
                  <c:v>14.6</c:v>
                </c:pt>
                <c:pt idx="14">
                  <c:v>21.5</c:v>
                </c:pt>
                <c:pt idx="15">
                  <c:v>31.6</c:v>
                </c:pt>
                <c:pt idx="16">
                  <c:v>46.4</c:v>
                </c:pt>
                <c:pt idx="17">
                  <c:v>68</c:v>
                </c:pt>
                <c:pt idx="18">
                  <c:v>100</c:v>
                </c:pt>
              </c:numCache>
            </c:numRef>
          </c:xVal>
          <c:yVal>
            <c:numRef>
              <c:f>'Sim Results from PSF'!$I$5:$I$23</c:f>
              <c:numCache>
                <c:formatCode>0.000</c:formatCode>
                <c:ptCount val="19"/>
                <c:pt idx="0">
                  <c:v>393.73254596940853</c:v>
                </c:pt>
                <c:pt idx="1">
                  <c:v>432.41192323442698</c:v>
                </c:pt>
                <c:pt idx="2">
                  <c:v>471.82251095846493</c:v>
                </c:pt>
                <c:pt idx="3">
                  <c:v>521.39108301838576</c:v>
                </c:pt>
                <c:pt idx="4">
                  <c:v>579.7275948761602</c:v>
                </c:pt>
                <c:pt idx="5">
                  <c:v>643.01072017689989</c:v>
                </c:pt>
                <c:pt idx="6">
                  <c:v>694.88901318836417</c:v>
                </c:pt>
                <c:pt idx="7">
                  <c:v>738.73558724759278</c:v>
                </c:pt>
                <c:pt idx="8">
                  <c:v>779.98203521413393</c:v>
                </c:pt>
                <c:pt idx="9">
                  <c:v>829.39033091145882</c:v>
                </c:pt>
                <c:pt idx="10">
                  <c:v>886.55122976094299</c:v>
                </c:pt>
                <c:pt idx="11">
                  <c:v>948.46297294224769</c:v>
                </c:pt>
                <c:pt idx="12">
                  <c:v>999.81543572537396</c:v>
                </c:pt>
                <c:pt idx="13">
                  <c:v>1041.7932587442722</c:v>
                </c:pt>
                <c:pt idx="14">
                  <c:v>1086.051432064314</c:v>
                </c:pt>
                <c:pt idx="15">
                  <c:v>1141.4887491016648</c:v>
                </c:pt>
                <c:pt idx="16">
                  <c:v>1208.7228826774028</c:v>
                </c:pt>
                <c:pt idx="17">
                  <c:v>1275.5498650683057</c:v>
                </c:pt>
                <c:pt idx="18">
                  <c:v>1330.5223285809773</c:v>
                </c:pt>
              </c:numCache>
            </c:numRef>
          </c:yVal>
          <c:smooth val="0"/>
        </c:ser>
        <c:ser>
          <c:idx val="12"/>
          <c:order val="12"/>
          <c:tx>
            <c:v>75 C Sim</c:v>
          </c:tx>
          <c:spPr>
            <a:ln w="28575">
              <a:solidFill>
                <a:schemeClr val="accent4">
                  <a:lumMod val="75000"/>
                </a:schemeClr>
              </a:solidFill>
            </a:ln>
          </c:spPr>
          <c:marker>
            <c:symbol val="none"/>
          </c:marker>
          <c:xVal>
            <c:numRef>
              <c:f>'Sim Results from PSF'!$A$5:$A$23</c:f>
              <c:numCache>
                <c:formatCode>0.00</c:formatCode>
                <c:ptCount val="19"/>
                <c:pt idx="0">
                  <c:v>0.1</c:v>
                </c:pt>
                <c:pt idx="1">
                  <c:v>0.15</c:v>
                </c:pt>
                <c:pt idx="2">
                  <c:v>0.22</c:v>
                </c:pt>
                <c:pt idx="3">
                  <c:v>0.32</c:v>
                </c:pt>
                <c:pt idx="4">
                  <c:v>0.46</c:v>
                </c:pt>
                <c:pt idx="5">
                  <c:v>0.68</c:v>
                </c:pt>
                <c:pt idx="6">
                  <c:v>1</c:v>
                </c:pt>
                <c:pt idx="7">
                  <c:v>1.5</c:v>
                </c:pt>
                <c:pt idx="8">
                  <c:v>2.2000000000000002</c:v>
                </c:pt>
                <c:pt idx="9">
                  <c:v>3.2</c:v>
                </c:pt>
                <c:pt idx="10">
                  <c:v>4.5999999999999996</c:v>
                </c:pt>
                <c:pt idx="11">
                  <c:v>6.8</c:v>
                </c:pt>
                <c:pt idx="12">
                  <c:v>10</c:v>
                </c:pt>
                <c:pt idx="13">
                  <c:v>14.6</c:v>
                </c:pt>
                <c:pt idx="14">
                  <c:v>21.5</c:v>
                </c:pt>
                <c:pt idx="15">
                  <c:v>31.6</c:v>
                </c:pt>
                <c:pt idx="16">
                  <c:v>46.4</c:v>
                </c:pt>
                <c:pt idx="17">
                  <c:v>68</c:v>
                </c:pt>
                <c:pt idx="18">
                  <c:v>100</c:v>
                </c:pt>
              </c:numCache>
            </c:numRef>
          </c:xVal>
          <c:yVal>
            <c:numRef>
              <c:f>'Sim Results from PSF'!$L$5:$L$23</c:f>
              <c:numCache>
                <c:formatCode>0.000</c:formatCode>
                <c:ptCount val="19"/>
                <c:pt idx="0">
                  <c:v>87.242384078762072</c:v>
                </c:pt>
                <c:pt idx="1">
                  <c:v>111.34860467638653</c:v>
                </c:pt>
                <c:pt idx="2">
                  <c:v>136.37786802307093</c:v>
                </c:pt>
                <c:pt idx="3">
                  <c:v>159.02345882671614</c:v>
                </c:pt>
                <c:pt idx="4">
                  <c:v>179.79163361634744</c:v>
                </c:pt>
                <c:pt idx="5">
                  <c:v>206.12322057318033</c:v>
                </c:pt>
                <c:pt idx="6">
                  <c:v>242.3595348241754</c:v>
                </c:pt>
                <c:pt idx="7">
                  <c:v>292.62435870037126</c:v>
                </c:pt>
                <c:pt idx="8">
                  <c:v>343.31837394223408</c:v>
                </c:pt>
                <c:pt idx="9">
                  <c:v>386.62362236947166</c:v>
                </c:pt>
                <c:pt idx="10">
                  <c:v>421.92498479755204</c:v>
                </c:pt>
                <c:pt idx="11">
                  <c:v>460.25856482496397</c:v>
                </c:pt>
                <c:pt idx="12">
                  <c:v>507.88062756074731</c:v>
                </c:pt>
                <c:pt idx="13">
                  <c:v>566.80494503114244</c:v>
                </c:pt>
                <c:pt idx="14">
                  <c:v>630.49671102736568</c:v>
                </c:pt>
                <c:pt idx="15">
                  <c:v>684.92729110409743</c:v>
                </c:pt>
                <c:pt idx="16">
                  <c:v>728.0996409929387</c:v>
                </c:pt>
                <c:pt idx="17">
                  <c:v>768.15658509911793</c:v>
                </c:pt>
                <c:pt idx="18">
                  <c:v>816.05392879915632</c:v>
                </c:pt>
              </c:numCache>
            </c:numRef>
          </c:yVal>
          <c:smooth val="0"/>
        </c:ser>
        <c:ser>
          <c:idx val="13"/>
          <c:order val="13"/>
          <c:tx>
            <c:v>80 C Sim</c:v>
          </c:tx>
          <c:spPr>
            <a:ln w="28575">
              <a:solidFill>
                <a:schemeClr val="tx2">
                  <a:lumMod val="60000"/>
                  <a:lumOff val="40000"/>
                </a:schemeClr>
              </a:solidFill>
            </a:ln>
          </c:spPr>
          <c:marker>
            <c:symbol val="none"/>
          </c:marker>
          <c:xVal>
            <c:numRef>
              <c:f>'Sim Results from PSF'!$A$5:$A$23</c:f>
              <c:numCache>
                <c:formatCode>0.00</c:formatCode>
                <c:ptCount val="19"/>
                <c:pt idx="0">
                  <c:v>0.1</c:v>
                </c:pt>
                <c:pt idx="1">
                  <c:v>0.15</c:v>
                </c:pt>
                <c:pt idx="2">
                  <c:v>0.22</c:v>
                </c:pt>
                <c:pt idx="3">
                  <c:v>0.32</c:v>
                </c:pt>
                <c:pt idx="4">
                  <c:v>0.46</c:v>
                </c:pt>
                <c:pt idx="5">
                  <c:v>0.68</c:v>
                </c:pt>
                <c:pt idx="6">
                  <c:v>1</c:v>
                </c:pt>
                <c:pt idx="7">
                  <c:v>1.5</c:v>
                </c:pt>
                <c:pt idx="8">
                  <c:v>2.2000000000000002</c:v>
                </c:pt>
                <c:pt idx="9">
                  <c:v>3.2</c:v>
                </c:pt>
                <c:pt idx="10">
                  <c:v>4.5999999999999996</c:v>
                </c:pt>
                <c:pt idx="11">
                  <c:v>6.8</c:v>
                </c:pt>
                <c:pt idx="12">
                  <c:v>10</c:v>
                </c:pt>
                <c:pt idx="13">
                  <c:v>14.6</c:v>
                </c:pt>
                <c:pt idx="14">
                  <c:v>21.5</c:v>
                </c:pt>
                <c:pt idx="15">
                  <c:v>31.6</c:v>
                </c:pt>
                <c:pt idx="16">
                  <c:v>46.4</c:v>
                </c:pt>
                <c:pt idx="17">
                  <c:v>68</c:v>
                </c:pt>
                <c:pt idx="18">
                  <c:v>100</c:v>
                </c:pt>
              </c:numCache>
            </c:numRef>
          </c:xVal>
          <c:yVal>
            <c:numRef>
              <c:f>'Sim Results from PSF'!$O$5:$O$23</c:f>
              <c:numCache>
                <c:formatCode>0.000</c:formatCode>
                <c:ptCount val="19"/>
                <c:pt idx="0">
                  <c:v>26.830517259969856</c:v>
                </c:pt>
                <c:pt idx="1">
                  <c:v>31.110940311664905</c:v>
                </c:pt>
                <c:pt idx="2">
                  <c:v>36.849675097235895</c:v>
                </c:pt>
                <c:pt idx="3">
                  <c:v>43.464288556089201</c:v>
                </c:pt>
                <c:pt idx="4">
                  <c:v>50.059625244613507</c:v>
                </c:pt>
                <c:pt idx="5">
                  <c:v>57.751216651468532</c:v>
                </c:pt>
                <c:pt idx="6">
                  <c:v>67.970461035732711</c:v>
                </c:pt>
                <c:pt idx="7">
                  <c:v>84.472699702693617</c:v>
                </c:pt>
                <c:pt idx="8">
                  <c:v>106.4108008294324</c:v>
                </c:pt>
                <c:pt idx="9">
                  <c:v>130.8847245028351</c:v>
                </c:pt>
                <c:pt idx="10">
                  <c:v>153.39522694456542</c:v>
                </c:pt>
                <c:pt idx="11">
                  <c:v>175.75084176824672</c:v>
                </c:pt>
                <c:pt idx="12">
                  <c:v>200.48414231449701</c:v>
                </c:pt>
                <c:pt idx="13">
                  <c:v>233.66125696359842</c:v>
                </c:pt>
                <c:pt idx="14">
                  <c:v>279.42628633769544</c:v>
                </c:pt>
                <c:pt idx="15">
                  <c:v>330.72135218786059</c:v>
                </c:pt>
                <c:pt idx="16">
                  <c:v>377.17710124663319</c:v>
                </c:pt>
                <c:pt idx="17">
                  <c:v>415.46338710902421</c:v>
                </c:pt>
                <c:pt idx="18">
                  <c:v>452.46772233135755</c:v>
                </c:pt>
              </c:numCache>
            </c:numRef>
          </c:yVal>
          <c:smooth val="0"/>
        </c:ser>
        <c:ser>
          <c:idx val="14"/>
          <c:order val="14"/>
          <c:tx>
            <c:v>85 C Sim</c:v>
          </c:tx>
          <c:spPr>
            <a:ln w="28575">
              <a:solidFill>
                <a:schemeClr val="accent6">
                  <a:lumMod val="75000"/>
                </a:schemeClr>
              </a:solidFill>
            </a:ln>
          </c:spPr>
          <c:marker>
            <c:symbol val="none"/>
          </c:marker>
          <c:xVal>
            <c:numRef>
              <c:f>'Sim Results from PSF'!$A$5:$A$23</c:f>
              <c:numCache>
                <c:formatCode>0.00</c:formatCode>
                <c:ptCount val="19"/>
                <c:pt idx="0">
                  <c:v>0.1</c:v>
                </c:pt>
                <c:pt idx="1">
                  <c:v>0.15</c:v>
                </c:pt>
                <c:pt idx="2">
                  <c:v>0.22</c:v>
                </c:pt>
                <c:pt idx="3">
                  <c:v>0.32</c:v>
                </c:pt>
                <c:pt idx="4">
                  <c:v>0.46</c:v>
                </c:pt>
                <c:pt idx="5">
                  <c:v>0.68</c:v>
                </c:pt>
                <c:pt idx="6">
                  <c:v>1</c:v>
                </c:pt>
                <c:pt idx="7">
                  <c:v>1.5</c:v>
                </c:pt>
                <c:pt idx="8">
                  <c:v>2.2000000000000002</c:v>
                </c:pt>
                <c:pt idx="9">
                  <c:v>3.2</c:v>
                </c:pt>
                <c:pt idx="10">
                  <c:v>4.5999999999999996</c:v>
                </c:pt>
                <c:pt idx="11">
                  <c:v>6.8</c:v>
                </c:pt>
                <c:pt idx="12">
                  <c:v>10</c:v>
                </c:pt>
                <c:pt idx="13">
                  <c:v>14.6</c:v>
                </c:pt>
                <c:pt idx="14">
                  <c:v>21.5</c:v>
                </c:pt>
                <c:pt idx="15">
                  <c:v>31.6</c:v>
                </c:pt>
                <c:pt idx="16">
                  <c:v>46.4</c:v>
                </c:pt>
                <c:pt idx="17">
                  <c:v>68</c:v>
                </c:pt>
                <c:pt idx="18">
                  <c:v>100</c:v>
                </c:pt>
              </c:numCache>
            </c:numRef>
          </c:xVal>
          <c:yVal>
            <c:numRef>
              <c:f>'Sim Results from PSF'!$R$5:$R$23</c:f>
              <c:numCache>
                <c:formatCode>0.000</c:formatCode>
                <c:ptCount val="19"/>
                <c:pt idx="0">
                  <c:v>15.629648143519459</c:v>
                </c:pt>
                <c:pt idx="1">
                  <c:v>16.995489678210628</c:v>
                </c:pt>
                <c:pt idx="2">
                  <c:v>18.740675428427856</c:v>
                </c:pt>
                <c:pt idx="3">
                  <c:v>20.650753385631074</c:v>
                </c:pt>
                <c:pt idx="4">
                  <c:v>22.495909208580219</c:v>
                </c:pt>
                <c:pt idx="5">
                  <c:v>24.657472459545112</c:v>
                </c:pt>
                <c:pt idx="6">
                  <c:v>27.57330789823331</c:v>
                </c:pt>
                <c:pt idx="7">
                  <c:v>32.239876660496591</c:v>
                </c:pt>
                <c:pt idx="8">
                  <c:v>38.287319800367712</c:v>
                </c:pt>
                <c:pt idx="9">
                  <c:v>44.992494585100246</c:v>
                </c:pt>
                <c:pt idx="10">
                  <c:v>51.620591499894232</c:v>
                </c:pt>
                <c:pt idx="11">
                  <c:v>59.666593424114637</c:v>
                </c:pt>
                <c:pt idx="12">
                  <c:v>70.830105051613501</c:v>
                </c:pt>
                <c:pt idx="13">
                  <c:v>87.390289918146436</c:v>
                </c:pt>
                <c:pt idx="14">
                  <c:v>110.33897510789832</c:v>
                </c:pt>
                <c:pt idx="15">
                  <c:v>135.51581210218282</c:v>
                </c:pt>
                <c:pt idx="16">
                  <c:v>158.79180607029679</c:v>
                </c:pt>
                <c:pt idx="17">
                  <c:v>180.69988979477108</c:v>
                </c:pt>
                <c:pt idx="18">
                  <c:v>206.91693954730172</c:v>
                </c:pt>
              </c:numCache>
            </c:numRef>
          </c:yVal>
          <c:smooth val="0"/>
        </c:ser>
        <c:ser>
          <c:idx val="15"/>
          <c:order val="15"/>
          <c:tx>
            <c:v>90 C Sim</c:v>
          </c:tx>
          <c:spPr>
            <a:ln w="28575">
              <a:solidFill>
                <a:schemeClr val="tx2">
                  <a:lumMod val="60000"/>
                  <a:lumOff val="40000"/>
                </a:schemeClr>
              </a:solidFill>
            </a:ln>
          </c:spPr>
          <c:marker>
            <c:symbol val="none"/>
          </c:marker>
          <c:xVal>
            <c:numRef>
              <c:f>'Sim Results from PSF'!$A$5:$A$23</c:f>
              <c:numCache>
                <c:formatCode>0.00</c:formatCode>
                <c:ptCount val="19"/>
                <c:pt idx="0">
                  <c:v>0.1</c:v>
                </c:pt>
                <c:pt idx="1">
                  <c:v>0.15</c:v>
                </c:pt>
                <c:pt idx="2">
                  <c:v>0.22</c:v>
                </c:pt>
                <c:pt idx="3">
                  <c:v>0.32</c:v>
                </c:pt>
                <c:pt idx="4">
                  <c:v>0.46</c:v>
                </c:pt>
                <c:pt idx="5">
                  <c:v>0.68</c:v>
                </c:pt>
                <c:pt idx="6">
                  <c:v>1</c:v>
                </c:pt>
                <c:pt idx="7">
                  <c:v>1.5</c:v>
                </c:pt>
                <c:pt idx="8">
                  <c:v>2.2000000000000002</c:v>
                </c:pt>
                <c:pt idx="9">
                  <c:v>3.2</c:v>
                </c:pt>
                <c:pt idx="10">
                  <c:v>4.5999999999999996</c:v>
                </c:pt>
                <c:pt idx="11">
                  <c:v>6.8</c:v>
                </c:pt>
                <c:pt idx="12">
                  <c:v>10</c:v>
                </c:pt>
                <c:pt idx="13">
                  <c:v>14.6</c:v>
                </c:pt>
                <c:pt idx="14">
                  <c:v>21.5</c:v>
                </c:pt>
                <c:pt idx="15">
                  <c:v>31.6</c:v>
                </c:pt>
                <c:pt idx="16">
                  <c:v>46.4</c:v>
                </c:pt>
                <c:pt idx="17">
                  <c:v>68</c:v>
                </c:pt>
                <c:pt idx="18">
                  <c:v>100</c:v>
                </c:pt>
              </c:numCache>
            </c:numRef>
          </c:xVal>
          <c:yVal>
            <c:numRef>
              <c:f>'Sim Results from PSF'!$U$5:$U$23</c:f>
              <c:numCache>
                <c:formatCode>0.000</c:formatCode>
                <c:ptCount val="19"/>
                <c:pt idx="0">
                  <c:v>12.191637865101095</c:v>
                </c:pt>
                <c:pt idx="1">
                  <c:v>12.900701019658918</c:v>
                </c:pt>
                <c:pt idx="2">
                  <c:v>13.602798911882742</c:v>
                </c:pt>
                <c:pt idx="3">
                  <c:v>14.254842911856114</c:v>
                </c:pt>
                <c:pt idx="4">
                  <c:v>14.930435756129354</c:v>
                </c:pt>
                <c:pt idx="5">
                  <c:v>15.907155223016675</c:v>
                </c:pt>
                <c:pt idx="6">
                  <c:v>17.313678916024138</c:v>
                </c:pt>
                <c:pt idx="7">
                  <c:v>19.239085299882088</c:v>
                </c:pt>
                <c:pt idx="8">
                  <c:v>21.198820875038109</c:v>
                </c:pt>
                <c:pt idx="9">
                  <c:v>23.114877683004369</c:v>
                </c:pt>
                <c:pt idx="10">
                  <c:v>25.248797558013148</c:v>
                </c:pt>
                <c:pt idx="11">
                  <c:v>28.512801943105384</c:v>
                </c:pt>
                <c:pt idx="12">
                  <c:v>33.337335092045549</c:v>
                </c:pt>
                <c:pt idx="13">
                  <c:v>39.548391356206182</c:v>
                </c:pt>
                <c:pt idx="14">
                  <c:v>46.524191910820775</c:v>
                </c:pt>
                <c:pt idx="15">
                  <c:v>53.648538068776595</c:v>
                </c:pt>
                <c:pt idx="16">
                  <c:v>62.135972509326997</c:v>
                </c:pt>
                <c:pt idx="17">
                  <c:v>74.45282963344215</c:v>
                </c:pt>
                <c:pt idx="18">
                  <c:v>93.029098659946825</c:v>
                </c:pt>
              </c:numCache>
            </c:numRef>
          </c:yVal>
          <c:smooth val="0"/>
        </c:ser>
        <c:ser>
          <c:idx val="16"/>
          <c:order val="16"/>
          <c:tx>
            <c:v>95 C Sim</c:v>
          </c:tx>
          <c:spPr>
            <a:ln w="28575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'Sim Results from PSF'!$A$5:$A$23</c:f>
              <c:numCache>
                <c:formatCode>0.00</c:formatCode>
                <c:ptCount val="19"/>
                <c:pt idx="0">
                  <c:v>0.1</c:v>
                </c:pt>
                <c:pt idx="1">
                  <c:v>0.15</c:v>
                </c:pt>
                <c:pt idx="2">
                  <c:v>0.22</c:v>
                </c:pt>
                <c:pt idx="3">
                  <c:v>0.32</c:v>
                </c:pt>
                <c:pt idx="4">
                  <c:v>0.46</c:v>
                </c:pt>
                <c:pt idx="5">
                  <c:v>0.68</c:v>
                </c:pt>
                <c:pt idx="6">
                  <c:v>1</c:v>
                </c:pt>
                <c:pt idx="7">
                  <c:v>1.5</c:v>
                </c:pt>
                <c:pt idx="8">
                  <c:v>2.2000000000000002</c:v>
                </c:pt>
                <c:pt idx="9">
                  <c:v>3.2</c:v>
                </c:pt>
                <c:pt idx="10">
                  <c:v>4.5999999999999996</c:v>
                </c:pt>
                <c:pt idx="11">
                  <c:v>6.8</c:v>
                </c:pt>
                <c:pt idx="12">
                  <c:v>10</c:v>
                </c:pt>
                <c:pt idx="13">
                  <c:v>14.6</c:v>
                </c:pt>
                <c:pt idx="14">
                  <c:v>21.5</c:v>
                </c:pt>
                <c:pt idx="15">
                  <c:v>31.6</c:v>
                </c:pt>
                <c:pt idx="16">
                  <c:v>46.4</c:v>
                </c:pt>
                <c:pt idx="17">
                  <c:v>68</c:v>
                </c:pt>
                <c:pt idx="18">
                  <c:v>100</c:v>
                </c:pt>
              </c:numCache>
            </c:numRef>
          </c:xVal>
          <c:yVal>
            <c:numRef>
              <c:f>'Sim Results from PSF'!$X$5:$X$23</c:f>
              <c:numCache>
                <c:formatCode>0.000</c:formatCode>
                <c:ptCount val="19"/>
                <c:pt idx="0">
                  <c:v>10.638919705778301</c:v>
                </c:pt>
                <c:pt idx="1">
                  <c:v>10.990350384939621</c:v>
                </c:pt>
                <c:pt idx="2">
                  <c:v>11.309463614866489</c:v>
                </c:pt>
                <c:pt idx="3">
                  <c:v>11.693320083410454</c:v>
                </c:pt>
                <c:pt idx="4">
                  <c:v>12.199955932240794</c:v>
                </c:pt>
                <c:pt idx="5">
                  <c:v>12.883378606546231</c:v>
                </c:pt>
                <c:pt idx="6">
                  <c:v>13.590828280172506</c:v>
                </c:pt>
                <c:pt idx="7">
                  <c:v>14.296698043536072</c:v>
                </c:pt>
                <c:pt idx="8">
                  <c:v>15.023582758736753</c:v>
                </c:pt>
                <c:pt idx="9">
                  <c:v>15.992910908710581</c:v>
                </c:pt>
                <c:pt idx="10">
                  <c:v>17.336009212195716</c:v>
                </c:pt>
                <c:pt idx="11">
                  <c:v>19.191521544610964</c:v>
                </c:pt>
                <c:pt idx="12">
                  <c:v>21.164724251786417</c:v>
                </c:pt>
                <c:pt idx="13">
                  <c:v>23.09923370487147</c:v>
                </c:pt>
                <c:pt idx="14">
                  <c:v>25.393169316487459</c:v>
                </c:pt>
                <c:pt idx="15">
                  <c:v>28.672183426591157</c:v>
                </c:pt>
                <c:pt idx="16">
                  <c:v>33.542931431069846</c:v>
                </c:pt>
                <c:pt idx="17">
                  <c:v>39.860535708695608</c:v>
                </c:pt>
                <c:pt idx="18">
                  <c:v>46.819591367622934</c:v>
                </c:pt>
              </c:numCache>
            </c:numRef>
          </c:yVal>
          <c:smooth val="0"/>
        </c:ser>
        <c:ser>
          <c:idx val="17"/>
          <c:order val="17"/>
          <c:tx>
            <c:v>100 C Sim</c:v>
          </c:tx>
          <c:spPr>
            <a:ln w="28575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'Sim Results from PSF'!$A$5:$A$23</c:f>
              <c:numCache>
                <c:formatCode>0.00</c:formatCode>
                <c:ptCount val="19"/>
                <c:pt idx="0">
                  <c:v>0.1</c:v>
                </c:pt>
                <c:pt idx="1">
                  <c:v>0.15</c:v>
                </c:pt>
                <c:pt idx="2">
                  <c:v>0.22</c:v>
                </c:pt>
                <c:pt idx="3">
                  <c:v>0.32</c:v>
                </c:pt>
                <c:pt idx="4">
                  <c:v>0.46</c:v>
                </c:pt>
                <c:pt idx="5">
                  <c:v>0.68</c:v>
                </c:pt>
                <c:pt idx="6">
                  <c:v>1</c:v>
                </c:pt>
                <c:pt idx="7">
                  <c:v>1.5</c:v>
                </c:pt>
                <c:pt idx="8">
                  <c:v>2.2000000000000002</c:v>
                </c:pt>
                <c:pt idx="9">
                  <c:v>3.2</c:v>
                </c:pt>
                <c:pt idx="10">
                  <c:v>4.5999999999999996</c:v>
                </c:pt>
                <c:pt idx="11">
                  <c:v>6.8</c:v>
                </c:pt>
                <c:pt idx="12">
                  <c:v>10</c:v>
                </c:pt>
                <c:pt idx="13">
                  <c:v>14.6</c:v>
                </c:pt>
                <c:pt idx="14">
                  <c:v>21.5</c:v>
                </c:pt>
                <c:pt idx="15">
                  <c:v>31.6</c:v>
                </c:pt>
                <c:pt idx="16">
                  <c:v>46.4</c:v>
                </c:pt>
                <c:pt idx="17">
                  <c:v>68</c:v>
                </c:pt>
                <c:pt idx="18">
                  <c:v>100</c:v>
                </c:pt>
              </c:numCache>
            </c:numRef>
          </c:xVal>
          <c:yVal>
            <c:numRef>
              <c:f>'Sim Results from PSF'!$AA$5:$AA$23</c:f>
              <c:numCache>
                <c:formatCode>0.000000</c:formatCode>
                <c:ptCount val="19"/>
                <c:pt idx="0">
                  <c:v>9.4521826250147623</c:v>
                </c:pt>
                <c:pt idx="1">
                  <c:v>9.7745017608067055</c:v>
                </c:pt>
                <c:pt idx="2">
                  <c:v>10.140501806815653</c:v>
                </c:pt>
                <c:pt idx="3">
                  <c:v>10.518165404474439</c:v>
                </c:pt>
                <c:pt idx="4">
                  <c:v>10.849728903076766</c:v>
                </c:pt>
                <c:pt idx="5">
                  <c:v>11.171636745561337</c:v>
                </c:pt>
                <c:pt idx="6">
                  <c:v>11.52537600796323</c:v>
                </c:pt>
                <c:pt idx="7">
                  <c:v>12.034452358918976</c:v>
                </c:pt>
                <c:pt idx="8">
                  <c:v>12.672105807673582</c:v>
                </c:pt>
                <c:pt idx="9">
                  <c:v>13.362332653258875</c:v>
                </c:pt>
                <c:pt idx="10">
                  <c:v>14.004796001630668</c:v>
                </c:pt>
                <c:pt idx="11">
                  <c:v>14.69832807183362</c:v>
                </c:pt>
                <c:pt idx="12">
                  <c:v>15.56032716217266</c:v>
                </c:pt>
                <c:pt idx="13">
                  <c:v>16.78762408016151</c:v>
                </c:pt>
                <c:pt idx="14">
                  <c:v>18.500756767529506</c:v>
                </c:pt>
                <c:pt idx="15">
                  <c:v>20.454779777048916</c:v>
                </c:pt>
                <c:pt idx="16">
                  <c:v>22.408901298205567</c:v>
                </c:pt>
                <c:pt idx="17">
                  <c:v>24.499363769096274</c:v>
                </c:pt>
                <c:pt idx="18">
                  <c:v>27.33973916988321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368704"/>
        <c:axId val="141383168"/>
      </c:scatterChart>
      <c:valAx>
        <c:axId val="141368704"/>
        <c:scaling>
          <c:logBase val="10"/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Frequency (Hz)</a:t>
                </a:r>
              </a:p>
            </c:rich>
          </c:tx>
          <c:layout/>
          <c:overlay val="0"/>
        </c:title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141383168"/>
        <c:crosses val="autoZero"/>
        <c:crossBetween val="midCat"/>
      </c:valAx>
      <c:valAx>
        <c:axId val="141383168"/>
        <c:scaling>
          <c:logBase val="10"/>
          <c:orientation val="minMax"/>
          <c:min val="7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en-US" sz="1400"/>
                  <a:t>Storage Modulus, E'</a:t>
                </a:r>
                <a:r>
                  <a:rPr lang="en-US" sz="1400" baseline="0"/>
                  <a:t> </a:t>
                </a:r>
                <a:r>
                  <a:rPr lang="en-US" sz="1400"/>
                  <a:t> (Mpa)</a:t>
                </a:r>
              </a:p>
            </c:rich>
          </c:tx>
          <c:layout/>
          <c:overlay val="0"/>
        </c:title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141368704"/>
        <c:crossesAt val="1.0000000000000002E-2"/>
        <c:crossBetween val="midCat"/>
      </c:valAx>
    </c:plotArea>
    <c:legend>
      <c:legendPos val="r"/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legendEntry>
        <c:idx val="13"/>
        <c:delete val="1"/>
      </c:legendEntry>
      <c:legendEntry>
        <c:idx val="14"/>
        <c:delete val="1"/>
      </c:legendEntry>
      <c:legendEntry>
        <c:idx val="15"/>
        <c:delete val="1"/>
      </c:legendEntry>
      <c:legendEntry>
        <c:idx val="16"/>
        <c:delete val="1"/>
      </c:legendEntry>
      <c:legendEntry>
        <c:idx val="17"/>
        <c:delete val="1"/>
      </c:legendEntry>
      <c:layout/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Loss Modulus</a:t>
            </a:r>
          </a:p>
        </c:rich>
      </c:tx>
      <c:layout>
        <c:manualLayout>
          <c:xMode val="edge"/>
          <c:yMode val="edge"/>
          <c:x val="0.41879629629629628"/>
          <c:y val="6.2861869313482213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2587553094850831"/>
          <c:y val="2.315246888278881E-2"/>
          <c:w val="0.72020559930008754"/>
          <c:h val="0.81986319891831716"/>
        </c:manualLayout>
      </c:layout>
      <c:scatterChart>
        <c:scatterStyle val="lineMarker"/>
        <c:varyColors val="0"/>
        <c:ser>
          <c:idx val="0"/>
          <c:order val="0"/>
          <c:tx>
            <c:v>60 C</c:v>
          </c:tx>
          <c:spPr>
            <a:ln w="28575">
              <a:noFill/>
            </a:ln>
          </c:spPr>
          <c:marker>
            <c:symbol val="diamond"/>
            <c:size val="4"/>
          </c:marker>
          <c:xVal>
            <c:numRef>
              <c:f>'Processed Data'!$A$5:$A$23</c:f>
              <c:numCache>
                <c:formatCode>0.00</c:formatCode>
                <c:ptCount val="19"/>
                <c:pt idx="0">
                  <c:v>0.1</c:v>
                </c:pt>
                <c:pt idx="1">
                  <c:v>0.15</c:v>
                </c:pt>
                <c:pt idx="2">
                  <c:v>0.22</c:v>
                </c:pt>
                <c:pt idx="3">
                  <c:v>0.32</c:v>
                </c:pt>
                <c:pt idx="4">
                  <c:v>0.46</c:v>
                </c:pt>
                <c:pt idx="5">
                  <c:v>0.68</c:v>
                </c:pt>
                <c:pt idx="6">
                  <c:v>1</c:v>
                </c:pt>
                <c:pt idx="7">
                  <c:v>1.5</c:v>
                </c:pt>
                <c:pt idx="8">
                  <c:v>2.2000000000000002</c:v>
                </c:pt>
                <c:pt idx="9">
                  <c:v>3.2</c:v>
                </c:pt>
                <c:pt idx="10">
                  <c:v>4.5999999999999996</c:v>
                </c:pt>
                <c:pt idx="11">
                  <c:v>6.8</c:v>
                </c:pt>
                <c:pt idx="12">
                  <c:v>10</c:v>
                </c:pt>
                <c:pt idx="13">
                  <c:v>14.6</c:v>
                </c:pt>
                <c:pt idx="14">
                  <c:v>21.5</c:v>
                </c:pt>
                <c:pt idx="15">
                  <c:v>31.6</c:v>
                </c:pt>
                <c:pt idx="16">
                  <c:v>46.4</c:v>
                </c:pt>
                <c:pt idx="17">
                  <c:v>68</c:v>
                </c:pt>
                <c:pt idx="18">
                  <c:v>100</c:v>
                </c:pt>
              </c:numCache>
            </c:numRef>
          </c:xVal>
          <c:yVal>
            <c:numRef>
              <c:f>'Processed Data'!$D$5:$D$23</c:f>
              <c:numCache>
                <c:formatCode>0.000</c:formatCode>
                <c:ptCount val="19"/>
                <c:pt idx="0">
                  <c:v>165.08750000000001</c:v>
                </c:pt>
                <c:pt idx="1">
                  <c:v>156.98939999999999</c:v>
                </c:pt>
                <c:pt idx="2">
                  <c:v>150.10900000000001</c:v>
                </c:pt>
                <c:pt idx="3">
                  <c:v>144.10390000000001</c:v>
                </c:pt>
                <c:pt idx="4">
                  <c:v>139.5181</c:v>
                </c:pt>
                <c:pt idx="5">
                  <c:v>135.33320000000001</c:v>
                </c:pt>
                <c:pt idx="6">
                  <c:v>132.15129999999999</c:v>
                </c:pt>
                <c:pt idx="7">
                  <c:v>129.7192</c:v>
                </c:pt>
                <c:pt idx="8">
                  <c:v>127.6752</c:v>
                </c:pt>
                <c:pt idx="9">
                  <c:v>126.1464</c:v>
                </c:pt>
                <c:pt idx="10">
                  <c:v>125.2085</c:v>
                </c:pt>
                <c:pt idx="11">
                  <c:v>124.25830000000001</c:v>
                </c:pt>
                <c:pt idx="12">
                  <c:v>123.883</c:v>
                </c:pt>
                <c:pt idx="13">
                  <c:v>124.0275</c:v>
                </c:pt>
                <c:pt idx="14">
                  <c:v>124.8627</c:v>
                </c:pt>
                <c:pt idx="15">
                  <c:v>125.6211</c:v>
                </c:pt>
                <c:pt idx="16">
                  <c:v>124.6859</c:v>
                </c:pt>
                <c:pt idx="17">
                  <c:v>125.4066</c:v>
                </c:pt>
                <c:pt idx="18">
                  <c:v>128.73769999999999</c:v>
                </c:pt>
              </c:numCache>
            </c:numRef>
          </c:yVal>
          <c:smooth val="0"/>
        </c:ser>
        <c:ser>
          <c:idx val="1"/>
          <c:order val="1"/>
          <c:tx>
            <c:v>65 C</c:v>
          </c:tx>
          <c:spPr>
            <a:ln w="28575">
              <a:noFill/>
            </a:ln>
          </c:spPr>
          <c:marker>
            <c:symbol val="square"/>
            <c:size val="4"/>
          </c:marker>
          <c:xVal>
            <c:numRef>
              <c:f>'Processed Data'!$A$5:$A$23</c:f>
              <c:numCache>
                <c:formatCode>0.00</c:formatCode>
                <c:ptCount val="19"/>
                <c:pt idx="0">
                  <c:v>0.1</c:v>
                </c:pt>
                <c:pt idx="1">
                  <c:v>0.15</c:v>
                </c:pt>
                <c:pt idx="2">
                  <c:v>0.22</c:v>
                </c:pt>
                <c:pt idx="3">
                  <c:v>0.32</c:v>
                </c:pt>
                <c:pt idx="4">
                  <c:v>0.46</c:v>
                </c:pt>
                <c:pt idx="5">
                  <c:v>0.68</c:v>
                </c:pt>
                <c:pt idx="6">
                  <c:v>1</c:v>
                </c:pt>
                <c:pt idx="7">
                  <c:v>1.5</c:v>
                </c:pt>
                <c:pt idx="8">
                  <c:v>2.2000000000000002</c:v>
                </c:pt>
                <c:pt idx="9">
                  <c:v>3.2</c:v>
                </c:pt>
                <c:pt idx="10">
                  <c:v>4.5999999999999996</c:v>
                </c:pt>
                <c:pt idx="11">
                  <c:v>6.8</c:v>
                </c:pt>
                <c:pt idx="12">
                  <c:v>10</c:v>
                </c:pt>
                <c:pt idx="13">
                  <c:v>14.6</c:v>
                </c:pt>
                <c:pt idx="14">
                  <c:v>21.5</c:v>
                </c:pt>
                <c:pt idx="15">
                  <c:v>31.6</c:v>
                </c:pt>
                <c:pt idx="16">
                  <c:v>46.4</c:v>
                </c:pt>
                <c:pt idx="17">
                  <c:v>68</c:v>
                </c:pt>
                <c:pt idx="18">
                  <c:v>100</c:v>
                </c:pt>
              </c:numCache>
            </c:numRef>
          </c:xVal>
          <c:yVal>
            <c:numRef>
              <c:f>'Processed Data'!$G$5:$G$23</c:f>
              <c:numCache>
                <c:formatCode>0.000</c:formatCode>
                <c:ptCount val="19"/>
                <c:pt idx="0">
                  <c:v>219.5368</c:v>
                </c:pt>
                <c:pt idx="1">
                  <c:v>214.2122</c:v>
                </c:pt>
                <c:pt idx="2">
                  <c:v>208.65209999999999</c:v>
                </c:pt>
                <c:pt idx="3">
                  <c:v>203.24809999999999</c:v>
                </c:pt>
                <c:pt idx="4">
                  <c:v>198.69669999999999</c:v>
                </c:pt>
                <c:pt idx="5">
                  <c:v>193.91489999999999</c:v>
                </c:pt>
                <c:pt idx="6">
                  <c:v>189.76089999999999</c:v>
                </c:pt>
                <c:pt idx="7">
                  <c:v>186.58260000000001</c:v>
                </c:pt>
                <c:pt idx="8">
                  <c:v>183.15180000000001</c:v>
                </c:pt>
                <c:pt idx="9">
                  <c:v>179.56540000000001</c:v>
                </c:pt>
                <c:pt idx="10">
                  <c:v>177.8973</c:v>
                </c:pt>
                <c:pt idx="11">
                  <c:v>175.7621</c:v>
                </c:pt>
                <c:pt idx="12">
                  <c:v>174.24879999999999</c:v>
                </c:pt>
                <c:pt idx="13">
                  <c:v>172.90360000000001</c:v>
                </c:pt>
                <c:pt idx="14">
                  <c:v>172.41560000000001</c:v>
                </c:pt>
                <c:pt idx="15">
                  <c:v>171.94540000000001</c:v>
                </c:pt>
                <c:pt idx="16">
                  <c:v>170.9248</c:v>
                </c:pt>
                <c:pt idx="17">
                  <c:v>169.36510000000001</c:v>
                </c:pt>
                <c:pt idx="18">
                  <c:v>171.3306</c:v>
                </c:pt>
              </c:numCache>
            </c:numRef>
          </c:yVal>
          <c:smooth val="0"/>
        </c:ser>
        <c:ser>
          <c:idx val="2"/>
          <c:order val="2"/>
          <c:tx>
            <c:v>70 C</c:v>
          </c:tx>
          <c:spPr>
            <a:ln w="28575">
              <a:noFill/>
            </a:ln>
          </c:spPr>
          <c:marker>
            <c:symbol val="diamond"/>
            <c:size val="4"/>
          </c:marker>
          <c:xVal>
            <c:numRef>
              <c:f>'Processed Data'!$A$5:$A$23</c:f>
              <c:numCache>
                <c:formatCode>0.00</c:formatCode>
                <c:ptCount val="19"/>
                <c:pt idx="0">
                  <c:v>0.1</c:v>
                </c:pt>
                <c:pt idx="1">
                  <c:v>0.15</c:v>
                </c:pt>
                <c:pt idx="2">
                  <c:v>0.22</c:v>
                </c:pt>
                <c:pt idx="3">
                  <c:v>0.32</c:v>
                </c:pt>
                <c:pt idx="4">
                  <c:v>0.46</c:v>
                </c:pt>
                <c:pt idx="5">
                  <c:v>0.68</c:v>
                </c:pt>
                <c:pt idx="6">
                  <c:v>1</c:v>
                </c:pt>
                <c:pt idx="7">
                  <c:v>1.5</c:v>
                </c:pt>
                <c:pt idx="8">
                  <c:v>2.2000000000000002</c:v>
                </c:pt>
                <c:pt idx="9">
                  <c:v>3.2</c:v>
                </c:pt>
                <c:pt idx="10">
                  <c:v>4.5999999999999996</c:v>
                </c:pt>
                <c:pt idx="11">
                  <c:v>6.8</c:v>
                </c:pt>
                <c:pt idx="12">
                  <c:v>10</c:v>
                </c:pt>
                <c:pt idx="13">
                  <c:v>14.6</c:v>
                </c:pt>
                <c:pt idx="14">
                  <c:v>21.5</c:v>
                </c:pt>
                <c:pt idx="15">
                  <c:v>31.6</c:v>
                </c:pt>
                <c:pt idx="16">
                  <c:v>46.4</c:v>
                </c:pt>
                <c:pt idx="17">
                  <c:v>68</c:v>
                </c:pt>
                <c:pt idx="18">
                  <c:v>100</c:v>
                </c:pt>
              </c:numCache>
            </c:numRef>
          </c:xVal>
          <c:yVal>
            <c:numRef>
              <c:f>'Processed Data'!$J$5:$J$23</c:f>
              <c:numCache>
                <c:formatCode>0.000</c:formatCode>
                <c:ptCount val="19"/>
                <c:pt idx="0">
                  <c:v>200.56100000000001</c:v>
                </c:pt>
                <c:pt idx="1">
                  <c:v>194.85659999999999</c:v>
                </c:pt>
                <c:pt idx="2">
                  <c:v>195.88669999999999</c:v>
                </c:pt>
                <c:pt idx="3">
                  <c:v>198.8818</c:v>
                </c:pt>
                <c:pt idx="4">
                  <c:v>201.3202</c:v>
                </c:pt>
                <c:pt idx="5">
                  <c:v>203.14150000000001</c:v>
                </c:pt>
                <c:pt idx="6">
                  <c:v>204.6474</c:v>
                </c:pt>
                <c:pt idx="7">
                  <c:v>205.49760000000001</c:v>
                </c:pt>
                <c:pt idx="8">
                  <c:v>205.53380000000001</c:v>
                </c:pt>
                <c:pt idx="9">
                  <c:v>205.13499999999999</c:v>
                </c:pt>
                <c:pt idx="10">
                  <c:v>204.43870000000001</c:v>
                </c:pt>
                <c:pt idx="11">
                  <c:v>203.3218</c:v>
                </c:pt>
                <c:pt idx="12">
                  <c:v>202.2379</c:v>
                </c:pt>
                <c:pt idx="13">
                  <c:v>201.18299999999999</c:v>
                </c:pt>
                <c:pt idx="14">
                  <c:v>200.12530000000001</c:v>
                </c:pt>
                <c:pt idx="15">
                  <c:v>199.3049</c:v>
                </c:pt>
                <c:pt idx="16">
                  <c:v>197.4299</c:v>
                </c:pt>
                <c:pt idx="17">
                  <c:v>195.29759999999999</c:v>
                </c:pt>
                <c:pt idx="18">
                  <c:v>195.6062</c:v>
                </c:pt>
              </c:numCache>
            </c:numRef>
          </c:yVal>
          <c:smooth val="0"/>
        </c:ser>
        <c:ser>
          <c:idx val="3"/>
          <c:order val="3"/>
          <c:tx>
            <c:v>75 C</c:v>
          </c:tx>
          <c:spPr>
            <a:ln w="28575">
              <a:noFill/>
            </a:ln>
          </c:spPr>
          <c:marker>
            <c:symbol val="diamond"/>
            <c:size val="4"/>
          </c:marker>
          <c:xVal>
            <c:numRef>
              <c:f>'Processed Data'!$A$5:$A$23</c:f>
              <c:numCache>
                <c:formatCode>0.00</c:formatCode>
                <c:ptCount val="19"/>
                <c:pt idx="0">
                  <c:v>0.1</c:v>
                </c:pt>
                <c:pt idx="1">
                  <c:v>0.15</c:v>
                </c:pt>
                <c:pt idx="2">
                  <c:v>0.22</c:v>
                </c:pt>
                <c:pt idx="3">
                  <c:v>0.32</c:v>
                </c:pt>
                <c:pt idx="4">
                  <c:v>0.46</c:v>
                </c:pt>
                <c:pt idx="5">
                  <c:v>0.68</c:v>
                </c:pt>
                <c:pt idx="6">
                  <c:v>1</c:v>
                </c:pt>
                <c:pt idx="7">
                  <c:v>1.5</c:v>
                </c:pt>
                <c:pt idx="8">
                  <c:v>2.2000000000000002</c:v>
                </c:pt>
                <c:pt idx="9">
                  <c:v>3.2</c:v>
                </c:pt>
                <c:pt idx="10">
                  <c:v>4.5999999999999996</c:v>
                </c:pt>
                <c:pt idx="11">
                  <c:v>6.8</c:v>
                </c:pt>
                <c:pt idx="12">
                  <c:v>10</c:v>
                </c:pt>
                <c:pt idx="13">
                  <c:v>14.6</c:v>
                </c:pt>
                <c:pt idx="14">
                  <c:v>21.5</c:v>
                </c:pt>
                <c:pt idx="15">
                  <c:v>31.6</c:v>
                </c:pt>
                <c:pt idx="16">
                  <c:v>46.4</c:v>
                </c:pt>
                <c:pt idx="17">
                  <c:v>68</c:v>
                </c:pt>
                <c:pt idx="18">
                  <c:v>100</c:v>
                </c:pt>
              </c:numCache>
            </c:numRef>
          </c:xVal>
          <c:yVal>
            <c:numRef>
              <c:f>'Processed Data'!$M$5:$M$23</c:f>
              <c:numCache>
                <c:formatCode>0.000</c:formatCode>
                <c:ptCount val="19"/>
                <c:pt idx="0">
                  <c:v>77.794880000000006</c:v>
                </c:pt>
                <c:pt idx="1">
                  <c:v>88.576490000000007</c:v>
                </c:pt>
                <c:pt idx="2">
                  <c:v>99.651840000000007</c:v>
                </c:pt>
                <c:pt idx="3">
                  <c:v>112.31480000000001</c:v>
                </c:pt>
                <c:pt idx="4">
                  <c:v>124.90009999999999</c:v>
                </c:pt>
                <c:pt idx="5">
                  <c:v>137.9513</c:v>
                </c:pt>
                <c:pt idx="6">
                  <c:v>149.97290000000001</c:v>
                </c:pt>
                <c:pt idx="7">
                  <c:v>162.28559999999999</c:v>
                </c:pt>
                <c:pt idx="8">
                  <c:v>172.8466</c:v>
                </c:pt>
                <c:pt idx="9">
                  <c:v>182.34350000000001</c:v>
                </c:pt>
                <c:pt idx="10">
                  <c:v>190.55709999999999</c:v>
                </c:pt>
                <c:pt idx="11">
                  <c:v>198.3502</c:v>
                </c:pt>
                <c:pt idx="12">
                  <c:v>205.17660000000001</c:v>
                </c:pt>
                <c:pt idx="13">
                  <c:v>210.61160000000001</c:v>
                </c:pt>
                <c:pt idx="14">
                  <c:v>215.63839999999999</c:v>
                </c:pt>
                <c:pt idx="15">
                  <c:v>219.5342</c:v>
                </c:pt>
                <c:pt idx="16">
                  <c:v>220.78319999999999</c:v>
                </c:pt>
                <c:pt idx="17">
                  <c:v>222.10560000000001</c:v>
                </c:pt>
                <c:pt idx="18">
                  <c:v>224.6848</c:v>
                </c:pt>
              </c:numCache>
            </c:numRef>
          </c:yVal>
          <c:smooth val="0"/>
        </c:ser>
        <c:ser>
          <c:idx val="4"/>
          <c:order val="4"/>
          <c:tx>
            <c:v>80 C</c:v>
          </c:tx>
          <c:spPr>
            <a:ln w="28575">
              <a:noFill/>
            </a:ln>
          </c:spPr>
          <c:marker>
            <c:symbol val="square"/>
            <c:size val="4"/>
          </c:marker>
          <c:xVal>
            <c:numRef>
              <c:f>'Processed Data'!$A$5:$A$23</c:f>
              <c:numCache>
                <c:formatCode>0.00</c:formatCode>
                <c:ptCount val="19"/>
                <c:pt idx="0">
                  <c:v>0.1</c:v>
                </c:pt>
                <c:pt idx="1">
                  <c:v>0.15</c:v>
                </c:pt>
                <c:pt idx="2">
                  <c:v>0.22</c:v>
                </c:pt>
                <c:pt idx="3">
                  <c:v>0.32</c:v>
                </c:pt>
                <c:pt idx="4">
                  <c:v>0.46</c:v>
                </c:pt>
                <c:pt idx="5">
                  <c:v>0.68</c:v>
                </c:pt>
                <c:pt idx="6">
                  <c:v>1</c:v>
                </c:pt>
                <c:pt idx="7">
                  <c:v>1.5</c:v>
                </c:pt>
                <c:pt idx="8">
                  <c:v>2.2000000000000002</c:v>
                </c:pt>
                <c:pt idx="9">
                  <c:v>3.2</c:v>
                </c:pt>
                <c:pt idx="10">
                  <c:v>4.5999999999999996</c:v>
                </c:pt>
                <c:pt idx="11">
                  <c:v>6.8</c:v>
                </c:pt>
                <c:pt idx="12">
                  <c:v>10</c:v>
                </c:pt>
                <c:pt idx="13">
                  <c:v>14.6</c:v>
                </c:pt>
                <c:pt idx="14">
                  <c:v>21.5</c:v>
                </c:pt>
                <c:pt idx="15">
                  <c:v>31.6</c:v>
                </c:pt>
                <c:pt idx="16">
                  <c:v>46.4</c:v>
                </c:pt>
                <c:pt idx="17">
                  <c:v>68</c:v>
                </c:pt>
                <c:pt idx="18">
                  <c:v>100</c:v>
                </c:pt>
              </c:numCache>
            </c:numRef>
          </c:xVal>
          <c:yVal>
            <c:numRef>
              <c:f>'Processed Data'!$P$5:$P$23</c:f>
              <c:numCache>
                <c:formatCode>0.000</c:formatCode>
                <c:ptCount val="19"/>
                <c:pt idx="0">
                  <c:v>19.190460000000002</c:v>
                </c:pt>
                <c:pt idx="1">
                  <c:v>22.786760000000001</c:v>
                </c:pt>
                <c:pt idx="2">
                  <c:v>27.979320000000001</c:v>
                </c:pt>
                <c:pt idx="3">
                  <c:v>34.702199999999998</c:v>
                </c:pt>
                <c:pt idx="4">
                  <c:v>42.382539999999999</c:v>
                </c:pt>
                <c:pt idx="5">
                  <c:v>51.809249999999999</c:v>
                </c:pt>
                <c:pt idx="6">
                  <c:v>61.88288</c:v>
                </c:pt>
                <c:pt idx="7">
                  <c:v>73.680109999999999</c:v>
                </c:pt>
                <c:pt idx="8">
                  <c:v>85.75788</c:v>
                </c:pt>
                <c:pt idx="9">
                  <c:v>98.420450000000002</c:v>
                </c:pt>
                <c:pt idx="10">
                  <c:v>111.2137</c:v>
                </c:pt>
                <c:pt idx="11">
                  <c:v>125.3484</c:v>
                </c:pt>
                <c:pt idx="12">
                  <c:v>139.40629999999999</c:v>
                </c:pt>
                <c:pt idx="13">
                  <c:v>153.0369</c:v>
                </c:pt>
                <c:pt idx="14">
                  <c:v>166.86959999999999</c:v>
                </c:pt>
                <c:pt idx="15">
                  <c:v>179.84540000000001</c:v>
                </c:pt>
                <c:pt idx="16">
                  <c:v>190.33090000000001</c:v>
                </c:pt>
                <c:pt idx="17">
                  <c:v>200.553</c:v>
                </c:pt>
                <c:pt idx="18">
                  <c:v>211.7791</c:v>
                </c:pt>
              </c:numCache>
            </c:numRef>
          </c:yVal>
          <c:smooth val="0"/>
        </c:ser>
        <c:ser>
          <c:idx val="5"/>
          <c:order val="5"/>
          <c:tx>
            <c:v>85 C</c:v>
          </c:tx>
          <c:spPr>
            <a:ln w="28575">
              <a:noFill/>
            </a:ln>
          </c:spPr>
          <c:marker>
            <c:symbol val="circle"/>
            <c:size val="4"/>
          </c:marker>
          <c:xVal>
            <c:numRef>
              <c:f>'Processed Data'!$A$5:$A$23</c:f>
              <c:numCache>
                <c:formatCode>0.00</c:formatCode>
                <c:ptCount val="19"/>
                <c:pt idx="0">
                  <c:v>0.1</c:v>
                </c:pt>
                <c:pt idx="1">
                  <c:v>0.15</c:v>
                </c:pt>
                <c:pt idx="2">
                  <c:v>0.22</c:v>
                </c:pt>
                <c:pt idx="3">
                  <c:v>0.32</c:v>
                </c:pt>
                <c:pt idx="4">
                  <c:v>0.46</c:v>
                </c:pt>
                <c:pt idx="5">
                  <c:v>0.68</c:v>
                </c:pt>
                <c:pt idx="6">
                  <c:v>1</c:v>
                </c:pt>
                <c:pt idx="7">
                  <c:v>1.5</c:v>
                </c:pt>
                <c:pt idx="8">
                  <c:v>2.2000000000000002</c:v>
                </c:pt>
                <c:pt idx="9">
                  <c:v>3.2</c:v>
                </c:pt>
                <c:pt idx="10">
                  <c:v>4.5999999999999996</c:v>
                </c:pt>
                <c:pt idx="11">
                  <c:v>6.8</c:v>
                </c:pt>
                <c:pt idx="12">
                  <c:v>10</c:v>
                </c:pt>
                <c:pt idx="13">
                  <c:v>14.6</c:v>
                </c:pt>
                <c:pt idx="14">
                  <c:v>21.5</c:v>
                </c:pt>
                <c:pt idx="15">
                  <c:v>31.6</c:v>
                </c:pt>
                <c:pt idx="16">
                  <c:v>46.4</c:v>
                </c:pt>
                <c:pt idx="17">
                  <c:v>68</c:v>
                </c:pt>
                <c:pt idx="18">
                  <c:v>100</c:v>
                </c:pt>
              </c:numCache>
            </c:numRef>
          </c:xVal>
          <c:yVal>
            <c:numRef>
              <c:f>'Processed Data'!$S$5:$S$23</c:f>
              <c:numCache>
                <c:formatCode>0.000</c:formatCode>
                <c:ptCount val="19"/>
                <c:pt idx="0">
                  <c:v>5.8354929999999996</c:v>
                </c:pt>
                <c:pt idx="1">
                  <c:v>6.9912520000000002</c:v>
                </c:pt>
                <c:pt idx="2">
                  <c:v>8.4394159999999996</c:v>
                </c:pt>
                <c:pt idx="3">
                  <c:v>10.434699999999999</c:v>
                </c:pt>
                <c:pt idx="4">
                  <c:v>12.89852</c:v>
                </c:pt>
                <c:pt idx="5">
                  <c:v>16.191189999999999</c:v>
                </c:pt>
                <c:pt idx="6">
                  <c:v>20.04044</c:v>
                </c:pt>
                <c:pt idx="7">
                  <c:v>25.031140000000001</c:v>
                </c:pt>
                <c:pt idx="8">
                  <c:v>30.78668</c:v>
                </c:pt>
                <c:pt idx="9">
                  <c:v>37.539099999999998</c:v>
                </c:pt>
                <c:pt idx="10">
                  <c:v>45.205889999999997</c:v>
                </c:pt>
                <c:pt idx="11">
                  <c:v>60.91469</c:v>
                </c:pt>
                <c:pt idx="12">
                  <c:v>70.977429999999998</c:v>
                </c:pt>
                <c:pt idx="13">
                  <c:v>81.462389999999999</c:v>
                </c:pt>
                <c:pt idx="14">
                  <c:v>94.334119999999999</c:v>
                </c:pt>
                <c:pt idx="15">
                  <c:v>107.71680000000001</c:v>
                </c:pt>
                <c:pt idx="16">
                  <c:v>120.6722</c:v>
                </c:pt>
                <c:pt idx="17">
                  <c:v>135.83459999999999</c:v>
                </c:pt>
                <c:pt idx="18">
                  <c:v>152.72120000000001</c:v>
                </c:pt>
              </c:numCache>
            </c:numRef>
          </c:yVal>
          <c:smooth val="0"/>
        </c:ser>
        <c:ser>
          <c:idx val="6"/>
          <c:order val="6"/>
          <c:tx>
            <c:v>90 C</c:v>
          </c:tx>
          <c:spPr>
            <a:ln w="28575">
              <a:noFill/>
            </a:ln>
          </c:spPr>
          <c:marker>
            <c:symbol val="diamond"/>
            <c:size val="4"/>
          </c:marker>
          <c:xVal>
            <c:numRef>
              <c:f>'Processed Data'!$A$5:$A$23</c:f>
              <c:numCache>
                <c:formatCode>0.00</c:formatCode>
                <c:ptCount val="19"/>
                <c:pt idx="0">
                  <c:v>0.1</c:v>
                </c:pt>
                <c:pt idx="1">
                  <c:v>0.15</c:v>
                </c:pt>
                <c:pt idx="2">
                  <c:v>0.22</c:v>
                </c:pt>
                <c:pt idx="3">
                  <c:v>0.32</c:v>
                </c:pt>
                <c:pt idx="4">
                  <c:v>0.46</c:v>
                </c:pt>
                <c:pt idx="5">
                  <c:v>0.68</c:v>
                </c:pt>
                <c:pt idx="6">
                  <c:v>1</c:v>
                </c:pt>
                <c:pt idx="7">
                  <c:v>1.5</c:v>
                </c:pt>
                <c:pt idx="8">
                  <c:v>2.2000000000000002</c:v>
                </c:pt>
                <c:pt idx="9">
                  <c:v>3.2</c:v>
                </c:pt>
                <c:pt idx="10">
                  <c:v>4.5999999999999996</c:v>
                </c:pt>
                <c:pt idx="11">
                  <c:v>6.8</c:v>
                </c:pt>
                <c:pt idx="12">
                  <c:v>10</c:v>
                </c:pt>
                <c:pt idx="13">
                  <c:v>14.6</c:v>
                </c:pt>
                <c:pt idx="14">
                  <c:v>21.5</c:v>
                </c:pt>
                <c:pt idx="15">
                  <c:v>31.6</c:v>
                </c:pt>
                <c:pt idx="16">
                  <c:v>46.4</c:v>
                </c:pt>
                <c:pt idx="17">
                  <c:v>68</c:v>
                </c:pt>
                <c:pt idx="18">
                  <c:v>100</c:v>
                </c:pt>
              </c:numCache>
            </c:numRef>
          </c:xVal>
          <c:yVal>
            <c:numRef>
              <c:f>'Processed Data'!$V$5:$V$23</c:f>
              <c:numCache>
                <c:formatCode>0.000</c:formatCode>
                <c:ptCount val="19"/>
                <c:pt idx="0">
                  <c:v>2.7742100000000001</c:v>
                </c:pt>
                <c:pt idx="1">
                  <c:v>3.129928</c:v>
                </c:pt>
                <c:pt idx="2">
                  <c:v>3.5810629999999999</c:v>
                </c:pt>
                <c:pt idx="3">
                  <c:v>4.2150499999999997</c:v>
                </c:pt>
                <c:pt idx="4">
                  <c:v>5.00739</c:v>
                </c:pt>
                <c:pt idx="5">
                  <c:v>6.0963240000000001</c:v>
                </c:pt>
                <c:pt idx="6">
                  <c:v>7.4197389999999999</c:v>
                </c:pt>
                <c:pt idx="7">
                  <c:v>9.1727740000000004</c:v>
                </c:pt>
                <c:pt idx="8">
                  <c:v>11.299189999999999</c:v>
                </c:pt>
                <c:pt idx="9">
                  <c:v>13.912470000000001</c:v>
                </c:pt>
                <c:pt idx="10">
                  <c:v>17.0487</c:v>
                </c:pt>
                <c:pt idx="11">
                  <c:v>21.229299999999999</c:v>
                </c:pt>
                <c:pt idx="12">
                  <c:v>26.311520000000002</c:v>
                </c:pt>
                <c:pt idx="13">
                  <c:v>32.428939999999997</c:v>
                </c:pt>
                <c:pt idx="14">
                  <c:v>40.149410000000003</c:v>
                </c:pt>
                <c:pt idx="15">
                  <c:v>49.295020000000001</c:v>
                </c:pt>
                <c:pt idx="16">
                  <c:v>58.72251</c:v>
                </c:pt>
                <c:pt idx="17">
                  <c:v>70.440939999999998</c:v>
                </c:pt>
                <c:pt idx="18">
                  <c:v>84.691739999999996</c:v>
                </c:pt>
              </c:numCache>
            </c:numRef>
          </c:yVal>
          <c:smooth val="0"/>
        </c:ser>
        <c:ser>
          <c:idx val="7"/>
          <c:order val="7"/>
          <c:tx>
            <c:v>95 C</c:v>
          </c:tx>
          <c:spPr>
            <a:ln w="28575">
              <a:noFill/>
            </a:ln>
          </c:spPr>
          <c:marker>
            <c:symbol val="square"/>
            <c:size val="4"/>
          </c:marker>
          <c:xVal>
            <c:numRef>
              <c:f>'Processed Data'!$A$5:$A$23</c:f>
              <c:numCache>
                <c:formatCode>0.00</c:formatCode>
                <c:ptCount val="19"/>
                <c:pt idx="0">
                  <c:v>0.1</c:v>
                </c:pt>
                <c:pt idx="1">
                  <c:v>0.15</c:v>
                </c:pt>
                <c:pt idx="2">
                  <c:v>0.22</c:v>
                </c:pt>
                <c:pt idx="3">
                  <c:v>0.32</c:v>
                </c:pt>
                <c:pt idx="4">
                  <c:v>0.46</c:v>
                </c:pt>
                <c:pt idx="5">
                  <c:v>0.68</c:v>
                </c:pt>
                <c:pt idx="6">
                  <c:v>1</c:v>
                </c:pt>
                <c:pt idx="7">
                  <c:v>1.5</c:v>
                </c:pt>
                <c:pt idx="8">
                  <c:v>2.2000000000000002</c:v>
                </c:pt>
                <c:pt idx="9">
                  <c:v>3.2</c:v>
                </c:pt>
                <c:pt idx="10">
                  <c:v>4.5999999999999996</c:v>
                </c:pt>
                <c:pt idx="11">
                  <c:v>6.8</c:v>
                </c:pt>
                <c:pt idx="12">
                  <c:v>10</c:v>
                </c:pt>
                <c:pt idx="13">
                  <c:v>14.6</c:v>
                </c:pt>
                <c:pt idx="14">
                  <c:v>21.5</c:v>
                </c:pt>
                <c:pt idx="15">
                  <c:v>31.6</c:v>
                </c:pt>
                <c:pt idx="16">
                  <c:v>46.4</c:v>
                </c:pt>
                <c:pt idx="17">
                  <c:v>68</c:v>
                </c:pt>
                <c:pt idx="18">
                  <c:v>100</c:v>
                </c:pt>
              </c:numCache>
            </c:numRef>
          </c:xVal>
          <c:yVal>
            <c:numRef>
              <c:f>'Processed Data'!$Y$5:$Y$23</c:f>
              <c:numCache>
                <c:formatCode>0.000</c:formatCode>
                <c:ptCount val="19"/>
                <c:pt idx="0">
                  <c:v>1.8038940000000001</c:v>
                </c:pt>
                <c:pt idx="1">
                  <c:v>1.945776</c:v>
                </c:pt>
                <c:pt idx="2">
                  <c:v>2.1154069999999998</c:v>
                </c:pt>
                <c:pt idx="3">
                  <c:v>2.354365</c:v>
                </c:pt>
                <c:pt idx="4">
                  <c:v>2.6566179999999999</c:v>
                </c:pt>
                <c:pt idx="5">
                  <c:v>3.0677319999999999</c:v>
                </c:pt>
                <c:pt idx="6">
                  <c:v>3.5743149999999999</c:v>
                </c:pt>
                <c:pt idx="7">
                  <c:v>4.2398660000000001</c:v>
                </c:pt>
                <c:pt idx="8">
                  <c:v>5.0601560000000001</c:v>
                </c:pt>
                <c:pt idx="9">
                  <c:v>6.0814950000000003</c:v>
                </c:pt>
                <c:pt idx="10">
                  <c:v>7.343286</c:v>
                </c:pt>
                <c:pt idx="11">
                  <c:v>9.065042</c:v>
                </c:pt>
                <c:pt idx="12">
                  <c:v>11.242470000000001</c:v>
                </c:pt>
                <c:pt idx="13">
                  <c:v>13.97002</c:v>
                </c:pt>
                <c:pt idx="14">
                  <c:v>17.68216</c:v>
                </c:pt>
                <c:pt idx="15">
                  <c:v>22.280259999999998</c:v>
                </c:pt>
                <c:pt idx="16">
                  <c:v>26.675319999999999</c:v>
                </c:pt>
                <c:pt idx="17">
                  <c:v>33.07141</c:v>
                </c:pt>
                <c:pt idx="18">
                  <c:v>41.69464</c:v>
                </c:pt>
              </c:numCache>
            </c:numRef>
          </c:yVal>
          <c:smooth val="0"/>
        </c:ser>
        <c:ser>
          <c:idx val="8"/>
          <c:order val="8"/>
          <c:tx>
            <c:v>100 C</c:v>
          </c:tx>
          <c:spPr>
            <a:ln w="28575">
              <a:noFill/>
            </a:ln>
          </c:spPr>
          <c:marker>
            <c:symbol val="square"/>
            <c:size val="4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'Processed Data'!$A$5:$A$23</c:f>
              <c:numCache>
                <c:formatCode>0.00</c:formatCode>
                <c:ptCount val="19"/>
                <c:pt idx="0">
                  <c:v>0.1</c:v>
                </c:pt>
                <c:pt idx="1">
                  <c:v>0.15</c:v>
                </c:pt>
                <c:pt idx="2">
                  <c:v>0.22</c:v>
                </c:pt>
                <c:pt idx="3">
                  <c:v>0.32</c:v>
                </c:pt>
                <c:pt idx="4">
                  <c:v>0.46</c:v>
                </c:pt>
                <c:pt idx="5">
                  <c:v>0.68</c:v>
                </c:pt>
                <c:pt idx="6">
                  <c:v>1</c:v>
                </c:pt>
                <c:pt idx="7">
                  <c:v>1.5</c:v>
                </c:pt>
                <c:pt idx="8">
                  <c:v>2.2000000000000002</c:v>
                </c:pt>
                <c:pt idx="9">
                  <c:v>3.2</c:v>
                </c:pt>
                <c:pt idx="10">
                  <c:v>4.5999999999999996</c:v>
                </c:pt>
                <c:pt idx="11">
                  <c:v>6.8</c:v>
                </c:pt>
                <c:pt idx="12">
                  <c:v>10</c:v>
                </c:pt>
                <c:pt idx="13">
                  <c:v>14.6</c:v>
                </c:pt>
                <c:pt idx="14">
                  <c:v>21.5</c:v>
                </c:pt>
                <c:pt idx="15">
                  <c:v>31.6</c:v>
                </c:pt>
                <c:pt idx="16">
                  <c:v>46.4</c:v>
                </c:pt>
                <c:pt idx="17">
                  <c:v>68</c:v>
                </c:pt>
                <c:pt idx="18">
                  <c:v>100</c:v>
                </c:pt>
              </c:numCache>
            </c:numRef>
          </c:xVal>
          <c:yVal>
            <c:numRef>
              <c:f>'Processed Data'!$AB$5:$AB$23</c:f>
              <c:numCache>
                <c:formatCode>0.000000</c:formatCode>
                <c:ptCount val="19"/>
                <c:pt idx="0">
                  <c:v>1.373254</c:v>
                </c:pt>
                <c:pt idx="1">
                  <c:v>1.4501310000000001</c:v>
                </c:pt>
                <c:pt idx="2">
                  <c:v>1.54061</c:v>
                </c:pt>
                <c:pt idx="3">
                  <c:v>1.6575599999999999</c:v>
                </c:pt>
                <c:pt idx="4">
                  <c:v>1.7984899999999999</c:v>
                </c:pt>
                <c:pt idx="5">
                  <c:v>1.9846079999999999</c:v>
                </c:pt>
                <c:pt idx="6">
                  <c:v>2.202979</c:v>
                </c:pt>
                <c:pt idx="7">
                  <c:v>2.4912339999999999</c:v>
                </c:pt>
                <c:pt idx="8">
                  <c:v>2.8425980000000002</c:v>
                </c:pt>
                <c:pt idx="9">
                  <c:v>3.2802159999999998</c:v>
                </c:pt>
                <c:pt idx="10">
                  <c:v>3.8197380000000001</c:v>
                </c:pt>
                <c:pt idx="11">
                  <c:v>4.5681570000000002</c:v>
                </c:pt>
                <c:pt idx="12">
                  <c:v>5.5310600000000001</c:v>
                </c:pt>
                <c:pt idx="13">
                  <c:v>6.8060790000000004</c:v>
                </c:pt>
                <c:pt idx="14">
                  <c:v>8.6757179999999998</c:v>
                </c:pt>
                <c:pt idx="15">
                  <c:v>11.0222</c:v>
                </c:pt>
                <c:pt idx="16">
                  <c:v>12.69904</c:v>
                </c:pt>
                <c:pt idx="17">
                  <c:v>15.90512</c:v>
                </c:pt>
                <c:pt idx="18">
                  <c:v>20.726479999999999</c:v>
                </c:pt>
              </c:numCache>
            </c:numRef>
          </c:yVal>
          <c:smooth val="0"/>
        </c:ser>
        <c:ser>
          <c:idx val="12"/>
          <c:order val="9"/>
          <c:tx>
            <c:v>75 C Sim</c:v>
          </c:tx>
          <c:spPr>
            <a:ln w="28575">
              <a:solidFill>
                <a:srgbClr val="7030A0"/>
              </a:solidFill>
            </a:ln>
          </c:spPr>
          <c:marker>
            <c:symbol val="none"/>
          </c:marker>
          <c:xVal>
            <c:numRef>
              <c:f>'Sim Results from PSF'!$A$5:$A$23</c:f>
              <c:numCache>
                <c:formatCode>0.00</c:formatCode>
                <c:ptCount val="19"/>
                <c:pt idx="0">
                  <c:v>0.1</c:v>
                </c:pt>
                <c:pt idx="1">
                  <c:v>0.15</c:v>
                </c:pt>
                <c:pt idx="2">
                  <c:v>0.22</c:v>
                </c:pt>
                <c:pt idx="3">
                  <c:v>0.32</c:v>
                </c:pt>
                <c:pt idx="4">
                  <c:v>0.46</c:v>
                </c:pt>
                <c:pt idx="5">
                  <c:v>0.68</c:v>
                </c:pt>
                <c:pt idx="6">
                  <c:v>1</c:v>
                </c:pt>
                <c:pt idx="7">
                  <c:v>1.5</c:v>
                </c:pt>
                <c:pt idx="8">
                  <c:v>2.2000000000000002</c:v>
                </c:pt>
                <c:pt idx="9">
                  <c:v>3.2</c:v>
                </c:pt>
                <c:pt idx="10">
                  <c:v>4.5999999999999996</c:v>
                </c:pt>
                <c:pt idx="11">
                  <c:v>6.8</c:v>
                </c:pt>
                <c:pt idx="12">
                  <c:v>10</c:v>
                </c:pt>
                <c:pt idx="13">
                  <c:v>14.6</c:v>
                </c:pt>
                <c:pt idx="14">
                  <c:v>21.5</c:v>
                </c:pt>
                <c:pt idx="15">
                  <c:v>31.6</c:v>
                </c:pt>
                <c:pt idx="16">
                  <c:v>46.4</c:v>
                </c:pt>
                <c:pt idx="17">
                  <c:v>68</c:v>
                </c:pt>
                <c:pt idx="18">
                  <c:v>100</c:v>
                </c:pt>
              </c:numCache>
            </c:numRef>
          </c:xVal>
          <c:yVal>
            <c:numRef>
              <c:f>'Sim Results from PSF'!$M$5:$M$23</c:f>
              <c:numCache>
                <c:formatCode>0.000</c:formatCode>
                <c:ptCount val="19"/>
                <c:pt idx="0">
                  <c:v>76.742544112389567</c:v>
                </c:pt>
                <c:pt idx="1">
                  <c:v>89.871700186184071</c:v>
                </c:pt>
                <c:pt idx="2">
                  <c:v>98.102154960116721</c:v>
                </c:pt>
                <c:pt idx="3">
                  <c:v>104.95789671307736</c:v>
                </c:pt>
                <c:pt idx="4">
                  <c:v>115.27424276851109</c:v>
                </c:pt>
                <c:pt idx="5">
                  <c:v>133.04973226262555</c:v>
                </c:pt>
                <c:pt idx="6">
                  <c:v>154.17827050117288</c:v>
                </c:pt>
                <c:pt idx="7">
                  <c:v>170.94141693122583</c:v>
                </c:pt>
                <c:pt idx="8">
                  <c:v>175.49744302915209</c:v>
                </c:pt>
                <c:pt idx="9">
                  <c:v>173.73861910332872</c:v>
                </c:pt>
                <c:pt idx="10">
                  <c:v>175.27142549753938</c:v>
                </c:pt>
                <c:pt idx="11">
                  <c:v>186.20530142326854</c:v>
                </c:pt>
                <c:pt idx="12">
                  <c:v>203.14283911183242</c:v>
                </c:pt>
                <c:pt idx="13">
                  <c:v>215.1164699552215</c:v>
                </c:pt>
                <c:pt idx="14">
                  <c:v>214.0501258955689</c:v>
                </c:pt>
                <c:pt idx="15">
                  <c:v>203.89035808276211</c:v>
                </c:pt>
                <c:pt idx="16">
                  <c:v>196.83174927662546</c:v>
                </c:pt>
                <c:pt idx="17">
                  <c:v>200.24137287984138</c:v>
                </c:pt>
                <c:pt idx="18">
                  <c:v>211.63065609772914</c:v>
                </c:pt>
              </c:numCache>
            </c:numRef>
          </c:yVal>
          <c:smooth val="0"/>
        </c:ser>
        <c:ser>
          <c:idx val="13"/>
          <c:order val="10"/>
          <c:tx>
            <c:v>80 C Sim</c:v>
          </c:tx>
          <c:spPr>
            <a:ln w="28575">
              <a:solidFill>
                <a:srgbClr val="0070C0"/>
              </a:solidFill>
            </a:ln>
          </c:spPr>
          <c:marker>
            <c:symbol val="none"/>
          </c:marker>
          <c:xVal>
            <c:numRef>
              <c:f>'Sim Results from PSF'!$A$5:$A$23</c:f>
              <c:numCache>
                <c:formatCode>0.00</c:formatCode>
                <c:ptCount val="19"/>
                <c:pt idx="0">
                  <c:v>0.1</c:v>
                </c:pt>
                <c:pt idx="1">
                  <c:v>0.15</c:v>
                </c:pt>
                <c:pt idx="2">
                  <c:v>0.22</c:v>
                </c:pt>
                <c:pt idx="3">
                  <c:v>0.32</c:v>
                </c:pt>
                <c:pt idx="4">
                  <c:v>0.46</c:v>
                </c:pt>
                <c:pt idx="5">
                  <c:v>0.68</c:v>
                </c:pt>
                <c:pt idx="6">
                  <c:v>1</c:v>
                </c:pt>
                <c:pt idx="7">
                  <c:v>1.5</c:v>
                </c:pt>
                <c:pt idx="8">
                  <c:v>2.2000000000000002</c:v>
                </c:pt>
                <c:pt idx="9">
                  <c:v>3.2</c:v>
                </c:pt>
                <c:pt idx="10">
                  <c:v>4.5999999999999996</c:v>
                </c:pt>
                <c:pt idx="11">
                  <c:v>6.8</c:v>
                </c:pt>
                <c:pt idx="12">
                  <c:v>10</c:v>
                </c:pt>
                <c:pt idx="13">
                  <c:v>14.6</c:v>
                </c:pt>
                <c:pt idx="14">
                  <c:v>21.5</c:v>
                </c:pt>
                <c:pt idx="15">
                  <c:v>31.6</c:v>
                </c:pt>
                <c:pt idx="16">
                  <c:v>46.4</c:v>
                </c:pt>
                <c:pt idx="17">
                  <c:v>68</c:v>
                </c:pt>
                <c:pt idx="18">
                  <c:v>100</c:v>
                </c:pt>
              </c:numCache>
            </c:numRef>
          </c:xVal>
          <c:yVal>
            <c:numRef>
              <c:f>'Sim Results from PSF'!$P$5:$P$23</c:f>
              <c:numCache>
                <c:formatCode>0.000</c:formatCode>
                <c:ptCount val="19"/>
                <c:pt idx="0">
                  <c:v>18.304850025367081</c:v>
                </c:pt>
                <c:pt idx="1">
                  <c:v>23.460952701695092</c:v>
                </c:pt>
                <c:pt idx="2">
                  <c:v>28.752536760257353</c:v>
                </c:pt>
                <c:pt idx="3">
                  <c:v>33.889879580677679</c:v>
                </c:pt>
                <c:pt idx="4">
                  <c:v>39.524560845289109</c:v>
                </c:pt>
                <c:pt idx="5">
                  <c:v>47.975007743346637</c:v>
                </c:pt>
                <c:pt idx="6">
                  <c:v>59.774942891230054</c:v>
                </c:pt>
                <c:pt idx="7">
                  <c:v>74.729202172909012</c:v>
                </c:pt>
                <c:pt idx="8">
                  <c:v>87.722186928144836</c:v>
                </c:pt>
                <c:pt idx="9">
                  <c:v>96.553481607955291</c:v>
                </c:pt>
                <c:pt idx="10">
                  <c:v>103.00135327696573</c:v>
                </c:pt>
                <c:pt idx="11">
                  <c:v>112.86428106317399</c:v>
                </c:pt>
                <c:pt idx="12">
                  <c:v>129.19722606694003</c:v>
                </c:pt>
                <c:pt idx="13">
                  <c:v>149.79928751405623</c:v>
                </c:pt>
                <c:pt idx="14">
                  <c:v>167.86455676051793</c:v>
                </c:pt>
                <c:pt idx="15">
                  <c:v>175.30530956967746</c:v>
                </c:pt>
                <c:pt idx="16">
                  <c:v>174.18313926301127</c:v>
                </c:pt>
                <c:pt idx="17">
                  <c:v>174.39939992143391</c:v>
                </c:pt>
                <c:pt idx="18">
                  <c:v>183.40450604445223</c:v>
                </c:pt>
              </c:numCache>
            </c:numRef>
          </c:yVal>
          <c:smooth val="0"/>
        </c:ser>
        <c:ser>
          <c:idx val="14"/>
          <c:order val="11"/>
          <c:tx>
            <c:v>85 C Sim</c:v>
          </c:tx>
          <c:spPr>
            <a:ln w="28575">
              <a:solidFill>
                <a:schemeClr val="accent6">
                  <a:lumMod val="75000"/>
                </a:schemeClr>
              </a:solidFill>
            </a:ln>
          </c:spPr>
          <c:marker>
            <c:symbol val="none"/>
          </c:marker>
          <c:xVal>
            <c:numRef>
              <c:f>'Sim Results from PSF'!$A$5:$A$23</c:f>
              <c:numCache>
                <c:formatCode>0.00</c:formatCode>
                <c:ptCount val="19"/>
                <c:pt idx="0">
                  <c:v>0.1</c:v>
                </c:pt>
                <c:pt idx="1">
                  <c:v>0.15</c:v>
                </c:pt>
                <c:pt idx="2">
                  <c:v>0.22</c:v>
                </c:pt>
                <c:pt idx="3">
                  <c:v>0.32</c:v>
                </c:pt>
                <c:pt idx="4">
                  <c:v>0.46</c:v>
                </c:pt>
                <c:pt idx="5">
                  <c:v>0.68</c:v>
                </c:pt>
                <c:pt idx="6">
                  <c:v>1</c:v>
                </c:pt>
                <c:pt idx="7">
                  <c:v>1.5</c:v>
                </c:pt>
                <c:pt idx="8">
                  <c:v>2.2000000000000002</c:v>
                </c:pt>
                <c:pt idx="9">
                  <c:v>3.2</c:v>
                </c:pt>
                <c:pt idx="10">
                  <c:v>4.5999999999999996</c:v>
                </c:pt>
                <c:pt idx="11">
                  <c:v>6.8</c:v>
                </c:pt>
                <c:pt idx="12">
                  <c:v>10</c:v>
                </c:pt>
                <c:pt idx="13">
                  <c:v>14.6</c:v>
                </c:pt>
                <c:pt idx="14">
                  <c:v>21.5</c:v>
                </c:pt>
                <c:pt idx="15">
                  <c:v>31.6</c:v>
                </c:pt>
                <c:pt idx="16">
                  <c:v>46.4</c:v>
                </c:pt>
                <c:pt idx="17">
                  <c:v>68</c:v>
                </c:pt>
                <c:pt idx="18">
                  <c:v>100</c:v>
                </c:pt>
              </c:numCache>
            </c:numRef>
          </c:xVal>
          <c:yVal>
            <c:numRef>
              <c:f>'Sim Results from PSF'!$S$5:$S$23</c:f>
              <c:numCache>
                <c:formatCode>0.000</c:formatCode>
                <c:ptCount val="19"/>
                <c:pt idx="0">
                  <c:v>5.8585227607447479</c:v>
                </c:pt>
                <c:pt idx="1">
                  <c:v>7.3836361098683145</c:v>
                </c:pt>
                <c:pt idx="2">
                  <c:v>8.9341367381784398</c:v>
                </c:pt>
                <c:pt idx="3">
                  <c:v>10.494066871164957</c:v>
                </c:pt>
                <c:pt idx="4">
                  <c:v>12.341040216901831</c:v>
                </c:pt>
                <c:pt idx="5">
                  <c:v>15.22730305051336</c:v>
                </c:pt>
                <c:pt idx="6">
                  <c:v>19.296117858890415</c:v>
                </c:pt>
                <c:pt idx="7">
                  <c:v>24.619046456245687</c:v>
                </c:pt>
                <c:pt idx="8">
                  <c:v>29.907268287383665</c:v>
                </c:pt>
                <c:pt idx="9">
                  <c:v>35.091660882136367</c:v>
                </c:pt>
                <c:pt idx="10">
                  <c:v>41.081904343775406</c:v>
                </c:pt>
                <c:pt idx="11">
                  <c:v>50.256606436997011</c:v>
                </c:pt>
                <c:pt idx="12">
                  <c:v>62.763714757660487</c:v>
                </c:pt>
                <c:pt idx="13">
                  <c:v>76.846575131730219</c:v>
                </c:pt>
                <c:pt idx="14">
                  <c:v>89.450785433928473</c:v>
                </c:pt>
                <c:pt idx="15">
                  <c:v>97.863371158741472</c:v>
                </c:pt>
                <c:pt idx="16">
                  <c:v>104.87157032549011</c:v>
                </c:pt>
                <c:pt idx="17">
                  <c:v>115.83828933865168</c:v>
                </c:pt>
                <c:pt idx="18">
                  <c:v>133.58450851544154</c:v>
                </c:pt>
              </c:numCache>
            </c:numRef>
          </c:yVal>
          <c:smooth val="0"/>
        </c:ser>
        <c:ser>
          <c:idx val="9"/>
          <c:order val="12"/>
          <c:tx>
            <c:v>90 C Sim</c:v>
          </c:tx>
          <c:spPr>
            <a:ln w="28575">
              <a:solidFill>
                <a:srgbClr val="0070C0"/>
              </a:solidFill>
            </a:ln>
          </c:spPr>
          <c:marker>
            <c:symbol val="none"/>
          </c:marker>
          <c:xVal>
            <c:numRef>
              <c:f>'Sim Results from PSF'!$A$5:$A$23</c:f>
              <c:numCache>
                <c:formatCode>0.00</c:formatCode>
                <c:ptCount val="19"/>
                <c:pt idx="0">
                  <c:v>0.1</c:v>
                </c:pt>
                <c:pt idx="1">
                  <c:v>0.15</c:v>
                </c:pt>
                <c:pt idx="2">
                  <c:v>0.22</c:v>
                </c:pt>
                <c:pt idx="3">
                  <c:v>0.32</c:v>
                </c:pt>
                <c:pt idx="4">
                  <c:v>0.46</c:v>
                </c:pt>
                <c:pt idx="5">
                  <c:v>0.68</c:v>
                </c:pt>
                <c:pt idx="6">
                  <c:v>1</c:v>
                </c:pt>
                <c:pt idx="7">
                  <c:v>1.5</c:v>
                </c:pt>
                <c:pt idx="8">
                  <c:v>2.2000000000000002</c:v>
                </c:pt>
                <c:pt idx="9">
                  <c:v>3.2</c:v>
                </c:pt>
                <c:pt idx="10">
                  <c:v>4.5999999999999996</c:v>
                </c:pt>
                <c:pt idx="11">
                  <c:v>6.8</c:v>
                </c:pt>
                <c:pt idx="12">
                  <c:v>10</c:v>
                </c:pt>
                <c:pt idx="13">
                  <c:v>14.6</c:v>
                </c:pt>
                <c:pt idx="14">
                  <c:v>21.5</c:v>
                </c:pt>
                <c:pt idx="15">
                  <c:v>31.6</c:v>
                </c:pt>
                <c:pt idx="16">
                  <c:v>46.4</c:v>
                </c:pt>
                <c:pt idx="17">
                  <c:v>68</c:v>
                </c:pt>
                <c:pt idx="18">
                  <c:v>100</c:v>
                </c:pt>
              </c:numCache>
            </c:numRef>
          </c:xVal>
          <c:yVal>
            <c:numRef>
              <c:f>'Sim Results from PSF'!$V$5:$V$23</c:f>
              <c:numCache>
                <c:formatCode>0.000</c:formatCode>
                <c:ptCount val="19"/>
                <c:pt idx="0">
                  <c:v>2.7315238959153865</c:v>
                </c:pt>
                <c:pt idx="1">
                  <c:v>3.1875626389677962</c:v>
                </c:pt>
                <c:pt idx="2">
                  <c:v>3.6125472634579952</c:v>
                </c:pt>
                <c:pt idx="3">
                  <c:v>4.1565835702732539</c:v>
                </c:pt>
                <c:pt idx="4">
                  <c:v>4.9597055200197158</c:v>
                </c:pt>
                <c:pt idx="5">
                  <c:v>6.197289343165191</c:v>
                </c:pt>
                <c:pt idx="6">
                  <c:v>7.6921397676892953</c:v>
                </c:pt>
                <c:pt idx="7">
                  <c:v>9.3366241916264627</c:v>
                </c:pt>
                <c:pt idx="8">
                  <c:v>10.98548640731868</c:v>
                </c:pt>
                <c:pt idx="9">
                  <c:v>13.100577887850859</c:v>
                </c:pt>
                <c:pt idx="10">
                  <c:v>16.078860207780284</c:v>
                </c:pt>
                <c:pt idx="11">
                  <c:v>20.490345479728077</c:v>
                </c:pt>
                <c:pt idx="12">
                  <c:v>25.680952076526847</c:v>
                </c:pt>
                <c:pt idx="13">
                  <c:v>30.890456731005791</c:v>
                </c:pt>
                <c:pt idx="14">
                  <c:v>36.345335688906296</c:v>
                </c:pt>
                <c:pt idx="15">
                  <c:v>43.245279425389029</c:v>
                </c:pt>
                <c:pt idx="16">
                  <c:v>53.184860475777292</c:v>
                </c:pt>
                <c:pt idx="17">
                  <c:v>66.301874579228183</c:v>
                </c:pt>
                <c:pt idx="18">
                  <c:v>80.565410315368069</c:v>
                </c:pt>
              </c:numCache>
            </c:numRef>
          </c:yVal>
          <c:smooth val="0"/>
        </c:ser>
        <c:ser>
          <c:idx val="10"/>
          <c:order val="13"/>
          <c:tx>
            <c:v>95 C Sim</c:v>
          </c:tx>
          <c:spPr>
            <a:ln w="28575">
              <a:solidFill>
                <a:srgbClr val="C00000"/>
              </a:solidFill>
            </a:ln>
          </c:spPr>
          <c:marker>
            <c:symbol val="none"/>
          </c:marker>
          <c:xVal>
            <c:numRef>
              <c:f>'Sim Results from PSF'!$A$5:$A$23</c:f>
              <c:numCache>
                <c:formatCode>0.00</c:formatCode>
                <c:ptCount val="19"/>
                <c:pt idx="0">
                  <c:v>0.1</c:v>
                </c:pt>
                <c:pt idx="1">
                  <c:v>0.15</c:v>
                </c:pt>
                <c:pt idx="2">
                  <c:v>0.22</c:v>
                </c:pt>
                <c:pt idx="3">
                  <c:v>0.32</c:v>
                </c:pt>
                <c:pt idx="4">
                  <c:v>0.46</c:v>
                </c:pt>
                <c:pt idx="5">
                  <c:v>0.68</c:v>
                </c:pt>
                <c:pt idx="6">
                  <c:v>1</c:v>
                </c:pt>
                <c:pt idx="7">
                  <c:v>1.5</c:v>
                </c:pt>
                <c:pt idx="8">
                  <c:v>2.2000000000000002</c:v>
                </c:pt>
                <c:pt idx="9">
                  <c:v>3.2</c:v>
                </c:pt>
                <c:pt idx="10">
                  <c:v>4.5999999999999996</c:v>
                </c:pt>
                <c:pt idx="11">
                  <c:v>6.8</c:v>
                </c:pt>
                <c:pt idx="12">
                  <c:v>10</c:v>
                </c:pt>
                <c:pt idx="13">
                  <c:v>14.6</c:v>
                </c:pt>
                <c:pt idx="14">
                  <c:v>21.5</c:v>
                </c:pt>
                <c:pt idx="15">
                  <c:v>31.6</c:v>
                </c:pt>
                <c:pt idx="16">
                  <c:v>46.4</c:v>
                </c:pt>
                <c:pt idx="17">
                  <c:v>68</c:v>
                </c:pt>
                <c:pt idx="18">
                  <c:v>100</c:v>
                </c:pt>
              </c:numCache>
            </c:numRef>
          </c:xVal>
          <c:yVal>
            <c:numRef>
              <c:f>'Sim Results from PSF'!$Y$5:$Y$23</c:f>
              <c:numCache>
                <c:formatCode>0.000</c:formatCode>
                <c:ptCount val="19"/>
                <c:pt idx="0">
                  <c:v>1.6803170790120916</c:v>
                </c:pt>
                <c:pt idx="1">
                  <c:v>1.7821104366793727</c:v>
                </c:pt>
                <c:pt idx="2">
                  <c:v>1.9922718866508058</c:v>
                </c:pt>
                <c:pt idx="3">
                  <c:v>2.3302657171997194</c:v>
                </c:pt>
                <c:pt idx="4">
                  <c:v>2.7375622649663298</c:v>
                </c:pt>
                <c:pt idx="5">
                  <c:v>3.1773907971090432</c:v>
                </c:pt>
                <c:pt idx="6">
                  <c:v>3.6045072894624415</c:v>
                </c:pt>
                <c:pt idx="7">
                  <c:v>4.2000590859353339</c:v>
                </c:pt>
                <c:pt idx="8">
                  <c:v>5.0804314917319271</c:v>
                </c:pt>
                <c:pt idx="9">
                  <c:v>6.29898597888225</c:v>
                </c:pt>
                <c:pt idx="10">
                  <c:v>7.7132438967322132</c:v>
                </c:pt>
                <c:pt idx="11">
                  <c:v>9.2984642926499408</c:v>
                </c:pt>
                <c:pt idx="12">
                  <c:v>10.953761519061079</c:v>
                </c:pt>
                <c:pt idx="13">
                  <c:v>13.080527844768106</c:v>
                </c:pt>
                <c:pt idx="14">
                  <c:v>16.286454322627169</c:v>
                </c:pt>
                <c:pt idx="15">
                  <c:v>20.686302574904971</c:v>
                </c:pt>
                <c:pt idx="16">
                  <c:v>25.873588128405483</c:v>
                </c:pt>
                <c:pt idx="17">
                  <c:v>31.130870276402383</c:v>
                </c:pt>
                <c:pt idx="18">
                  <c:v>36.594429069947978</c:v>
                </c:pt>
              </c:numCache>
            </c:numRef>
          </c:yVal>
          <c:smooth val="0"/>
        </c:ser>
        <c:ser>
          <c:idx val="11"/>
          <c:order val="14"/>
          <c:tx>
            <c:v>100 C Sim</c:v>
          </c:tx>
          <c:spPr>
            <a:ln w="28575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'Sim Results from PSF'!$A$5:$A$23</c:f>
              <c:numCache>
                <c:formatCode>0.00</c:formatCode>
                <c:ptCount val="19"/>
                <c:pt idx="0">
                  <c:v>0.1</c:v>
                </c:pt>
                <c:pt idx="1">
                  <c:v>0.15</c:v>
                </c:pt>
                <c:pt idx="2">
                  <c:v>0.22</c:v>
                </c:pt>
                <c:pt idx="3">
                  <c:v>0.32</c:v>
                </c:pt>
                <c:pt idx="4">
                  <c:v>0.46</c:v>
                </c:pt>
                <c:pt idx="5">
                  <c:v>0.68</c:v>
                </c:pt>
                <c:pt idx="6">
                  <c:v>1</c:v>
                </c:pt>
                <c:pt idx="7">
                  <c:v>1.5</c:v>
                </c:pt>
                <c:pt idx="8">
                  <c:v>2.2000000000000002</c:v>
                </c:pt>
                <c:pt idx="9">
                  <c:v>3.2</c:v>
                </c:pt>
                <c:pt idx="10">
                  <c:v>4.5999999999999996</c:v>
                </c:pt>
                <c:pt idx="11">
                  <c:v>6.8</c:v>
                </c:pt>
                <c:pt idx="12">
                  <c:v>10</c:v>
                </c:pt>
                <c:pt idx="13">
                  <c:v>14.6</c:v>
                </c:pt>
                <c:pt idx="14">
                  <c:v>21.5</c:v>
                </c:pt>
                <c:pt idx="15">
                  <c:v>31.6</c:v>
                </c:pt>
                <c:pt idx="16">
                  <c:v>46.4</c:v>
                </c:pt>
                <c:pt idx="17">
                  <c:v>68</c:v>
                </c:pt>
                <c:pt idx="18">
                  <c:v>100</c:v>
                </c:pt>
              </c:numCache>
            </c:numRef>
          </c:xVal>
          <c:yVal>
            <c:numRef>
              <c:f>'Sim Results from PSF'!$AB$5:$AB$23</c:f>
              <c:numCache>
                <c:formatCode>0.000000</c:formatCode>
                <c:ptCount val="19"/>
                <c:pt idx="0">
                  <c:v>1.4133431777572878</c:v>
                </c:pt>
                <c:pt idx="1">
                  <c:v>1.4978563630284358</c:v>
                </c:pt>
                <c:pt idx="2">
                  <c:v>1.5934181805406582</c:v>
                </c:pt>
                <c:pt idx="3">
                  <c:v>1.6602144574781406</c:v>
                </c:pt>
                <c:pt idx="4">
                  <c:v>1.7289650251076536</c:v>
                </c:pt>
                <c:pt idx="5">
                  <c:v>1.8869467758932894</c:v>
                </c:pt>
                <c:pt idx="6">
                  <c:v>2.1806647627367761</c:v>
                </c:pt>
                <c:pt idx="7">
                  <c:v>2.61339039299836</c:v>
                </c:pt>
                <c:pt idx="8">
                  <c:v>3.0508288262500529</c:v>
                </c:pt>
                <c:pt idx="9">
                  <c:v>3.4590987745588668</c:v>
                </c:pt>
                <c:pt idx="10">
                  <c:v>3.9195598953390105</c:v>
                </c:pt>
                <c:pt idx="11">
                  <c:v>4.6647139787588152</c:v>
                </c:pt>
                <c:pt idx="12">
                  <c:v>5.7717321279761755</c:v>
                </c:pt>
                <c:pt idx="13">
                  <c:v>7.1736163734530161</c:v>
                </c:pt>
                <c:pt idx="14">
                  <c:v>8.7369210725941073</c:v>
                </c:pt>
                <c:pt idx="15">
                  <c:v>10.326514878290558</c:v>
                </c:pt>
                <c:pt idx="16">
                  <c:v>12.240131011357279</c:v>
                </c:pt>
                <c:pt idx="17">
                  <c:v>15.000553895670691</c:v>
                </c:pt>
                <c:pt idx="18">
                  <c:v>18.988811025043656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534336"/>
        <c:axId val="141536256"/>
      </c:scatterChart>
      <c:valAx>
        <c:axId val="141534336"/>
        <c:scaling>
          <c:logBase val="10"/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Frequency (Hz)</a:t>
                </a:r>
              </a:p>
            </c:rich>
          </c:tx>
          <c:layout/>
          <c:overlay val="0"/>
        </c:title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141536256"/>
        <c:crosses val="autoZero"/>
        <c:crossBetween val="midCat"/>
      </c:valAx>
      <c:valAx>
        <c:axId val="141536256"/>
        <c:scaling>
          <c:logBase val="10"/>
          <c:orientation val="minMax"/>
          <c:max val="1000"/>
          <c:min val="1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en-US" sz="1400"/>
                  <a:t>Loss Modulus, E'' (Mpa)</a:t>
                </a:r>
              </a:p>
            </c:rich>
          </c:tx>
          <c:layout/>
          <c:overlay val="0"/>
        </c:title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141534336"/>
        <c:crossesAt val="0.1"/>
        <c:crossBetween val="midCat"/>
      </c:valAx>
    </c:plotArea>
    <c:legend>
      <c:legendPos val="r"/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legendEntry>
        <c:idx val="13"/>
        <c:delete val="1"/>
      </c:legendEntry>
      <c:legendEntry>
        <c:idx val="14"/>
        <c:delete val="1"/>
      </c:legendEntry>
      <c:layout/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DMA</a:t>
            </a:r>
            <a:r>
              <a:rPr lang="en-US" baseline="0"/>
              <a:t> Raw Test Data, Storage Modulus</a:t>
            </a:r>
            <a:endParaRPr lang="en-US"/>
          </a:p>
        </c:rich>
      </c:tx>
      <c:layout>
        <c:manualLayout>
          <c:xMode val="edge"/>
          <c:yMode val="edge"/>
          <c:x val="0.26811226635344615"/>
          <c:y val="8.8008790715326676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2729905308797726"/>
          <c:y val="3.9090686706491608E-2"/>
          <c:w val="0.75569307289627474"/>
          <c:h val="0.80291366845818068"/>
        </c:manualLayout>
      </c:layout>
      <c:scatterChart>
        <c:scatterStyle val="lineMarker"/>
        <c:varyColors val="0"/>
        <c:ser>
          <c:idx val="0"/>
          <c:order val="0"/>
          <c:tx>
            <c:v>60 C</c:v>
          </c:tx>
          <c:spPr>
            <a:ln w="28575">
              <a:noFill/>
            </a:ln>
          </c:spPr>
          <c:marker>
            <c:symbol val="diamond"/>
            <c:size val="4"/>
          </c:marker>
          <c:xVal>
            <c:numRef>
              <c:f>'Raw Test Data'!$H$3:$H$26</c:f>
              <c:numCache>
                <c:formatCode>0.00</c:formatCode>
                <c:ptCount val="24"/>
                <c:pt idx="0">
                  <c:v>9.9999990000000007E-3</c:v>
                </c:pt>
                <c:pt idx="1">
                  <c:v>0.02</c:v>
                </c:pt>
                <c:pt idx="2">
                  <c:v>0.03</c:v>
                </c:pt>
                <c:pt idx="3">
                  <c:v>0.05</c:v>
                </c:pt>
                <c:pt idx="4">
                  <c:v>7.0000000000000007E-2</c:v>
                </c:pt>
                <c:pt idx="5">
                  <c:v>0.1</c:v>
                </c:pt>
                <c:pt idx="6">
                  <c:v>0.15</c:v>
                </c:pt>
                <c:pt idx="7">
                  <c:v>0.22</c:v>
                </c:pt>
                <c:pt idx="8">
                  <c:v>0.32</c:v>
                </c:pt>
                <c:pt idx="9">
                  <c:v>0.46</c:v>
                </c:pt>
                <c:pt idx="10">
                  <c:v>0.68</c:v>
                </c:pt>
                <c:pt idx="11">
                  <c:v>1</c:v>
                </c:pt>
                <c:pt idx="12">
                  <c:v>1.5</c:v>
                </c:pt>
                <c:pt idx="13">
                  <c:v>2.2000000000000002</c:v>
                </c:pt>
                <c:pt idx="14">
                  <c:v>3.2</c:v>
                </c:pt>
                <c:pt idx="15">
                  <c:v>4.5999999999999996</c:v>
                </c:pt>
                <c:pt idx="16">
                  <c:v>6.8</c:v>
                </c:pt>
                <c:pt idx="17">
                  <c:v>10</c:v>
                </c:pt>
                <c:pt idx="18">
                  <c:v>14.6</c:v>
                </c:pt>
                <c:pt idx="19">
                  <c:v>21.5</c:v>
                </c:pt>
                <c:pt idx="20">
                  <c:v>31.6</c:v>
                </c:pt>
                <c:pt idx="21">
                  <c:v>46.4</c:v>
                </c:pt>
                <c:pt idx="22">
                  <c:v>68</c:v>
                </c:pt>
                <c:pt idx="23">
                  <c:v>100</c:v>
                </c:pt>
              </c:numCache>
            </c:numRef>
          </c:xVal>
          <c:yVal>
            <c:numRef>
              <c:f>'Raw Test Data'!$D$3:$D$26</c:f>
              <c:numCache>
                <c:formatCode>0.0000</c:formatCode>
                <c:ptCount val="24"/>
                <c:pt idx="0">
                  <c:v>1296.5440000000001</c:v>
                </c:pt>
                <c:pt idx="1">
                  <c:v>1411.3869999999999</c:v>
                </c:pt>
                <c:pt idx="2">
                  <c:v>1475.1959999999999</c:v>
                </c:pt>
                <c:pt idx="3">
                  <c:v>1538.9570000000001</c:v>
                </c:pt>
                <c:pt idx="4">
                  <c:v>1585.059</c:v>
                </c:pt>
                <c:pt idx="5">
                  <c:v>1625.829</c:v>
                </c:pt>
                <c:pt idx="6">
                  <c:v>1666.5039999999999</c:v>
                </c:pt>
                <c:pt idx="7">
                  <c:v>1706.336</c:v>
                </c:pt>
                <c:pt idx="8">
                  <c:v>1742.52</c:v>
                </c:pt>
                <c:pt idx="9">
                  <c:v>1776.425</c:v>
                </c:pt>
                <c:pt idx="10">
                  <c:v>1812.4</c:v>
                </c:pt>
                <c:pt idx="11">
                  <c:v>1845.133</c:v>
                </c:pt>
                <c:pt idx="12">
                  <c:v>1877.809</c:v>
                </c:pt>
                <c:pt idx="13">
                  <c:v>1908.6690000000001</c:v>
                </c:pt>
                <c:pt idx="14">
                  <c:v>1938.134</c:v>
                </c:pt>
                <c:pt idx="15">
                  <c:v>1966.98</c:v>
                </c:pt>
                <c:pt idx="16">
                  <c:v>1997.537</c:v>
                </c:pt>
                <c:pt idx="17">
                  <c:v>2027.748</c:v>
                </c:pt>
                <c:pt idx="18">
                  <c:v>2056.576</c:v>
                </c:pt>
                <c:pt idx="19">
                  <c:v>2086.8580000000002</c:v>
                </c:pt>
                <c:pt idx="20">
                  <c:v>2117.4920000000002</c:v>
                </c:pt>
                <c:pt idx="21">
                  <c:v>2145.627</c:v>
                </c:pt>
                <c:pt idx="22">
                  <c:v>2173.4160000000002</c:v>
                </c:pt>
                <c:pt idx="23">
                  <c:v>2180.3760000000002</c:v>
                </c:pt>
              </c:numCache>
            </c:numRef>
          </c:yVal>
          <c:smooth val="0"/>
        </c:ser>
        <c:ser>
          <c:idx val="1"/>
          <c:order val="1"/>
          <c:tx>
            <c:v>65 C</c:v>
          </c:tx>
          <c:spPr>
            <a:ln w="28575">
              <a:noFill/>
            </a:ln>
          </c:spPr>
          <c:marker>
            <c:symbol val="square"/>
            <c:size val="4"/>
          </c:marker>
          <c:xVal>
            <c:numRef>
              <c:f>'Raw Test Data'!$H$28:$H$51</c:f>
              <c:numCache>
                <c:formatCode>0.00</c:formatCode>
                <c:ptCount val="24"/>
                <c:pt idx="0">
                  <c:v>9.9999990000000007E-3</c:v>
                </c:pt>
                <c:pt idx="1">
                  <c:v>0.02</c:v>
                </c:pt>
                <c:pt idx="2">
                  <c:v>0.03</c:v>
                </c:pt>
                <c:pt idx="3">
                  <c:v>0.05</c:v>
                </c:pt>
                <c:pt idx="4">
                  <c:v>7.0000000000000007E-2</c:v>
                </c:pt>
                <c:pt idx="5">
                  <c:v>0.1</c:v>
                </c:pt>
                <c:pt idx="6">
                  <c:v>0.15</c:v>
                </c:pt>
                <c:pt idx="7">
                  <c:v>0.22</c:v>
                </c:pt>
                <c:pt idx="8">
                  <c:v>0.32</c:v>
                </c:pt>
                <c:pt idx="9">
                  <c:v>0.46</c:v>
                </c:pt>
                <c:pt idx="10">
                  <c:v>0.68</c:v>
                </c:pt>
                <c:pt idx="11">
                  <c:v>1</c:v>
                </c:pt>
                <c:pt idx="12">
                  <c:v>1.5</c:v>
                </c:pt>
                <c:pt idx="13">
                  <c:v>2.2000000000000002</c:v>
                </c:pt>
                <c:pt idx="14">
                  <c:v>3.2</c:v>
                </c:pt>
                <c:pt idx="15">
                  <c:v>4.5999999999999996</c:v>
                </c:pt>
                <c:pt idx="16">
                  <c:v>6.8</c:v>
                </c:pt>
                <c:pt idx="17">
                  <c:v>10</c:v>
                </c:pt>
                <c:pt idx="18">
                  <c:v>14.6</c:v>
                </c:pt>
                <c:pt idx="19">
                  <c:v>21.5</c:v>
                </c:pt>
                <c:pt idx="20">
                  <c:v>31.6</c:v>
                </c:pt>
                <c:pt idx="21">
                  <c:v>46.4</c:v>
                </c:pt>
                <c:pt idx="22">
                  <c:v>68</c:v>
                </c:pt>
                <c:pt idx="23">
                  <c:v>100</c:v>
                </c:pt>
              </c:numCache>
            </c:numRef>
          </c:xVal>
          <c:yVal>
            <c:numRef>
              <c:f>'Raw Test Data'!$D$28:$D$51</c:f>
              <c:numCache>
                <c:formatCode>0.0000</c:formatCode>
                <c:ptCount val="24"/>
                <c:pt idx="0">
                  <c:v>691.05809999999997</c:v>
                </c:pt>
                <c:pt idx="1">
                  <c:v>807.14599999999996</c:v>
                </c:pt>
                <c:pt idx="2">
                  <c:v>874.48</c:v>
                </c:pt>
                <c:pt idx="3">
                  <c:v>952.33579999999995</c:v>
                </c:pt>
                <c:pt idx="4">
                  <c:v>1003.414</c:v>
                </c:pt>
                <c:pt idx="5">
                  <c:v>1054.4970000000001</c:v>
                </c:pt>
                <c:pt idx="6">
                  <c:v>1110.02</c:v>
                </c:pt>
                <c:pt idx="7">
                  <c:v>1160.9829999999999</c:v>
                </c:pt>
                <c:pt idx="8">
                  <c:v>1210.2940000000001</c:v>
                </c:pt>
                <c:pt idx="9">
                  <c:v>1256.43</c:v>
                </c:pt>
                <c:pt idx="10">
                  <c:v>1304.481</c:v>
                </c:pt>
                <c:pt idx="11">
                  <c:v>1348.5419999999999</c:v>
                </c:pt>
                <c:pt idx="12">
                  <c:v>1395.328</c:v>
                </c:pt>
                <c:pt idx="13">
                  <c:v>1438.5450000000001</c:v>
                </c:pt>
                <c:pt idx="14">
                  <c:v>1480.018</c:v>
                </c:pt>
                <c:pt idx="15">
                  <c:v>1520.3389999999999</c:v>
                </c:pt>
                <c:pt idx="16">
                  <c:v>1562.296</c:v>
                </c:pt>
                <c:pt idx="17">
                  <c:v>1603.7</c:v>
                </c:pt>
                <c:pt idx="18">
                  <c:v>1643.249</c:v>
                </c:pt>
                <c:pt idx="19">
                  <c:v>1684.2809999999999</c:v>
                </c:pt>
                <c:pt idx="20">
                  <c:v>1724.9110000000001</c:v>
                </c:pt>
                <c:pt idx="21">
                  <c:v>1761.61</c:v>
                </c:pt>
                <c:pt idx="22">
                  <c:v>1801.5840000000001</c:v>
                </c:pt>
                <c:pt idx="23">
                  <c:v>1822.0229999999999</c:v>
                </c:pt>
              </c:numCache>
            </c:numRef>
          </c:yVal>
          <c:smooth val="0"/>
        </c:ser>
        <c:ser>
          <c:idx val="2"/>
          <c:order val="2"/>
          <c:tx>
            <c:v>70 C</c:v>
          </c:tx>
          <c:spPr>
            <a:ln w="28575">
              <a:noFill/>
            </a:ln>
          </c:spPr>
          <c:marker>
            <c:symbol val="diamond"/>
            <c:size val="4"/>
          </c:marker>
          <c:xVal>
            <c:numRef>
              <c:f>'Raw Test Data'!$H$53:$H$71</c:f>
              <c:numCache>
                <c:formatCode>0.00</c:formatCode>
                <c:ptCount val="19"/>
                <c:pt idx="0">
                  <c:v>0.1</c:v>
                </c:pt>
                <c:pt idx="1">
                  <c:v>0.15</c:v>
                </c:pt>
                <c:pt idx="2">
                  <c:v>0.22</c:v>
                </c:pt>
                <c:pt idx="3">
                  <c:v>0.32</c:v>
                </c:pt>
                <c:pt idx="4">
                  <c:v>0.46</c:v>
                </c:pt>
                <c:pt idx="5">
                  <c:v>0.68</c:v>
                </c:pt>
                <c:pt idx="6">
                  <c:v>1</c:v>
                </c:pt>
                <c:pt idx="7">
                  <c:v>1.5</c:v>
                </c:pt>
                <c:pt idx="8">
                  <c:v>2.2000000000000002</c:v>
                </c:pt>
                <c:pt idx="9">
                  <c:v>3.2</c:v>
                </c:pt>
                <c:pt idx="10">
                  <c:v>4.5999999999999996</c:v>
                </c:pt>
                <c:pt idx="11">
                  <c:v>6.8</c:v>
                </c:pt>
                <c:pt idx="12">
                  <c:v>10</c:v>
                </c:pt>
                <c:pt idx="13">
                  <c:v>14.6</c:v>
                </c:pt>
                <c:pt idx="14">
                  <c:v>21.5</c:v>
                </c:pt>
                <c:pt idx="15">
                  <c:v>31.6</c:v>
                </c:pt>
                <c:pt idx="16">
                  <c:v>46.4</c:v>
                </c:pt>
                <c:pt idx="17">
                  <c:v>68</c:v>
                </c:pt>
                <c:pt idx="18">
                  <c:v>100</c:v>
                </c:pt>
              </c:numCache>
            </c:numRef>
          </c:xVal>
          <c:yVal>
            <c:numRef>
              <c:f>'Raw Test Data'!$D$53:$D$71</c:f>
              <c:numCache>
                <c:formatCode>0.0000</c:formatCode>
                <c:ptCount val="19"/>
                <c:pt idx="0">
                  <c:v>493.78960000000001</c:v>
                </c:pt>
                <c:pt idx="1">
                  <c:v>473.6807</c:v>
                </c:pt>
                <c:pt idx="2">
                  <c:v>489.50259999999997</c:v>
                </c:pt>
                <c:pt idx="3">
                  <c:v>534.02890000000002</c:v>
                </c:pt>
                <c:pt idx="4">
                  <c:v>577.97180000000003</c:v>
                </c:pt>
                <c:pt idx="5">
                  <c:v>625.17610000000002</c:v>
                </c:pt>
                <c:pt idx="6">
                  <c:v>673.65089999999998</c:v>
                </c:pt>
                <c:pt idx="7">
                  <c:v>723.61030000000005</c:v>
                </c:pt>
                <c:pt idx="8">
                  <c:v>768.02189999999996</c:v>
                </c:pt>
                <c:pt idx="9">
                  <c:v>811.76710000000003</c:v>
                </c:pt>
                <c:pt idx="10">
                  <c:v>854.01580000000001</c:v>
                </c:pt>
                <c:pt idx="11">
                  <c:v>898.55489999999998</c:v>
                </c:pt>
                <c:pt idx="12">
                  <c:v>944.40710000000001</c:v>
                </c:pt>
                <c:pt idx="13">
                  <c:v>985.64469999999994</c:v>
                </c:pt>
                <c:pt idx="14">
                  <c:v>1029.2239999999999</c:v>
                </c:pt>
                <c:pt idx="15">
                  <c:v>1069.7850000000001</c:v>
                </c:pt>
                <c:pt idx="16">
                  <c:v>1106.345</c:v>
                </c:pt>
                <c:pt idx="17">
                  <c:v>1149.43</c:v>
                </c:pt>
                <c:pt idx="18">
                  <c:v>1178.6010000000001</c:v>
                </c:pt>
              </c:numCache>
            </c:numRef>
          </c:yVal>
          <c:smooth val="0"/>
        </c:ser>
        <c:ser>
          <c:idx val="3"/>
          <c:order val="3"/>
          <c:tx>
            <c:v>75 C</c:v>
          </c:tx>
          <c:spPr>
            <a:ln w="28575">
              <a:noFill/>
            </a:ln>
          </c:spPr>
          <c:marker>
            <c:symbol val="diamond"/>
            <c:size val="4"/>
          </c:marker>
          <c:xVal>
            <c:numRef>
              <c:f>'Raw Test Data'!$H$72:$H$90</c:f>
              <c:numCache>
                <c:formatCode>0.00</c:formatCode>
                <c:ptCount val="19"/>
                <c:pt idx="0">
                  <c:v>0.1</c:v>
                </c:pt>
                <c:pt idx="1">
                  <c:v>0.15</c:v>
                </c:pt>
                <c:pt idx="2">
                  <c:v>0.22</c:v>
                </c:pt>
                <c:pt idx="3">
                  <c:v>0.32</c:v>
                </c:pt>
                <c:pt idx="4">
                  <c:v>0.46</c:v>
                </c:pt>
                <c:pt idx="5">
                  <c:v>0.68</c:v>
                </c:pt>
                <c:pt idx="6">
                  <c:v>1</c:v>
                </c:pt>
                <c:pt idx="7">
                  <c:v>1.5</c:v>
                </c:pt>
                <c:pt idx="8">
                  <c:v>2.2000000000000002</c:v>
                </c:pt>
                <c:pt idx="9">
                  <c:v>3.2</c:v>
                </c:pt>
                <c:pt idx="10">
                  <c:v>4.5999999999999996</c:v>
                </c:pt>
                <c:pt idx="11">
                  <c:v>6.8</c:v>
                </c:pt>
                <c:pt idx="12">
                  <c:v>10</c:v>
                </c:pt>
                <c:pt idx="13">
                  <c:v>14.6</c:v>
                </c:pt>
                <c:pt idx="14">
                  <c:v>21.5</c:v>
                </c:pt>
                <c:pt idx="15">
                  <c:v>31.6</c:v>
                </c:pt>
                <c:pt idx="16">
                  <c:v>46.4</c:v>
                </c:pt>
                <c:pt idx="17">
                  <c:v>68</c:v>
                </c:pt>
                <c:pt idx="18">
                  <c:v>100</c:v>
                </c:pt>
              </c:numCache>
            </c:numRef>
          </c:xVal>
          <c:yVal>
            <c:numRef>
              <c:f>'Raw Test Data'!$D$72:$D$90</c:f>
              <c:numCache>
                <c:formatCode>0.0000</c:formatCode>
                <c:ptCount val="19"/>
                <c:pt idx="0">
                  <c:v>93.074820000000003</c:v>
                </c:pt>
                <c:pt idx="1">
                  <c:v>109.4228</c:v>
                </c:pt>
                <c:pt idx="2">
                  <c:v>128.88489999999999</c:v>
                </c:pt>
                <c:pt idx="3">
                  <c:v>154.1653</c:v>
                </c:pt>
                <c:pt idx="4">
                  <c:v>182.3681</c:v>
                </c:pt>
                <c:pt idx="5">
                  <c:v>215.51169999999999</c:v>
                </c:pt>
                <c:pt idx="6">
                  <c:v>249.88120000000001</c:v>
                </c:pt>
                <c:pt idx="7">
                  <c:v>288.8802</c:v>
                </c:pt>
                <c:pt idx="8">
                  <c:v>328.45100000000002</c:v>
                </c:pt>
                <c:pt idx="9">
                  <c:v>369.19830000000002</c:v>
                </c:pt>
                <c:pt idx="10">
                  <c:v>410.37830000000002</c:v>
                </c:pt>
                <c:pt idx="11">
                  <c:v>456.12299999999999</c:v>
                </c:pt>
                <c:pt idx="12">
                  <c:v>502.37459999999999</c:v>
                </c:pt>
                <c:pt idx="13">
                  <c:v>548.73760000000004</c:v>
                </c:pt>
                <c:pt idx="14">
                  <c:v>596.5068</c:v>
                </c:pt>
                <c:pt idx="15">
                  <c:v>643.90800000000002</c:v>
                </c:pt>
                <c:pt idx="16">
                  <c:v>687.67489999999998</c:v>
                </c:pt>
                <c:pt idx="17">
                  <c:v>732.81979999999999</c:v>
                </c:pt>
                <c:pt idx="18">
                  <c:v>768.28710000000001</c:v>
                </c:pt>
              </c:numCache>
            </c:numRef>
          </c:yVal>
          <c:smooth val="0"/>
        </c:ser>
        <c:ser>
          <c:idx val="4"/>
          <c:order val="4"/>
          <c:tx>
            <c:v>80 C</c:v>
          </c:tx>
          <c:spPr>
            <a:ln w="28575">
              <a:noFill/>
            </a:ln>
          </c:spPr>
          <c:marker>
            <c:symbol val="square"/>
            <c:size val="4"/>
          </c:marker>
          <c:xVal>
            <c:numRef>
              <c:f>'Raw Test Data'!$H$91:$H$109</c:f>
              <c:numCache>
                <c:formatCode>0.00</c:formatCode>
                <c:ptCount val="19"/>
                <c:pt idx="0">
                  <c:v>0.1</c:v>
                </c:pt>
                <c:pt idx="1">
                  <c:v>0.15</c:v>
                </c:pt>
                <c:pt idx="2">
                  <c:v>0.22</c:v>
                </c:pt>
                <c:pt idx="3">
                  <c:v>0.32</c:v>
                </c:pt>
                <c:pt idx="4">
                  <c:v>0.46</c:v>
                </c:pt>
                <c:pt idx="5">
                  <c:v>0.68</c:v>
                </c:pt>
                <c:pt idx="6">
                  <c:v>1</c:v>
                </c:pt>
                <c:pt idx="7">
                  <c:v>1.5</c:v>
                </c:pt>
                <c:pt idx="8">
                  <c:v>2.2000000000000002</c:v>
                </c:pt>
                <c:pt idx="9">
                  <c:v>3.2</c:v>
                </c:pt>
                <c:pt idx="10">
                  <c:v>4.5999999999999996</c:v>
                </c:pt>
                <c:pt idx="11">
                  <c:v>6.8</c:v>
                </c:pt>
                <c:pt idx="12">
                  <c:v>10</c:v>
                </c:pt>
                <c:pt idx="13">
                  <c:v>14.6</c:v>
                </c:pt>
                <c:pt idx="14">
                  <c:v>21.5</c:v>
                </c:pt>
                <c:pt idx="15">
                  <c:v>31.6</c:v>
                </c:pt>
                <c:pt idx="16">
                  <c:v>46.4</c:v>
                </c:pt>
                <c:pt idx="17">
                  <c:v>68</c:v>
                </c:pt>
                <c:pt idx="18">
                  <c:v>100</c:v>
                </c:pt>
              </c:numCache>
            </c:numRef>
          </c:xVal>
          <c:yVal>
            <c:numRef>
              <c:f>'Raw Test Data'!$D$91:$D$109</c:f>
              <c:numCache>
                <c:formatCode>0.0000</c:formatCode>
                <c:ptCount val="19"/>
                <c:pt idx="0">
                  <c:v>26.106940000000002</c:v>
                </c:pt>
                <c:pt idx="1">
                  <c:v>29.332159999999998</c:v>
                </c:pt>
                <c:pt idx="2">
                  <c:v>34.350360000000002</c:v>
                </c:pt>
                <c:pt idx="3">
                  <c:v>41.194580000000002</c:v>
                </c:pt>
                <c:pt idx="4">
                  <c:v>49.47898</c:v>
                </c:pt>
                <c:pt idx="5">
                  <c:v>60.372979999999998</c:v>
                </c:pt>
                <c:pt idx="6">
                  <c:v>72.675399999999996</c:v>
                </c:pt>
                <c:pt idx="7">
                  <c:v>88.307119999999998</c:v>
                </c:pt>
                <c:pt idx="8">
                  <c:v>106.28270000000001</c:v>
                </c:pt>
                <c:pt idx="9">
                  <c:v>126.8644</c:v>
                </c:pt>
                <c:pt idx="10">
                  <c:v>149.83449999999999</c:v>
                </c:pt>
                <c:pt idx="11">
                  <c:v>178.0198</c:v>
                </c:pt>
                <c:pt idx="12">
                  <c:v>209.11369999999999</c:v>
                </c:pt>
                <c:pt idx="13">
                  <c:v>242.95</c:v>
                </c:pt>
                <c:pt idx="14">
                  <c:v>280.86399999999998</c:v>
                </c:pt>
                <c:pt idx="15">
                  <c:v>322.17790000000002</c:v>
                </c:pt>
                <c:pt idx="16">
                  <c:v>362.35820000000001</c:v>
                </c:pt>
                <c:pt idx="17">
                  <c:v>408.33089999999999</c:v>
                </c:pt>
                <c:pt idx="18">
                  <c:v>450.32170000000002</c:v>
                </c:pt>
              </c:numCache>
            </c:numRef>
          </c:yVal>
          <c:smooth val="0"/>
        </c:ser>
        <c:ser>
          <c:idx val="5"/>
          <c:order val="5"/>
          <c:tx>
            <c:v>85 C</c:v>
          </c:tx>
          <c:spPr>
            <a:ln w="28575">
              <a:noFill/>
            </a:ln>
          </c:spPr>
          <c:marker>
            <c:symbol val="circle"/>
            <c:size val="4"/>
          </c:marker>
          <c:xVal>
            <c:numRef>
              <c:f>'Raw Test Data'!$H$110:$H$128</c:f>
              <c:numCache>
                <c:formatCode>0.00</c:formatCode>
                <c:ptCount val="19"/>
                <c:pt idx="0">
                  <c:v>0.1</c:v>
                </c:pt>
                <c:pt idx="1">
                  <c:v>0.15</c:v>
                </c:pt>
                <c:pt idx="2">
                  <c:v>0.22</c:v>
                </c:pt>
                <c:pt idx="3">
                  <c:v>0.32</c:v>
                </c:pt>
                <c:pt idx="4">
                  <c:v>0.46</c:v>
                </c:pt>
                <c:pt idx="5">
                  <c:v>0.68</c:v>
                </c:pt>
                <c:pt idx="6">
                  <c:v>1</c:v>
                </c:pt>
                <c:pt idx="7">
                  <c:v>1.5</c:v>
                </c:pt>
                <c:pt idx="8">
                  <c:v>2.2000000000000002</c:v>
                </c:pt>
                <c:pt idx="9">
                  <c:v>3.2</c:v>
                </c:pt>
                <c:pt idx="10">
                  <c:v>4.5999999999999996</c:v>
                </c:pt>
                <c:pt idx="11">
                  <c:v>6.8</c:v>
                </c:pt>
                <c:pt idx="12">
                  <c:v>10</c:v>
                </c:pt>
                <c:pt idx="13">
                  <c:v>14.6</c:v>
                </c:pt>
                <c:pt idx="14">
                  <c:v>21.5</c:v>
                </c:pt>
                <c:pt idx="15">
                  <c:v>31.6</c:v>
                </c:pt>
                <c:pt idx="16">
                  <c:v>46.4</c:v>
                </c:pt>
                <c:pt idx="17">
                  <c:v>68</c:v>
                </c:pt>
                <c:pt idx="18">
                  <c:v>100</c:v>
                </c:pt>
              </c:numCache>
            </c:numRef>
          </c:xVal>
          <c:yVal>
            <c:numRef>
              <c:f>'Raw Test Data'!$D$110:$D$128</c:f>
              <c:numCache>
                <c:formatCode>0.0000</c:formatCode>
                <c:ptCount val="19"/>
                <c:pt idx="0">
                  <c:v>15.760260000000001</c:v>
                </c:pt>
                <c:pt idx="1">
                  <c:v>16.85425</c:v>
                </c:pt>
                <c:pt idx="2">
                  <c:v>18.297920000000001</c:v>
                </c:pt>
                <c:pt idx="3">
                  <c:v>20.205469999999998</c:v>
                </c:pt>
                <c:pt idx="4">
                  <c:v>22.499320000000001</c:v>
                </c:pt>
                <c:pt idx="5">
                  <c:v>25.484500000000001</c:v>
                </c:pt>
                <c:pt idx="6">
                  <c:v>28.851299999999998</c:v>
                </c:pt>
                <c:pt idx="7">
                  <c:v>33.267859999999999</c:v>
                </c:pt>
                <c:pt idx="8">
                  <c:v>38.645040000000002</c:v>
                </c:pt>
                <c:pt idx="9">
                  <c:v>45.243940000000002</c:v>
                </c:pt>
                <c:pt idx="10">
                  <c:v>53.181100000000001</c:v>
                </c:pt>
                <c:pt idx="11">
                  <c:v>71.378810000000001</c:v>
                </c:pt>
                <c:pt idx="12">
                  <c:v>83.854939999999999</c:v>
                </c:pt>
                <c:pt idx="13">
                  <c:v>97.681889999999996</c:v>
                </c:pt>
                <c:pt idx="14">
                  <c:v>116.0951</c:v>
                </c:pt>
                <c:pt idx="15">
                  <c:v>137.6859</c:v>
                </c:pt>
                <c:pt idx="16">
                  <c:v>159.84639999999999</c:v>
                </c:pt>
                <c:pt idx="17">
                  <c:v>192.13980000000001</c:v>
                </c:pt>
                <c:pt idx="18">
                  <c:v>219.71180000000001</c:v>
                </c:pt>
              </c:numCache>
            </c:numRef>
          </c:yVal>
          <c:smooth val="0"/>
        </c:ser>
        <c:ser>
          <c:idx val="6"/>
          <c:order val="6"/>
          <c:tx>
            <c:v>90 C</c:v>
          </c:tx>
          <c:spPr>
            <a:ln w="28575">
              <a:noFill/>
            </a:ln>
          </c:spPr>
          <c:marker>
            <c:symbol val="diamond"/>
            <c:size val="4"/>
          </c:marker>
          <c:xVal>
            <c:numRef>
              <c:f>'Raw Test Data'!$H$129:$H$147</c:f>
              <c:numCache>
                <c:formatCode>0.00</c:formatCode>
                <c:ptCount val="19"/>
                <c:pt idx="0">
                  <c:v>0.1</c:v>
                </c:pt>
                <c:pt idx="1">
                  <c:v>0.15</c:v>
                </c:pt>
                <c:pt idx="2">
                  <c:v>0.22</c:v>
                </c:pt>
                <c:pt idx="3">
                  <c:v>0.32</c:v>
                </c:pt>
                <c:pt idx="4">
                  <c:v>0.46</c:v>
                </c:pt>
                <c:pt idx="5">
                  <c:v>0.68</c:v>
                </c:pt>
                <c:pt idx="6">
                  <c:v>1</c:v>
                </c:pt>
                <c:pt idx="7">
                  <c:v>1.5</c:v>
                </c:pt>
                <c:pt idx="8">
                  <c:v>2.2000000000000002</c:v>
                </c:pt>
                <c:pt idx="9">
                  <c:v>3.2</c:v>
                </c:pt>
                <c:pt idx="10">
                  <c:v>4.5999999999999996</c:v>
                </c:pt>
                <c:pt idx="11">
                  <c:v>6.8</c:v>
                </c:pt>
                <c:pt idx="12">
                  <c:v>10</c:v>
                </c:pt>
                <c:pt idx="13">
                  <c:v>14.6</c:v>
                </c:pt>
                <c:pt idx="14">
                  <c:v>21.5</c:v>
                </c:pt>
                <c:pt idx="15">
                  <c:v>31.6</c:v>
                </c:pt>
                <c:pt idx="16">
                  <c:v>46.4</c:v>
                </c:pt>
                <c:pt idx="17">
                  <c:v>68</c:v>
                </c:pt>
                <c:pt idx="18">
                  <c:v>100</c:v>
                </c:pt>
              </c:numCache>
            </c:numRef>
          </c:xVal>
          <c:yVal>
            <c:numRef>
              <c:f>'Raw Test Data'!$D$129:$D$147</c:f>
              <c:numCache>
                <c:formatCode>0.0000</c:formatCode>
                <c:ptCount val="19"/>
                <c:pt idx="0">
                  <c:v>12.72977</c:v>
                </c:pt>
                <c:pt idx="1">
                  <c:v>13.23512</c:v>
                </c:pt>
                <c:pt idx="2">
                  <c:v>13.8683</c:v>
                </c:pt>
                <c:pt idx="3">
                  <c:v>14.694319999999999</c:v>
                </c:pt>
                <c:pt idx="4">
                  <c:v>15.627800000000001</c:v>
                </c:pt>
                <c:pt idx="5">
                  <c:v>16.794060000000002</c:v>
                </c:pt>
                <c:pt idx="6">
                  <c:v>18.04196</c:v>
                </c:pt>
                <c:pt idx="7">
                  <c:v>19.574839999999998</c:v>
                </c:pt>
                <c:pt idx="8">
                  <c:v>21.40222</c:v>
                </c:pt>
                <c:pt idx="9">
                  <c:v>23.618490000000001</c:v>
                </c:pt>
                <c:pt idx="10">
                  <c:v>26.281099999999999</c:v>
                </c:pt>
                <c:pt idx="11">
                  <c:v>29.867999999999999</c:v>
                </c:pt>
                <c:pt idx="12">
                  <c:v>34.3065</c:v>
                </c:pt>
                <c:pt idx="13">
                  <c:v>39.740299999999998</c:v>
                </c:pt>
                <c:pt idx="14">
                  <c:v>47.036020000000001</c:v>
                </c:pt>
                <c:pt idx="15">
                  <c:v>56.865499999999997</c:v>
                </c:pt>
                <c:pt idx="16">
                  <c:v>66.214699999999993</c:v>
                </c:pt>
                <c:pt idx="17">
                  <c:v>82.694180000000003</c:v>
                </c:pt>
                <c:pt idx="18">
                  <c:v>93.186419999999998</c:v>
                </c:pt>
              </c:numCache>
            </c:numRef>
          </c:yVal>
          <c:smooth val="0"/>
        </c:ser>
        <c:ser>
          <c:idx val="7"/>
          <c:order val="7"/>
          <c:tx>
            <c:v>95 C</c:v>
          </c:tx>
          <c:spPr>
            <a:ln w="28575">
              <a:noFill/>
            </a:ln>
          </c:spPr>
          <c:marker>
            <c:symbol val="square"/>
            <c:size val="4"/>
          </c:marker>
          <c:xVal>
            <c:numRef>
              <c:f>'Raw Test Data'!$H$148:$H$166</c:f>
              <c:numCache>
                <c:formatCode>0.00</c:formatCode>
                <c:ptCount val="19"/>
                <c:pt idx="0">
                  <c:v>0.1</c:v>
                </c:pt>
                <c:pt idx="1">
                  <c:v>0.15</c:v>
                </c:pt>
                <c:pt idx="2">
                  <c:v>0.22</c:v>
                </c:pt>
                <c:pt idx="3">
                  <c:v>0.32</c:v>
                </c:pt>
                <c:pt idx="4">
                  <c:v>0.46</c:v>
                </c:pt>
                <c:pt idx="5">
                  <c:v>0.68</c:v>
                </c:pt>
                <c:pt idx="6">
                  <c:v>1</c:v>
                </c:pt>
                <c:pt idx="7">
                  <c:v>1.5</c:v>
                </c:pt>
                <c:pt idx="8">
                  <c:v>2.2000000000000002</c:v>
                </c:pt>
                <c:pt idx="9">
                  <c:v>3.2</c:v>
                </c:pt>
                <c:pt idx="10">
                  <c:v>4.5999999999999996</c:v>
                </c:pt>
                <c:pt idx="11">
                  <c:v>6.8</c:v>
                </c:pt>
                <c:pt idx="12">
                  <c:v>10</c:v>
                </c:pt>
                <c:pt idx="13">
                  <c:v>14.6</c:v>
                </c:pt>
                <c:pt idx="14">
                  <c:v>21.5</c:v>
                </c:pt>
                <c:pt idx="15">
                  <c:v>31.6</c:v>
                </c:pt>
                <c:pt idx="16">
                  <c:v>46.4</c:v>
                </c:pt>
                <c:pt idx="17">
                  <c:v>68</c:v>
                </c:pt>
                <c:pt idx="18">
                  <c:v>100</c:v>
                </c:pt>
              </c:numCache>
            </c:numRef>
          </c:xVal>
          <c:yVal>
            <c:numRef>
              <c:f>'Raw Test Data'!$D$148:$D$166</c:f>
              <c:numCache>
                <c:formatCode>0.0000</c:formatCode>
                <c:ptCount val="19"/>
                <c:pt idx="0">
                  <c:v>10.840529999999999</c:v>
                </c:pt>
                <c:pt idx="1">
                  <c:v>11.172079999999999</c:v>
                </c:pt>
                <c:pt idx="2">
                  <c:v>11.54082</c:v>
                </c:pt>
                <c:pt idx="3">
                  <c:v>12.055260000000001</c:v>
                </c:pt>
                <c:pt idx="4">
                  <c:v>12.625249999999999</c:v>
                </c:pt>
                <c:pt idx="5">
                  <c:v>13.29208</c:v>
                </c:pt>
                <c:pt idx="6">
                  <c:v>13.949859999999999</c:v>
                </c:pt>
                <c:pt idx="7">
                  <c:v>14.71692</c:v>
                </c:pt>
                <c:pt idx="8">
                  <c:v>15.57686</c:v>
                </c:pt>
                <c:pt idx="9">
                  <c:v>16.568660000000001</c:v>
                </c:pt>
                <c:pt idx="10">
                  <c:v>17.71621</c:v>
                </c:pt>
                <c:pt idx="11">
                  <c:v>19.217590000000001</c:v>
                </c:pt>
                <c:pt idx="12">
                  <c:v>21.028659999999999</c:v>
                </c:pt>
                <c:pt idx="13">
                  <c:v>23.16968</c:v>
                </c:pt>
                <c:pt idx="14">
                  <c:v>26.229649999999999</c:v>
                </c:pt>
                <c:pt idx="15">
                  <c:v>30.73208</c:v>
                </c:pt>
                <c:pt idx="16">
                  <c:v>33.46902</c:v>
                </c:pt>
                <c:pt idx="17">
                  <c:v>41.88494</c:v>
                </c:pt>
                <c:pt idx="18">
                  <c:v>42.713520000000003</c:v>
                </c:pt>
              </c:numCache>
            </c:numRef>
          </c:yVal>
          <c:smooth val="0"/>
        </c:ser>
        <c:ser>
          <c:idx val="8"/>
          <c:order val="8"/>
          <c:tx>
            <c:v>100 C</c:v>
          </c:tx>
          <c:spPr>
            <a:ln w="28575">
              <a:noFill/>
            </a:ln>
          </c:spPr>
          <c:marker>
            <c:symbol val="square"/>
            <c:size val="4"/>
          </c:marker>
          <c:xVal>
            <c:numRef>
              <c:f>'Raw Test Data'!$H$167:$H$185</c:f>
              <c:numCache>
                <c:formatCode>0.00</c:formatCode>
                <c:ptCount val="19"/>
                <c:pt idx="0">
                  <c:v>0.1</c:v>
                </c:pt>
                <c:pt idx="1">
                  <c:v>0.15</c:v>
                </c:pt>
                <c:pt idx="2">
                  <c:v>0.22</c:v>
                </c:pt>
                <c:pt idx="3">
                  <c:v>0.32</c:v>
                </c:pt>
                <c:pt idx="4">
                  <c:v>0.46</c:v>
                </c:pt>
                <c:pt idx="5">
                  <c:v>0.68</c:v>
                </c:pt>
                <c:pt idx="6">
                  <c:v>1</c:v>
                </c:pt>
                <c:pt idx="7">
                  <c:v>1.5</c:v>
                </c:pt>
                <c:pt idx="8">
                  <c:v>2.2000000000000002</c:v>
                </c:pt>
                <c:pt idx="9">
                  <c:v>3.2</c:v>
                </c:pt>
                <c:pt idx="10">
                  <c:v>4.5999999999999996</c:v>
                </c:pt>
                <c:pt idx="11">
                  <c:v>6.8</c:v>
                </c:pt>
                <c:pt idx="12">
                  <c:v>10</c:v>
                </c:pt>
                <c:pt idx="13">
                  <c:v>14.6</c:v>
                </c:pt>
                <c:pt idx="14">
                  <c:v>21.5</c:v>
                </c:pt>
                <c:pt idx="15">
                  <c:v>31.6</c:v>
                </c:pt>
                <c:pt idx="16">
                  <c:v>46.4</c:v>
                </c:pt>
                <c:pt idx="17">
                  <c:v>68</c:v>
                </c:pt>
                <c:pt idx="18">
                  <c:v>100</c:v>
                </c:pt>
              </c:numCache>
            </c:numRef>
          </c:xVal>
          <c:yVal>
            <c:numRef>
              <c:f>'Raw Test Data'!$D$167:$D$185</c:f>
              <c:numCache>
                <c:formatCode>0.0000</c:formatCode>
                <c:ptCount val="19"/>
                <c:pt idx="0">
                  <c:v>9.2533480000000008</c:v>
                </c:pt>
                <c:pt idx="1">
                  <c:v>9.5517459999999996</c:v>
                </c:pt>
                <c:pt idx="2">
                  <c:v>9.8949809999999996</c:v>
                </c:pt>
                <c:pt idx="3">
                  <c:v>10.31288</c:v>
                </c:pt>
                <c:pt idx="4">
                  <c:v>10.75249</c:v>
                </c:pt>
                <c:pt idx="5">
                  <c:v>11.24316</c:v>
                </c:pt>
                <c:pt idx="6">
                  <c:v>11.70074</c:v>
                </c:pt>
                <c:pt idx="7">
                  <c:v>12.21129</c:v>
                </c:pt>
                <c:pt idx="8">
                  <c:v>12.753500000000001</c:v>
                </c:pt>
                <c:pt idx="9">
                  <c:v>13.34796</c:v>
                </c:pt>
                <c:pt idx="10">
                  <c:v>14.00217</c:v>
                </c:pt>
                <c:pt idx="11">
                  <c:v>14.81527</c:v>
                </c:pt>
                <c:pt idx="12">
                  <c:v>15.74677</c:v>
                </c:pt>
                <c:pt idx="13">
                  <c:v>16.791910000000001</c:v>
                </c:pt>
                <c:pt idx="14">
                  <c:v>18.40692</c:v>
                </c:pt>
                <c:pt idx="15">
                  <c:v>21.012599999999999</c:v>
                </c:pt>
                <c:pt idx="16">
                  <c:v>21.310020000000002</c:v>
                </c:pt>
                <c:pt idx="17">
                  <c:v>26.674689999999998</c:v>
                </c:pt>
                <c:pt idx="18">
                  <c:v>23.490760000000002</c:v>
                </c:pt>
              </c:numCache>
            </c:numRef>
          </c:yVal>
          <c:smooth val="0"/>
        </c:ser>
        <c:ser>
          <c:idx val="9"/>
          <c:order val="9"/>
          <c:tx>
            <c:v>60 C Sim</c:v>
          </c:tx>
          <c:spPr>
            <a:ln w="28575">
              <a:solidFill>
                <a:schemeClr val="accent1"/>
              </a:solidFill>
            </a:ln>
          </c:spPr>
          <c:marker>
            <c:symbol val="none"/>
          </c:marker>
          <c:xVal>
            <c:numRef>
              <c:f>'Raw Test Data'!$H$3:$H$26</c:f>
              <c:numCache>
                <c:formatCode>0.00</c:formatCode>
                <c:ptCount val="24"/>
                <c:pt idx="0">
                  <c:v>9.9999990000000007E-3</c:v>
                </c:pt>
                <c:pt idx="1">
                  <c:v>0.02</c:v>
                </c:pt>
                <c:pt idx="2">
                  <c:v>0.03</c:v>
                </c:pt>
                <c:pt idx="3">
                  <c:v>0.05</c:v>
                </c:pt>
                <c:pt idx="4">
                  <c:v>7.0000000000000007E-2</c:v>
                </c:pt>
                <c:pt idx="5">
                  <c:v>0.1</c:v>
                </c:pt>
                <c:pt idx="6">
                  <c:v>0.15</c:v>
                </c:pt>
                <c:pt idx="7">
                  <c:v>0.22</c:v>
                </c:pt>
                <c:pt idx="8">
                  <c:v>0.32</c:v>
                </c:pt>
                <c:pt idx="9">
                  <c:v>0.46</c:v>
                </c:pt>
                <c:pt idx="10">
                  <c:v>0.68</c:v>
                </c:pt>
                <c:pt idx="11">
                  <c:v>1</c:v>
                </c:pt>
                <c:pt idx="12">
                  <c:v>1.5</c:v>
                </c:pt>
                <c:pt idx="13">
                  <c:v>2.2000000000000002</c:v>
                </c:pt>
                <c:pt idx="14">
                  <c:v>3.2</c:v>
                </c:pt>
                <c:pt idx="15">
                  <c:v>4.5999999999999996</c:v>
                </c:pt>
                <c:pt idx="16">
                  <c:v>6.8</c:v>
                </c:pt>
                <c:pt idx="17">
                  <c:v>10</c:v>
                </c:pt>
                <c:pt idx="18">
                  <c:v>14.6</c:v>
                </c:pt>
                <c:pt idx="19">
                  <c:v>21.5</c:v>
                </c:pt>
                <c:pt idx="20">
                  <c:v>31.6</c:v>
                </c:pt>
                <c:pt idx="21">
                  <c:v>46.4</c:v>
                </c:pt>
                <c:pt idx="22">
                  <c:v>68</c:v>
                </c:pt>
                <c:pt idx="23">
                  <c:v>100</c:v>
                </c:pt>
              </c:numCache>
            </c:numRef>
          </c:xVal>
          <c:yVal>
            <c:numRef>
              <c:f>Abq_Visco_Runs_from_MCal_2!$C$9:$C$32</c:f>
              <c:numCache>
                <c:formatCode>General</c:formatCode>
                <c:ptCount val="24"/>
                <c:pt idx="0">
                  <c:v>1567.1402752399999</c:v>
                </c:pt>
                <c:pt idx="1">
                  <c:v>1638.8715213200001</c:v>
                </c:pt>
                <c:pt idx="2">
                  <c:v>1679.4423414800001</c:v>
                </c:pt>
                <c:pt idx="3">
                  <c:v>1747.2604798100001</c:v>
                </c:pt>
                <c:pt idx="4">
                  <c:v>1800.4928731</c:v>
                </c:pt>
                <c:pt idx="5">
                  <c:v>1853.7847218300001</c:v>
                </c:pt>
                <c:pt idx="6">
                  <c:v>1900.5893356399999</c:v>
                </c:pt>
                <c:pt idx="7">
                  <c:v>1932.28640367</c:v>
                </c:pt>
                <c:pt idx="8">
                  <c:v>1958.80977478</c:v>
                </c:pt>
                <c:pt idx="9">
                  <c:v>1986.3397068500001</c:v>
                </c:pt>
                <c:pt idx="10">
                  <c:v>2019.3987530500001</c:v>
                </c:pt>
                <c:pt idx="11">
                  <c:v>2051.4398046599999</c:v>
                </c:pt>
                <c:pt idx="12">
                  <c:v>2081.31150127</c:v>
                </c:pt>
                <c:pt idx="13">
                  <c:v>2109.5376861300001</c:v>
                </c:pt>
                <c:pt idx="14">
                  <c:v>2144.7059696699998</c:v>
                </c:pt>
                <c:pt idx="15">
                  <c:v>2191.1471908799999</c:v>
                </c:pt>
                <c:pt idx="16">
                  <c:v>2251.60313219</c:v>
                </c:pt>
                <c:pt idx="17">
                  <c:v>2308.37101325</c:v>
                </c:pt>
                <c:pt idx="18">
                  <c:v>2349.3932596200002</c:v>
                </c:pt>
                <c:pt idx="19">
                  <c:v>2374.6469331600001</c:v>
                </c:pt>
                <c:pt idx="20">
                  <c:v>2387.86446045</c:v>
                </c:pt>
                <c:pt idx="21">
                  <c:v>2394.3300469599999</c:v>
                </c:pt>
                <c:pt idx="22">
                  <c:v>2397.37861522</c:v>
                </c:pt>
                <c:pt idx="23">
                  <c:v>2398.8046371199998</c:v>
                </c:pt>
              </c:numCache>
            </c:numRef>
          </c:yVal>
          <c:smooth val="0"/>
        </c:ser>
        <c:ser>
          <c:idx val="10"/>
          <c:order val="10"/>
          <c:spPr>
            <a:ln w="28575">
              <a:solidFill>
                <a:srgbClr val="C00000"/>
              </a:solidFill>
            </a:ln>
          </c:spPr>
          <c:marker>
            <c:symbol val="none"/>
          </c:marker>
          <c:xVal>
            <c:numRef>
              <c:f>'Raw Test Data'!$H$3:$H$26</c:f>
              <c:numCache>
                <c:formatCode>0.00</c:formatCode>
                <c:ptCount val="24"/>
                <c:pt idx="0">
                  <c:v>9.9999990000000007E-3</c:v>
                </c:pt>
                <c:pt idx="1">
                  <c:v>0.02</c:v>
                </c:pt>
                <c:pt idx="2">
                  <c:v>0.03</c:v>
                </c:pt>
                <c:pt idx="3">
                  <c:v>0.05</c:v>
                </c:pt>
                <c:pt idx="4">
                  <c:v>7.0000000000000007E-2</c:v>
                </c:pt>
                <c:pt idx="5">
                  <c:v>0.1</c:v>
                </c:pt>
                <c:pt idx="6">
                  <c:v>0.15</c:v>
                </c:pt>
                <c:pt idx="7">
                  <c:v>0.22</c:v>
                </c:pt>
                <c:pt idx="8">
                  <c:v>0.32</c:v>
                </c:pt>
                <c:pt idx="9">
                  <c:v>0.46</c:v>
                </c:pt>
                <c:pt idx="10">
                  <c:v>0.68</c:v>
                </c:pt>
                <c:pt idx="11">
                  <c:v>1</c:v>
                </c:pt>
                <c:pt idx="12">
                  <c:v>1.5</c:v>
                </c:pt>
                <c:pt idx="13">
                  <c:v>2.2000000000000002</c:v>
                </c:pt>
                <c:pt idx="14">
                  <c:v>3.2</c:v>
                </c:pt>
                <c:pt idx="15">
                  <c:v>4.5999999999999996</c:v>
                </c:pt>
                <c:pt idx="16">
                  <c:v>6.8</c:v>
                </c:pt>
                <c:pt idx="17">
                  <c:v>10</c:v>
                </c:pt>
                <c:pt idx="18">
                  <c:v>14.6</c:v>
                </c:pt>
                <c:pt idx="19">
                  <c:v>21.5</c:v>
                </c:pt>
                <c:pt idx="20">
                  <c:v>31.6</c:v>
                </c:pt>
                <c:pt idx="21">
                  <c:v>46.4</c:v>
                </c:pt>
                <c:pt idx="22">
                  <c:v>68</c:v>
                </c:pt>
                <c:pt idx="23">
                  <c:v>100</c:v>
                </c:pt>
              </c:numCache>
            </c:numRef>
          </c:xVal>
          <c:yVal>
            <c:numRef>
              <c:f>Abq_Visco_Runs_from_MCal_2!$G$9:$G$32</c:f>
              <c:numCache>
                <c:formatCode>General</c:formatCode>
                <c:ptCount val="24"/>
                <c:pt idx="0">
                  <c:v>704.69719574700002</c:v>
                </c:pt>
                <c:pt idx="1">
                  <c:v>778.74523622699996</c:v>
                </c:pt>
                <c:pt idx="2">
                  <c:v>832.24672055400004</c:v>
                </c:pt>
                <c:pt idx="3">
                  <c:v>913.69911582600002</c:v>
                </c:pt>
                <c:pt idx="4">
                  <c:v>964.74870891499995</c:v>
                </c:pt>
                <c:pt idx="5">
                  <c:v>1009.77267581</c:v>
                </c:pt>
                <c:pt idx="6">
                  <c:v>1053.96399677</c:v>
                </c:pt>
                <c:pt idx="7">
                  <c:v>1100.03977461</c:v>
                </c:pt>
                <c:pt idx="8">
                  <c:v>1157.4212023499999</c:v>
                </c:pt>
                <c:pt idx="9">
                  <c:v>1222.17987924</c:v>
                </c:pt>
                <c:pt idx="10">
                  <c:v>1288.77386563</c:v>
                </c:pt>
                <c:pt idx="11">
                  <c:v>1340.7388876099999</c:v>
                </c:pt>
                <c:pt idx="12">
                  <c:v>1383.22339678</c:v>
                </c:pt>
                <c:pt idx="13">
                  <c:v>1422.3450990399999</c:v>
                </c:pt>
                <c:pt idx="14">
                  <c:v>1467.72267306</c:v>
                </c:pt>
                <c:pt idx="15">
                  <c:v>1517.7624858199999</c:v>
                </c:pt>
                <c:pt idx="16">
                  <c:v>1569.5044532700001</c:v>
                </c:pt>
                <c:pt idx="17">
                  <c:v>1611.6270019599999</c:v>
                </c:pt>
                <c:pt idx="18">
                  <c:v>1647.3707906300001</c:v>
                </c:pt>
                <c:pt idx="19">
                  <c:v>1687.6740257399999</c:v>
                </c:pt>
                <c:pt idx="20">
                  <c:v>1739.15488037</c:v>
                </c:pt>
                <c:pt idx="21">
                  <c:v>1799.52531226</c:v>
                </c:pt>
                <c:pt idx="22">
                  <c:v>1856.3879173800001</c:v>
                </c:pt>
                <c:pt idx="23">
                  <c:v>1900.5553246500001</c:v>
                </c:pt>
              </c:numCache>
            </c:numRef>
          </c:yVal>
          <c:smooth val="0"/>
        </c:ser>
        <c:ser>
          <c:idx val="11"/>
          <c:order val="11"/>
          <c:spPr>
            <a:ln w="28575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Abq_Visco_Runs_from_MCal_2!$A$14:$A$32</c:f>
              <c:numCache>
                <c:formatCode>General</c:formatCode>
                <c:ptCount val="19"/>
                <c:pt idx="0">
                  <c:v>0.1</c:v>
                </c:pt>
                <c:pt idx="1">
                  <c:v>0.15</c:v>
                </c:pt>
                <c:pt idx="2">
                  <c:v>0.22</c:v>
                </c:pt>
                <c:pt idx="3">
                  <c:v>0.32</c:v>
                </c:pt>
                <c:pt idx="4">
                  <c:v>0.46</c:v>
                </c:pt>
                <c:pt idx="5">
                  <c:v>0.68</c:v>
                </c:pt>
                <c:pt idx="6">
                  <c:v>1</c:v>
                </c:pt>
                <c:pt idx="7">
                  <c:v>1.5</c:v>
                </c:pt>
                <c:pt idx="8">
                  <c:v>2.2000000000000002</c:v>
                </c:pt>
                <c:pt idx="9">
                  <c:v>3.2</c:v>
                </c:pt>
                <c:pt idx="10">
                  <c:v>4.5999999999999996</c:v>
                </c:pt>
                <c:pt idx="11">
                  <c:v>6.8</c:v>
                </c:pt>
                <c:pt idx="12">
                  <c:v>10</c:v>
                </c:pt>
                <c:pt idx="13">
                  <c:v>14.6</c:v>
                </c:pt>
                <c:pt idx="14">
                  <c:v>21.5</c:v>
                </c:pt>
                <c:pt idx="15">
                  <c:v>31.6</c:v>
                </c:pt>
                <c:pt idx="16">
                  <c:v>46.4</c:v>
                </c:pt>
                <c:pt idx="17">
                  <c:v>68</c:v>
                </c:pt>
                <c:pt idx="18">
                  <c:v>100</c:v>
                </c:pt>
              </c:numCache>
            </c:numRef>
          </c:xVal>
          <c:yVal>
            <c:numRef>
              <c:f>Abq_Visco_Runs_from_MCal_2!$K$9:$K$27</c:f>
              <c:numCache>
                <c:formatCode>General</c:formatCode>
                <c:ptCount val="19"/>
                <c:pt idx="0">
                  <c:v>394.10447898500001</c:v>
                </c:pt>
                <c:pt idx="1">
                  <c:v>432.82720955600001</c:v>
                </c:pt>
                <c:pt idx="2">
                  <c:v>472.28777554499999</c:v>
                </c:pt>
                <c:pt idx="3">
                  <c:v>521.91241219100004</c:v>
                </c:pt>
                <c:pt idx="4">
                  <c:v>580.25222866000001</c:v>
                </c:pt>
                <c:pt idx="5">
                  <c:v>643.58557129799999</c:v>
                </c:pt>
                <c:pt idx="6">
                  <c:v>695.52034936300004</c:v>
                </c:pt>
                <c:pt idx="7">
                  <c:v>739.36819134899997</c:v>
                </c:pt>
                <c:pt idx="8">
                  <c:v>780.64120136199995</c:v>
                </c:pt>
                <c:pt idx="9">
                  <c:v>830.11210054900005</c:v>
                </c:pt>
                <c:pt idx="10">
                  <c:v>887.25848513899996</c:v>
                </c:pt>
                <c:pt idx="11">
                  <c:v>949.18109698199999</c:v>
                </c:pt>
                <c:pt idx="12">
                  <c:v>1000.5648058100001</c:v>
                </c:pt>
                <c:pt idx="13">
                  <c:v>1042.4913582700001</c:v>
                </c:pt>
                <c:pt idx="14">
                  <c:v>1086.7279731399999</c:v>
                </c:pt>
                <c:pt idx="15">
                  <c:v>1142.1852911599999</c:v>
                </c:pt>
                <c:pt idx="16">
                  <c:v>1209.38400138</c:v>
                </c:pt>
                <c:pt idx="17">
                  <c:v>1276.2391432700001</c:v>
                </c:pt>
                <c:pt idx="18">
                  <c:v>1331.26654725</c:v>
                </c:pt>
              </c:numCache>
            </c:numRef>
          </c:yVal>
          <c:smooth val="0"/>
        </c:ser>
        <c:ser>
          <c:idx val="12"/>
          <c:order val="12"/>
          <c:spPr>
            <a:ln w="28575">
              <a:solidFill>
                <a:schemeClr val="accent4">
                  <a:lumMod val="75000"/>
                </a:schemeClr>
              </a:solidFill>
            </a:ln>
          </c:spPr>
          <c:marker>
            <c:symbol val="none"/>
          </c:marker>
          <c:xVal>
            <c:numRef>
              <c:f>Abq_Visco_Runs_from_MCal_2!$A$14:$A$32</c:f>
              <c:numCache>
                <c:formatCode>General</c:formatCode>
                <c:ptCount val="19"/>
                <c:pt idx="0">
                  <c:v>0.1</c:v>
                </c:pt>
                <c:pt idx="1">
                  <c:v>0.15</c:v>
                </c:pt>
                <c:pt idx="2">
                  <c:v>0.22</c:v>
                </c:pt>
                <c:pt idx="3">
                  <c:v>0.32</c:v>
                </c:pt>
                <c:pt idx="4">
                  <c:v>0.46</c:v>
                </c:pt>
                <c:pt idx="5">
                  <c:v>0.68</c:v>
                </c:pt>
                <c:pt idx="6">
                  <c:v>1</c:v>
                </c:pt>
                <c:pt idx="7">
                  <c:v>1.5</c:v>
                </c:pt>
                <c:pt idx="8">
                  <c:v>2.2000000000000002</c:v>
                </c:pt>
                <c:pt idx="9">
                  <c:v>3.2</c:v>
                </c:pt>
                <c:pt idx="10">
                  <c:v>4.5999999999999996</c:v>
                </c:pt>
                <c:pt idx="11">
                  <c:v>6.8</c:v>
                </c:pt>
                <c:pt idx="12">
                  <c:v>10</c:v>
                </c:pt>
                <c:pt idx="13">
                  <c:v>14.6</c:v>
                </c:pt>
                <c:pt idx="14">
                  <c:v>21.5</c:v>
                </c:pt>
                <c:pt idx="15">
                  <c:v>31.6</c:v>
                </c:pt>
                <c:pt idx="16">
                  <c:v>46.4</c:v>
                </c:pt>
                <c:pt idx="17">
                  <c:v>68</c:v>
                </c:pt>
                <c:pt idx="18">
                  <c:v>100</c:v>
                </c:pt>
              </c:numCache>
            </c:numRef>
          </c:xVal>
          <c:yVal>
            <c:numRef>
              <c:f>Abq_Visco_Runs_from_MCal_2!$O$9:$O$27</c:f>
              <c:numCache>
                <c:formatCode>General</c:formatCode>
                <c:ptCount val="19"/>
                <c:pt idx="0">
                  <c:v>87.270511650100005</c:v>
                </c:pt>
                <c:pt idx="1">
                  <c:v>111.355483882</c:v>
                </c:pt>
                <c:pt idx="2">
                  <c:v>136.41804669800001</c:v>
                </c:pt>
                <c:pt idx="3">
                  <c:v>159.14082188200001</c:v>
                </c:pt>
                <c:pt idx="4">
                  <c:v>179.95154921400001</c:v>
                </c:pt>
                <c:pt idx="5">
                  <c:v>206.307516789</c:v>
                </c:pt>
                <c:pt idx="6">
                  <c:v>242.54866569399999</c:v>
                </c:pt>
                <c:pt idx="7">
                  <c:v>292.79667057900002</c:v>
                </c:pt>
                <c:pt idx="8">
                  <c:v>343.54600763600001</c:v>
                </c:pt>
                <c:pt idx="9">
                  <c:v>386.97904188299998</c:v>
                </c:pt>
                <c:pt idx="10">
                  <c:v>422.33000951899999</c:v>
                </c:pt>
                <c:pt idx="11">
                  <c:v>460.70737288599997</c:v>
                </c:pt>
                <c:pt idx="12">
                  <c:v>508.39493525300003</c:v>
                </c:pt>
                <c:pt idx="13">
                  <c:v>567.32870443399997</c:v>
                </c:pt>
                <c:pt idx="14">
                  <c:v>631.05371960399998</c:v>
                </c:pt>
                <c:pt idx="15">
                  <c:v>685.56375417699996</c:v>
                </c:pt>
                <c:pt idx="16">
                  <c:v>728.73518228800003</c:v>
                </c:pt>
                <c:pt idx="17">
                  <c:v>768.80165529800001</c:v>
                </c:pt>
                <c:pt idx="18">
                  <c:v>816.75649363100001</c:v>
                </c:pt>
              </c:numCache>
            </c:numRef>
          </c:yVal>
          <c:smooth val="0"/>
        </c:ser>
        <c:ser>
          <c:idx val="13"/>
          <c:order val="13"/>
          <c:spPr>
            <a:ln w="28575">
              <a:solidFill>
                <a:schemeClr val="tx2">
                  <a:lumMod val="60000"/>
                  <a:lumOff val="40000"/>
                </a:schemeClr>
              </a:solidFill>
            </a:ln>
          </c:spPr>
          <c:marker>
            <c:symbol val="none"/>
          </c:marker>
          <c:xVal>
            <c:numRef>
              <c:f>Abq_Visco_Runs_from_MCal_2!$A$14:$A$32</c:f>
              <c:numCache>
                <c:formatCode>General</c:formatCode>
                <c:ptCount val="19"/>
                <c:pt idx="0">
                  <c:v>0.1</c:v>
                </c:pt>
                <c:pt idx="1">
                  <c:v>0.15</c:v>
                </c:pt>
                <c:pt idx="2">
                  <c:v>0.22</c:v>
                </c:pt>
                <c:pt idx="3">
                  <c:v>0.32</c:v>
                </c:pt>
                <c:pt idx="4">
                  <c:v>0.46</c:v>
                </c:pt>
                <c:pt idx="5">
                  <c:v>0.68</c:v>
                </c:pt>
                <c:pt idx="6">
                  <c:v>1</c:v>
                </c:pt>
                <c:pt idx="7">
                  <c:v>1.5</c:v>
                </c:pt>
                <c:pt idx="8">
                  <c:v>2.2000000000000002</c:v>
                </c:pt>
                <c:pt idx="9">
                  <c:v>3.2</c:v>
                </c:pt>
                <c:pt idx="10">
                  <c:v>4.5999999999999996</c:v>
                </c:pt>
                <c:pt idx="11">
                  <c:v>6.8</c:v>
                </c:pt>
                <c:pt idx="12">
                  <c:v>10</c:v>
                </c:pt>
                <c:pt idx="13">
                  <c:v>14.6</c:v>
                </c:pt>
                <c:pt idx="14">
                  <c:v>21.5</c:v>
                </c:pt>
                <c:pt idx="15">
                  <c:v>31.6</c:v>
                </c:pt>
                <c:pt idx="16">
                  <c:v>46.4</c:v>
                </c:pt>
                <c:pt idx="17">
                  <c:v>68</c:v>
                </c:pt>
                <c:pt idx="18">
                  <c:v>100</c:v>
                </c:pt>
              </c:numCache>
            </c:numRef>
          </c:xVal>
          <c:yVal>
            <c:numRef>
              <c:f>Abq_Visco_Runs_from_MCal_2!$S$9:$S$27</c:f>
              <c:numCache>
                <c:formatCode>General</c:formatCode>
                <c:ptCount val="19"/>
                <c:pt idx="0">
                  <c:v>26.843155754800001</c:v>
                </c:pt>
                <c:pt idx="1">
                  <c:v>31.120937764200001</c:v>
                </c:pt>
                <c:pt idx="2">
                  <c:v>36.8550399668</c:v>
                </c:pt>
                <c:pt idx="3">
                  <c:v>43.475672526899999</c:v>
                </c:pt>
                <c:pt idx="4">
                  <c:v>50.086677362000003</c:v>
                </c:pt>
                <c:pt idx="5">
                  <c:v>57.789823584300002</c:v>
                </c:pt>
                <c:pt idx="6">
                  <c:v>68.008661516800004</c:v>
                </c:pt>
                <c:pt idx="7">
                  <c:v>84.500443098299996</c:v>
                </c:pt>
                <c:pt idx="8">
                  <c:v>106.418797814</c:v>
                </c:pt>
                <c:pt idx="9">
                  <c:v>130.91805110600001</c:v>
                </c:pt>
                <c:pt idx="10">
                  <c:v>153.48908448200001</c:v>
                </c:pt>
                <c:pt idx="11">
                  <c:v>175.900264405</c:v>
                </c:pt>
                <c:pt idx="12">
                  <c:v>200.66394892400001</c:v>
                </c:pt>
                <c:pt idx="13">
                  <c:v>233.857649243</c:v>
                </c:pt>
                <c:pt idx="14">
                  <c:v>279.61037229099998</c:v>
                </c:pt>
                <c:pt idx="15">
                  <c:v>330.93765333699997</c:v>
                </c:pt>
                <c:pt idx="16">
                  <c:v>377.49542172100001</c:v>
                </c:pt>
                <c:pt idx="17">
                  <c:v>415.86105789200002</c:v>
                </c:pt>
                <c:pt idx="18">
                  <c:v>452.90580619299999</c:v>
                </c:pt>
              </c:numCache>
            </c:numRef>
          </c:yVal>
          <c:smooth val="0"/>
        </c:ser>
        <c:ser>
          <c:idx val="14"/>
          <c:order val="14"/>
          <c:spPr>
            <a:ln w="28575">
              <a:solidFill>
                <a:schemeClr val="accent6">
                  <a:lumMod val="75000"/>
                </a:schemeClr>
              </a:solidFill>
            </a:ln>
          </c:spPr>
          <c:marker>
            <c:symbol val="none"/>
          </c:marker>
          <c:xVal>
            <c:numRef>
              <c:f>Abq_Visco_Runs_from_MCal_2!$A$14:$A$32</c:f>
              <c:numCache>
                <c:formatCode>General</c:formatCode>
                <c:ptCount val="19"/>
                <c:pt idx="0">
                  <c:v>0.1</c:v>
                </c:pt>
                <c:pt idx="1">
                  <c:v>0.15</c:v>
                </c:pt>
                <c:pt idx="2">
                  <c:v>0.22</c:v>
                </c:pt>
                <c:pt idx="3">
                  <c:v>0.32</c:v>
                </c:pt>
                <c:pt idx="4">
                  <c:v>0.46</c:v>
                </c:pt>
                <c:pt idx="5">
                  <c:v>0.68</c:v>
                </c:pt>
                <c:pt idx="6">
                  <c:v>1</c:v>
                </c:pt>
                <c:pt idx="7">
                  <c:v>1.5</c:v>
                </c:pt>
                <c:pt idx="8">
                  <c:v>2.2000000000000002</c:v>
                </c:pt>
                <c:pt idx="9">
                  <c:v>3.2</c:v>
                </c:pt>
                <c:pt idx="10">
                  <c:v>4.5999999999999996</c:v>
                </c:pt>
                <c:pt idx="11">
                  <c:v>6.8</c:v>
                </c:pt>
                <c:pt idx="12">
                  <c:v>10</c:v>
                </c:pt>
                <c:pt idx="13">
                  <c:v>14.6</c:v>
                </c:pt>
                <c:pt idx="14">
                  <c:v>21.5</c:v>
                </c:pt>
                <c:pt idx="15">
                  <c:v>31.6</c:v>
                </c:pt>
                <c:pt idx="16">
                  <c:v>46.4</c:v>
                </c:pt>
                <c:pt idx="17">
                  <c:v>68</c:v>
                </c:pt>
                <c:pt idx="18">
                  <c:v>100</c:v>
                </c:pt>
              </c:numCache>
            </c:numRef>
          </c:xVal>
          <c:yVal>
            <c:numRef>
              <c:f>Abq_Visco_Runs_from_MCal_2!$C$39:$C$57</c:f>
              <c:numCache>
                <c:formatCode>General</c:formatCode>
                <c:ptCount val="19"/>
                <c:pt idx="0">
                  <c:v>15.63510177</c:v>
                </c:pt>
                <c:pt idx="1">
                  <c:v>17.000124956499999</c:v>
                </c:pt>
                <c:pt idx="2">
                  <c:v>18.7442657952</c:v>
                </c:pt>
                <c:pt idx="3">
                  <c:v>20.656833791099999</c:v>
                </c:pt>
                <c:pt idx="4">
                  <c:v>22.506208301800001</c:v>
                </c:pt>
                <c:pt idx="5">
                  <c:v>24.6699997638</c:v>
                </c:pt>
                <c:pt idx="6">
                  <c:v>27.585329399700001</c:v>
                </c:pt>
                <c:pt idx="7">
                  <c:v>32.248871509899999</c:v>
                </c:pt>
                <c:pt idx="8">
                  <c:v>38.292375993</c:v>
                </c:pt>
                <c:pt idx="9">
                  <c:v>45.006995179500002</c:v>
                </c:pt>
                <c:pt idx="10">
                  <c:v>51.649537690999999</c:v>
                </c:pt>
                <c:pt idx="11">
                  <c:v>59.704670137699999</c:v>
                </c:pt>
                <c:pt idx="12">
                  <c:v>70.869286813200006</c:v>
                </c:pt>
                <c:pt idx="13">
                  <c:v>87.418239681800003</c:v>
                </c:pt>
                <c:pt idx="14">
                  <c:v>110.350871156</c:v>
                </c:pt>
                <c:pt idx="15">
                  <c:v>135.56029156599999</c:v>
                </c:pt>
                <c:pt idx="16">
                  <c:v>158.90263377799999</c:v>
                </c:pt>
                <c:pt idx="17">
                  <c:v>180.85611819499999</c:v>
                </c:pt>
                <c:pt idx="18">
                  <c:v>207.097048476</c:v>
                </c:pt>
              </c:numCache>
            </c:numRef>
          </c:yVal>
          <c:smooth val="0"/>
        </c:ser>
        <c:ser>
          <c:idx val="15"/>
          <c:order val="15"/>
          <c:spPr>
            <a:ln w="28575">
              <a:solidFill>
                <a:schemeClr val="tx2">
                  <a:lumMod val="60000"/>
                  <a:lumOff val="40000"/>
                </a:schemeClr>
              </a:solidFill>
            </a:ln>
          </c:spPr>
          <c:marker>
            <c:symbol val="none"/>
          </c:marker>
          <c:xVal>
            <c:numRef>
              <c:f>Abq_Visco_Runs_from_MCal_2!$A$14:$A$32</c:f>
              <c:numCache>
                <c:formatCode>General</c:formatCode>
                <c:ptCount val="19"/>
                <c:pt idx="0">
                  <c:v>0.1</c:v>
                </c:pt>
                <c:pt idx="1">
                  <c:v>0.15</c:v>
                </c:pt>
                <c:pt idx="2">
                  <c:v>0.22</c:v>
                </c:pt>
                <c:pt idx="3">
                  <c:v>0.32</c:v>
                </c:pt>
                <c:pt idx="4">
                  <c:v>0.46</c:v>
                </c:pt>
                <c:pt idx="5">
                  <c:v>0.68</c:v>
                </c:pt>
                <c:pt idx="6">
                  <c:v>1</c:v>
                </c:pt>
                <c:pt idx="7">
                  <c:v>1.5</c:v>
                </c:pt>
                <c:pt idx="8">
                  <c:v>2.2000000000000002</c:v>
                </c:pt>
                <c:pt idx="9">
                  <c:v>3.2</c:v>
                </c:pt>
                <c:pt idx="10">
                  <c:v>4.5999999999999996</c:v>
                </c:pt>
                <c:pt idx="11">
                  <c:v>6.8</c:v>
                </c:pt>
                <c:pt idx="12">
                  <c:v>10</c:v>
                </c:pt>
                <c:pt idx="13">
                  <c:v>14.6</c:v>
                </c:pt>
                <c:pt idx="14">
                  <c:v>21.5</c:v>
                </c:pt>
                <c:pt idx="15">
                  <c:v>31.6</c:v>
                </c:pt>
                <c:pt idx="16">
                  <c:v>46.4</c:v>
                </c:pt>
                <c:pt idx="17">
                  <c:v>68</c:v>
                </c:pt>
                <c:pt idx="18">
                  <c:v>100</c:v>
                </c:pt>
              </c:numCache>
            </c:numRef>
          </c:xVal>
          <c:yVal>
            <c:numRef>
              <c:f>Abq_Visco_Runs_from_MCal_2!$G$39:$G$57</c:f>
              <c:numCache>
                <c:formatCode>General</c:formatCode>
                <c:ptCount val="19"/>
                <c:pt idx="0">
                  <c:v>12.1954745245</c:v>
                </c:pt>
                <c:pt idx="1">
                  <c:v>12.9040104735</c:v>
                </c:pt>
                <c:pt idx="2">
                  <c:v>13.606895081299999</c:v>
                </c:pt>
                <c:pt idx="3">
                  <c:v>14.2601794416</c:v>
                </c:pt>
                <c:pt idx="4">
                  <c:v>14.935963662200001</c:v>
                </c:pt>
                <c:pt idx="5">
                  <c:v>15.9125625706</c:v>
                </c:pt>
                <c:pt idx="6">
                  <c:v>17.3180619372</c:v>
                </c:pt>
                <c:pt idx="7">
                  <c:v>19.2427917304</c:v>
                </c:pt>
                <c:pt idx="8">
                  <c:v>21.205641466500001</c:v>
                </c:pt>
                <c:pt idx="9">
                  <c:v>23.126210031700001</c:v>
                </c:pt>
                <c:pt idx="10">
                  <c:v>25.261037236899998</c:v>
                </c:pt>
                <c:pt idx="11">
                  <c:v>28.524497122300001</c:v>
                </c:pt>
                <c:pt idx="12">
                  <c:v>33.346270238700001</c:v>
                </c:pt>
                <c:pt idx="13">
                  <c:v>39.555179423799999</c:v>
                </c:pt>
                <c:pt idx="14">
                  <c:v>46.542250000199999</c:v>
                </c:pt>
                <c:pt idx="15">
                  <c:v>53.682791258800002</c:v>
                </c:pt>
                <c:pt idx="16">
                  <c:v>62.174597634900003</c:v>
                </c:pt>
                <c:pt idx="17">
                  <c:v>74.488496946599994</c:v>
                </c:pt>
                <c:pt idx="18">
                  <c:v>93.048005814000007</c:v>
                </c:pt>
              </c:numCache>
            </c:numRef>
          </c:yVal>
          <c:smooth val="0"/>
        </c:ser>
        <c:ser>
          <c:idx val="16"/>
          <c:order val="16"/>
          <c:spPr>
            <a:ln w="28575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Abq_Visco_Runs_from_MCal_2!$A$14:$A$32</c:f>
              <c:numCache>
                <c:formatCode>General</c:formatCode>
                <c:ptCount val="19"/>
                <c:pt idx="0">
                  <c:v>0.1</c:v>
                </c:pt>
                <c:pt idx="1">
                  <c:v>0.15</c:v>
                </c:pt>
                <c:pt idx="2">
                  <c:v>0.22</c:v>
                </c:pt>
                <c:pt idx="3">
                  <c:v>0.32</c:v>
                </c:pt>
                <c:pt idx="4">
                  <c:v>0.46</c:v>
                </c:pt>
                <c:pt idx="5">
                  <c:v>0.68</c:v>
                </c:pt>
                <c:pt idx="6">
                  <c:v>1</c:v>
                </c:pt>
                <c:pt idx="7">
                  <c:v>1.5</c:v>
                </c:pt>
                <c:pt idx="8">
                  <c:v>2.2000000000000002</c:v>
                </c:pt>
                <c:pt idx="9">
                  <c:v>3.2</c:v>
                </c:pt>
                <c:pt idx="10">
                  <c:v>4.5999999999999996</c:v>
                </c:pt>
                <c:pt idx="11">
                  <c:v>6.8</c:v>
                </c:pt>
                <c:pt idx="12">
                  <c:v>10</c:v>
                </c:pt>
                <c:pt idx="13">
                  <c:v>14.6</c:v>
                </c:pt>
                <c:pt idx="14">
                  <c:v>21.5</c:v>
                </c:pt>
                <c:pt idx="15">
                  <c:v>31.6</c:v>
                </c:pt>
                <c:pt idx="16">
                  <c:v>46.4</c:v>
                </c:pt>
                <c:pt idx="17">
                  <c:v>68</c:v>
                </c:pt>
                <c:pt idx="18">
                  <c:v>100</c:v>
                </c:pt>
              </c:numCache>
            </c:numRef>
          </c:xVal>
          <c:yVal>
            <c:numRef>
              <c:f>Abq_Visco_Runs_from_MCal_2!$K$39:$K$57</c:f>
              <c:numCache>
                <c:formatCode>General</c:formatCode>
                <c:ptCount val="19"/>
                <c:pt idx="0">
                  <c:v>10.644811603000001</c:v>
                </c:pt>
                <c:pt idx="1">
                  <c:v>10.9957656839</c:v>
                </c:pt>
                <c:pt idx="2">
                  <c:v>11.3141167967</c:v>
                </c:pt>
                <c:pt idx="3">
                  <c:v>11.697538445699999</c:v>
                </c:pt>
                <c:pt idx="4">
                  <c:v>12.203787500700001</c:v>
                </c:pt>
                <c:pt idx="5">
                  <c:v>12.886849339599999</c:v>
                </c:pt>
                <c:pt idx="6">
                  <c:v>13.5949038776</c:v>
                </c:pt>
                <c:pt idx="7">
                  <c:v>14.3019144113</c:v>
                </c:pt>
                <c:pt idx="8">
                  <c:v>15.028956234600001</c:v>
                </c:pt>
                <c:pt idx="9">
                  <c:v>15.9982965426</c:v>
                </c:pt>
                <c:pt idx="10">
                  <c:v>17.340378292600001</c:v>
                </c:pt>
                <c:pt idx="11">
                  <c:v>19.1952090662</c:v>
                </c:pt>
                <c:pt idx="12">
                  <c:v>21.171961431100002</c:v>
                </c:pt>
                <c:pt idx="13">
                  <c:v>23.1105426558</c:v>
                </c:pt>
                <c:pt idx="14">
                  <c:v>25.4058017318</c:v>
                </c:pt>
                <c:pt idx="15">
                  <c:v>28.684383223699999</c:v>
                </c:pt>
                <c:pt idx="16">
                  <c:v>33.550718998100002</c:v>
                </c:pt>
                <c:pt idx="17">
                  <c:v>39.866028451299997</c:v>
                </c:pt>
                <c:pt idx="18">
                  <c:v>46.836778987599999</c:v>
                </c:pt>
              </c:numCache>
            </c:numRef>
          </c:yVal>
          <c:smooth val="0"/>
        </c:ser>
        <c:ser>
          <c:idx val="17"/>
          <c:order val="17"/>
          <c:spPr>
            <a:ln w="28575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Abq_Visco_Runs_from_MCal_2!$A$14:$A$32</c:f>
              <c:numCache>
                <c:formatCode>General</c:formatCode>
                <c:ptCount val="19"/>
                <c:pt idx="0">
                  <c:v>0.1</c:v>
                </c:pt>
                <c:pt idx="1">
                  <c:v>0.15</c:v>
                </c:pt>
                <c:pt idx="2">
                  <c:v>0.22</c:v>
                </c:pt>
                <c:pt idx="3">
                  <c:v>0.32</c:v>
                </c:pt>
                <c:pt idx="4">
                  <c:v>0.46</c:v>
                </c:pt>
                <c:pt idx="5">
                  <c:v>0.68</c:v>
                </c:pt>
                <c:pt idx="6">
                  <c:v>1</c:v>
                </c:pt>
                <c:pt idx="7">
                  <c:v>1.5</c:v>
                </c:pt>
                <c:pt idx="8">
                  <c:v>2.2000000000000002</c:v>
                </c:pt>
                <c:pt idx="9">
                  <c:v>3.2</c:v>
                </c:pt>
                <c:pt idx="10">
                  <c:v>4.5999999999999996</c:v>
                </c:pt>
                <c:pt idx="11">
                  <c:v>6.8</c:v>
                </c:pt>
                <c:pt idx="12">
                  <c:v>10</c:v>
                </c:pt>
                <c:pt idx="13">
                  <c:v>14.6</c:v>
                </c:pt>
                <c:pt idx="14">
                  <c:v>21.5</c:v>
                </c:pt>
                <c:pt idx="15">
                  <c:v>31.6</c:v>
                </c:pt>
                <c:pt idx="16">
                  <c:v>46.4</c:v>
                </c:pt>
                <c:pt idx="17">
                  <c:v>68</c:v>
                </c:pt>
                <c:pt idx="18">
                  <c:v>100</c:v>
                </c:pt>
              </c:numCache>
            </c:numRef>
          </c:xVal>
          <c:yVal>
            <c:numRef>
              <c:f>Abq_Visco_Runs_from_MCal_2!$O$39:$O$57</c:f>
              <c:numCache>
                <c:formatCode>General</c:formatCode>
                <c:ptCount val="19"/>
                <c:pt idx="0">
                  <c:v>9.4560755674900001</c:v>
                </c:pt>
                <c:pt idx="1">
                  <c:v>9.7797134862899995</c:v>
                </c:pt>
                <c:pt idx="2">
                  <c:v>10.1463066775</c:v>
                </c:pt>
                <c:pt idx="3">
                  <c:v>10.5240834149</c:v>
                </c:pt>
                <c:pt idx="4">
                  <c:v>10.855469121600001</c:v>
                </c:pt>
                <c:pt idx="5">
                  <c:v>11.176689634000001</c:v>
                </c:pt>
                <c:pt idx="6">
                  <c:v>11.5296817455</c:v>
                </c:pt>
                <c:pt idx="7">
                  <c:v>12.038321908</c:v>
                </c:pt>
                <c:pt idx="8">
                  <c:v>12.6754532497</c:v>
                </c:pt>
                <c:pt idx="9">
                  <c:v>13.366200494499999</c:v>
                </c:pt>
                <c:pt idx="10">
                  <c:v>14.009643801299999</c:v>
                </c:pt>
                <c:pt idx="11">
                  <c:v>14.703718051999999</c:v>
                </c:pt>
                <c:pt idx="12">
                  <c:v>15.5657889236</c:v>
                </c:pt>
                <c:pt idx="13">
                  <c:v>16.7926519146</c:v>
                </c:pt>
                <c:pt idx="14">
                  <c:v>18.504754678899999</c:v>
                </c:pt>
                <c:pt idx="15">
                  <c:v>20.4604749447</c:v>
                </c:pt>
                <c:pt idx="16">
                  <c:v>22.4185548781</c:v>
                </c:pt>
                <c:pt idx="17">
                  <c:v>24.511423434699999</c:v>
                </c:pt>
                <c:pt idx="18">
                  <c:v>27.3518191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693888"/>
        <c:axId val="140695808"/>
      </c:scatterChart>
      <c:valAx>
        <c:axId val="140693888"/>
        <c:scaling>
          <c:logBase val="10"/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Frequency (Hz)</a:t>
                </a:r>
              </a:p>
            </c:rich>
          </c:tx>
          <c:layout/>
          <c:overlay val="0"/>
        </c:title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140695808"/>
        <c:crosses val="autoZero"/>
        <c:crossBetween val="midCat"/>
      </c:valAx>
      <c:valAx>
        <c:axId val="140695808"/>
        <c:scaling>
          <c:logBase val="10"/>
          <c:orientation val="minMax"/>
          <c:min val="7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en-US" sz="1400"/>
                  <a:t>Storage Modulus, E'</a:t>
                </a:r>
                <a:r>
                  <a:rPr lang="en-US" sz="1400" baseline="0"/>
                  <a:t> </a:t>
                </a:r>
                <a:r>
                  <a:rPr lang="en-US" sz="1400"/>
                  <a:t> (Mpa)</a:t>
                </a:r>
              </a:p>
            </c:rich>
          </c:tx>
          <c:layout/>
          <c:overlay val="0"/>
        </c:title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140693888"/>
        <c:crossesAt val="1.0000000000000002E-2"/>
        <c:crossBetween val="midCat"/>
      </c:valAx>
    </c:plotArea>
    <c:legend>
      <c:legendPos val="r"/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legendEntry>
        <c:idx val="13"/>
        <c:delete val="1"/>
      </c:legendEntry>
      <c:legendEntry>
        <c:idx val="14"/>
        <c:delete val="1"/>
      </c:legendEntry>
      <c:legendEntry>
        <c:idx val="15"/>
        <c:delete val="1"/>
      </c:legendEntry>
      <c:legendEntry>
        <c:idx val="16"/>
        <c:delete val="1"/>
      </c:legendEntry>
      <c:legendEntry>
        <c:idx val="17"/>
        <c:delete val="1"/>
      </c:legendEntry>
      <c:layout/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4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chart" Target="../charts/chart1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1.xml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152400</xdr:colOff>
      <xdr:row>3</xdr:row>
      <xdr:rowOff>109536</xdr:rowOff>
    </xdr:from>
    <xdr:to>
      <xdr:col>22</xdr:col>
      <xdr:colOff>504825</xdr:colOff>
      <xdr:row>27</xdr:row>
      <xdr:rowOff>57149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133350</xdr:colOff>
      <xdr:row>28</xdr:row>
      <xdr:rowOff>9525</xdr:rowOff>
    </xdr:from>
    <xdr:to>
      <xdr:col>22</xdr:col>
      <xdr:colOff>485775</xdr:colOff>
      <xdr:row>50</xdr:row>
      <xdr:rowOff>147638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76200</xdr:rowOff>
    </xdr:from>
    <xdr:to>
      <xdr:col>13</xdr:col>
      <xdr:colOff>95250</xdr:colOff>
      <xdr:row>0</xdr:row>
      <xdr:rowOff>4171950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9525</xdr:colOff>
      <xdr:row>0</xdr:row>
      <xdr:rowOff>95249</xdr:rowOff>
    </xdr:from>
    <xdr:to>
      <xdr:col>27</xdr:col>
      <xdr:colOff>695325</xdr:colOff>
      <xdr:row>0</xdr:row>
      <xdr:rowOff>4171950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123825</xdr:colOff>
      <xdr:row>1</xdr:row>
      <xdr:rowOff>9525</xdr:rowOff>
    </xdr:from>
    <xdr:to>
      <xdr:col>22</xdr:col>
      <xdr:colOff>600075</xdr:colOff>
      <xdr:row>25</xdr:row>
      <xdr:rowOff>104774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123825</xdr:colOff>
      <xdr:row>26</xdr:row>
      <xdr:rowOff>28575</xdr:rowOff>
    </xdr:from>
    <xdr:to>
      <xdr:col>22</xdr:col>
      <xdr:colOff>600075</xdr:colOff>
      <xdr:row>50</xdr:row>
      <xdr:rowOff>123824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161925</xdr:colOff>
      <xdr:row>0</xdr:row>
      <xdr:rowOff>95250</xdr:rowOff>
    </xdr:from>
    <xdr:to>
      <xdr:col>22</xdr:col>
      <xdr:colOff>581025</xdr:colOff>
      <xdr:row>24</xdr:row>
      <xdr:rowOff>190499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533400</xdr:colOff>
      <xdr:row>26</xdr:row>
      <xdr:rowOff>19050</xdr:rowOff>
    </xdr:from>
    <xdr:to>
      <xdr:col>18</xdr:col>
      <xdr:colOff>428625</xdr:colOff>
      <xdr:row>48</xdr:row>
      <xdr:rowOff>38100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80961</xdr:colOff>
      <xdr:row>49</xdr:row>
      <xdr:rowOff>19051</xdr:rowOff>
    </xdr:from>
    <xdr:to>
      <xdr:col>18</xdr:col>
      <xdr:colOff>409574</xdr:colOff>
      <xdr:row>73</xdr:row>
      <xdr:rowOff>66675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19</xdr:col>
      <xdr:colOff>66675</xdr:colOff>
      <xdr:row>45</xdr:row>
      <xdr:rowOff>76201</xdr:rowOff>
    </xdr:from>
    <xdr:to>
      <xdr:col>24</xdr:col>
      <xdr:colOff>528162</xdr:colOff>
      <xdr:row>50</xdr:row>
      <xdr:rowOff>7744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134725" y="9029701"/>
          <a:ext cx="3414237" cy="884043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114301</xdr:colOff>
      <xdr:row>1</xdr:row>
      <xdr:rowOff>19050</xdr:rowOff>
    </xdr:from>
    <xdr:to>
      <xdr:col>22</xdr:col>
      <xdr:colOff>581026</xdr:colOff>
      <xdr:row>25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638175</xdr:colOff>
      <xdr:row>26</xdr:row>
      <xdr:rowOff>142875</xdr:rowOff>
    </xdr:from>
    <xdr:to>
      <xdr:col>18</xdr:col>
      <xdr:colOff>552450</xdr:colOff>
      <xdr:row>48</xdr:row>
      <xdr:rowOff>161925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261936</xdr:colOff>
      <xdr:row>49</xdr:row>
      <xdr:rowOff>76201</xdr:rowOff>
    </xdr:from>
    <xdr:to>
      <xdr:col>18</xdr:col>
      <xdr:colOff>542924</xdr:colOff>
      <xdr:row>73</xdr:row>
      <xdr:rowOff>123825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19</xdr:col>
      <xdr:colOff>409575</xdr:colOff>
      <xdr:row>49</xdr:row>
      <xdr:rowOff>114301</xdr:rowOff>
    </xdr:from>
    <xdr:to>
      <xdr:col>25</xdr:col>
      <xdr:colOff>239237</xdr:colOff>
      <xdr:row>54</xdr:row>
      <xdr:rowOff>45844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525250" y="9448801"/>
          <a:ext cx="3414237" cy="884043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309561</xdr:colOff>
      <xdr:row>4</xdr:row>
      <xdr:rowOff>180975</xdr:rowOff>
    </xdr:from>
    <xdr:to>
      <xdr:col>14</xdr:col>
      <xdr:colOff>333374</xdr:colOff>
      <xdr:row>20</xdr:row>
      <xdr:rowOff>90487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304800</xdr:colOff>
      <xdr:row>21</xdr:row>
      <xdr:rowOff>0</xdr:rowOff>
    </xdr:from>
    <xdr:to>
      <xdr:col>14</xdr:col>
      <xdr:colOff>328613</xdr:colOff>
      <xdr:row>36</xdr:row>
      <xdr:rowOff>100012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174626</xdr:colOff>
      <xdr:row>6</xdr:row>
      <xdr:rowOff>20108</xdr:rowOff>
    </xdr:from>
    <xdr:to>
      <xdr:col>23</xdr:col>
      <xdr:colOff>292100</xdr:colOff>
      <xdr:row>30</xdr:row>
      <xdr:rowOff>67733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36830</xdr:colOff>
      <xdr:row>30</xdr:row>
      <xdr:rowOff>175895</xdr:rowOff>
    </xdr:from>
    <xdr:to>
      <xdr:col>23</xdr:col>
      <xdr:colOff>293582</xdr:colOff>
      <xdr:row>49</xdr:row>
      <xdr:rowOff>126365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17</xdr:col>
      <xdr:colOff>590550</xdr:colOff>
      <xdr:row>1</xdr:row>
      <xdr:rowOff>19050</xdr:rowOff>
    </xdr:from>
    <xdr:to>
      <xdr:col>23</xdr:col>
      <xdr:colOff>494854</xdr:colOff>
      <xdr:row>5</xdr:row>
      <xdr:rowOff>171286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658600" y="219075"/>
          <a:ext cx="3561904" cy="1314286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16</xdr:col>
      <xdr:colOff>527049</xdr:colOff>
      <xdr:row>26</xdr:row>
      <xdr:rowOff>47625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27</xdr:row>
      <xdr:rowOff>0</xdr:rowOff>
    </xdr:from>
    <xdr:to>
      <xdr:col>14</xdr:col>
      <xdr:colOff>532648</xdr:colOff>
      <xdr:row>28</xdr:row>
      <xdr:rowOff>142833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62375" y="5143500"/>
          <a:ext cx="6019048" cy="33333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561975</xdr:colOff>
      <xdr:row>4</xdr:row>
      <xdr:rowOff>57150</xdr:rowOff>
    </xdr:from>
    <xdr:to>
      <xdr:col>18</xdr:col>
      <xdr:colOff>479424</xdr:colOff>
      <xdr:row>28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13</xdr:col>
      <xdr:colOff>76200</xdr:colOff>
      <xdr:row>0</xdr:row>
      <xdr:rowOff>4248150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0</xdr:row>
      <xdr:rowOff>0</xdr:rowOff>
    </xdr:from>
    <xdr:to>
      <xdr:col>27</xdr:col>
      <xdr:colOff>685800</xdr:colOff>
      <xdr:row>0</xdr:row>
      <xdr:rowOff>4257675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8</xdr:col>
      <xdr:colOff>541977</xdr:colOff>
      <xdr:row>3</xdr:row>
      <xdr:rowOff>104738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7590477" cy="295238"/>
        </a:xfrm>
        <a:prstGeom prst="rect">
          <a:avLst/>
        </a:prstGeom>
      </xdr:spPr>
    </xdr:pic>
    <xdr:clientData/>
  </xdr:twoCellAnchor>
  <xdr:twoCellAnchor editAs="oneCell">
    <xdr:from>
      <xdr:col>4</xdr:col>
      <xdr:colOff>76200</xdr:colOff>
      <xdr:row>11</xdr:row>
      <xdr:rowOff>38100</xdr:rowOff>
    </xdr:from>
    <xdr:to>
      <xdr:col>14</xdr:col>
      <xdr:colOff>438150</xdr:colOff>
      <xdr:row>41</xdr:row>
      <xdr:rowOff>102107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00450" y="2133600"/>
          <a:ext cx="10058400" cy="5779007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9</xdr:col>
      <xdr:colOff>541977</xdr:colOff>
      <xdr:row>3</xdr:row>
      <xdr:rowOff>104738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000"/>
          <a:ext cx="7590477" cy="295238"/>
        </a:xfrm>
        <a:prstGeom prst="rect">
          <a:avLst/>
        </a:prstGeom>
      </xdr:spPr>
    </xdr:pic>
    <xdr:clientData/>
  </xdr:twoCellAnchor>
  <xdr:twoCellAnchor>
    <xdr:from>
      <xdr:col>5</xdr:col>
      <xdr:colOff>142875</xdr:colOff>
      <xdr:row>7</xdr:row>
      <xdr:rowOff>104775</xdr:rowOff>
    </xdr:from>
    <xdr:to>
      <xdr:col>12</xdr:col>
      <xdr:colOff>152400</xdr:colOff>
      <xdr:row>30</xdr:row>
      <xdr:rowOff>52388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185"/>
  <sheetViews>
    <sheetView zoomScale="90" zoomScaleNormal="90" workbookViewId="0">
      <selection activeCell="A52" sqref="A52"/>
    </sheetView>
  </sheetViews>
  <sheetFormatPr defaultRowHeight="15" x14ac:dyDescent="0.25"/>
  <cols>
    <col min="1" max="1" width="6" customWidth="1"/>
    <col min="2" max="2" width="10.7109375" customWidth="1"/>
    <col min="3" max="3" width="9" bestFit="1" customWidth="1"/>
    <col min="4" max="4" width="11.7109375" customWidth="1"/>
    <col min="5" max="5" width="10.5703125" bestFit="1" customWidth="1"/>
    <col min="6" max="6" width="12" bestFit="1" customWidth="1"/>
    <col min="7" max="7" width="11" bestFit="1" customWidth="1"/>
    <col min="8" max="8" width="9.5703125" customWidth="1"/>
    <col min="9" max="9" width="12" customWidth="1"/>
    <col min="10" max="10" width="9.5703125" customWidth="1"/>
    <col min="11" max="11" width="11" bestFit="1" customWidth="1"/>
    <col min="12" max="12" width="9.7109375" bestFit="1" customWidth="1"/>
    <col min="13" max="13" width="11.7109375" customWidth="1"/>
    <col min="14" max="14" width="10.85546875" customWidth="1"/>
    <col min="15" max="15" width="2" bestFit="1" customWidth="1"/>
    <col min="16" max="16" width="11" bestFit="1" customWidth="1"/>
    <col min="17" max="17" width="14.28515625" customWidth="1"/>
    <col min="18" max="18" width="2" bestFit="1" customWidth="1"/>
  </cols>
  <sheetData>
    <row r="2" spans="1:18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Q2" t="s">
        <v>43</v>
      </c>
    </row>
    <row r="3" spans="1:18" x14ac:dyDescent="0.25">
      <c r="A3">
        <v>1</v>
      </c>
      <c r="B3">
        <v>51.808790000000002</v>
      </c>
      <c r="C3">
        <v>60.000309999999999</v>
      </c>
      <c r="D3" s="6">
        <v>1296.5440000000001</v>
      </c>
      <c r="E3" s="6">
        <v>237.77119999999999</v>
      </c>
      <c r="F3">
        <v>0.24752769999999999</v>
      </c>
      <c r="G3">
        <v>0.18338850000000001</v>
      </c>
      <c r="H3" s="2">
        <v>9.9999990000000007E-3</v>
      </c>
      <c r="I3">
        <v>0.93863490000000005</v>
      </c>
      <c r="J3">
        <v>6.9445379999999997</v>
      </c>
      <c r="K3">
        <v>1.909135E-2</v>
      </c>
      <c r="L3">
        <v>12968.54</v>
      </c>
      <c r="M3" s="1">
        <v>1.5799999999999999E-6</v>
      </c>
      <c r="N3">
        <v>12.968540000000001</v>
      </c>
      <c r="O3">
        <v>0</v>
      </c>
      <c r="P3">
        <v>1.0067170000000001</v>
      </c>
      <c r="Q3">
        <v>144965.20000000001</v>
      </c>
      <c r="R3">
        <v>0</v>
      </c>
    </row>
    <row r="4" spans="1:18" x14ac:dyDescent="0.25">
      <c r="A4">
        <v>1</v>
      </c>
      <c r="B4">
        <v>65.201459999999997</v>
      </c>
      <c r="C4">
        <v>60.000019999999999</v>
      </c>
      <c r="D4" s="6">
        <v>1411.3869999999999</v>
      </c>
      <c r="E4" s="6">
        <v>210.5737</v>
      </c>
      <c r="F4">
        <v>0.24693580000000001</v>
      </c>
      <c r="G4">
        <v>0.14919640000000001</v>
      </c>
      <c r="H4" s="2">
        <v>0.02</v>
      </c>
      <c r="I4">
        <v>0.9249155</v>
      </c>
      <c r="J4">
        <v>6.3642130000000003</v>
      </c>
      <c r="K4">
        <v>1.7495960000000001E-2</v>
      </c>
      <c r="L4">
        <v>12969.97</v>
      </c>
      <c r="M4" s="1">
        <v>1.31E-6</v>
      </c>
      <c r="N4">
        <v>12.96997</v>
      </c>
      <c r="O4">
        <v>0</v>
      </c>
      <c r="P4">
        <v>1.0043089999999999</v>
      </c>
      <c r="Q4">
        <v>157805.70000000001</v>
      </c>
      <c r="R4">
        <v>0</v>
      </c>
    </row>
    <row r="5" spans="1:18" x14ac:dyDescent="0.25">
      <c r="A5">
        <v>1</v>
      </c>
      <c r="B5">
        <v>78.57405</v>
      </c>
      <c r="C5">
        <v>60.00018</v>
      </c>
      <c r="D5" s="6">
        <v>1475.1959999999999</v>
      </c>
      <c r="E5" s="6">
        <v>194.93559999999999</v>
      </c>
      <c r="F5">
        <v>0.2492354</v>
      </c>
      <c r="G5">
        <v>0.13214219999999999</v>
      </c>
      <c r="H5" s="2">
        <v>0.03</v>
      </c>
      <c r="I5">
        <v>0.92732309999999996</v>
      </c>
      <c r="J5">
        <v>6.1456390000000001</v>
      </c>
      <c r="K5">
        <v>1.689508E-2</v>
      </c>
      <c r="L5">
        <v>12971.11</v>
      </c>
      <c r="M5" s="1">
        <v>1.31E-6</v>
      </c>
      <c r="N5">
        <v>12.971109999999999</v>
      </c>
      <c r="O5">
        <v>0</v>
      </c>
      <c r="P5">
        <v>1.0136620000000001</v>
      </c>
      <c r="Q5">
        <v>164940.1</v>
      </c>
      <c r="R5">
        <v>0</v>
      </c>
    </row>
    <row r="6" spans="1:18" x14ac:dyDescent="0.25">
      <c r="A6">
        <v>1</v>
      </c>
      <c r="B6">
        <v>84.618840000000006</v>
      </c>
      <c r="C6">
        <v>59.999960000000002</v>
      </c>
      <c r="D6" s="6">
        <v>1538.9570000000001</v>
      </c>
      <c r="E6" s="6">
        <v>181.00720000000001</v>
      </c>
      <c r="F6">
        <v>0.2479837</v>
      </c>
      <c r="G6">
        <v>0.11761679999999999</v>
      </c>
      <c r="H6" s="2">
        <v>0.05</v>
      </c>
      <c r="I6">
        <v>0.91733010000000004</v>
      </c>
      <c r="J6">
        <v>5.8614280000000001</v>
      </c>
      <c r="K6">
        <v>1.611375E-2</v>
      </c>
      <c r="L6">
        <v>12971.56</v>
      </c>
      <c r="M6" s="1">
        <v>1.1400000000000001E-6</v>
      </c>
      <c r="N6">
        <v>12.97156</v>
      </c>
      <c r="O6">
        <v>0</v>
      </c>
      <c r="P6">
        <v>1.008572</v>
      </c>
      <c r="Q6">
        <v>172069.2</v>
      </c>
      <c r="R6">
        <v>0</v>
      </c>
    </row>
    <row r="7" spans="1:18" x14ac:dyDescent="0.25">
      <c r="A7">
        <v>1</v>
      </c>
      <c r="B7">
        <v>96.993870000000001</v>
      </c>
      <c r="C7">
        <v>60.0002</v>
      </c>
      <c r="D7" s="6">
        <v>1585.059</v>
      </c>
      <c r="E7" s="6">
        <v>171.678</v>
      </c>
      <c r="F7">
        <v>0.2475444</v>
      </c>
      <c r="G7">
        <v>0.10831010000000001</v>
      </c>
      <c r="H7" s="2">
        <v>7.0000000000000007E-2</v>
      </c>
      <c r="I7">
        <v>0.9120163</v>
      </c>
      <c r="J7">
        <v>5.6808649999999998</v>
      </c>
      <c r="K7">
        <v>1.561736E-2</v>
      </c>
      <c r="L7">
        <v>12972.32</v>
      </c>
      <c r="M7" s="1">
        <v>1.8500000000000001E-6</v>
      </c>
      <c r="N7">
        <v>12.97232</v>
      </c>
      <c r="O7">
        <v>0</v>
      </c>
      <c r="P7">
        <v>1.006785</v>
      </c>
      <c r="Q7">
        <v>177223.8</v>
      </c>
      <c r="R7">
        <v>0</v>
      </c>
    </row>
    <row r="8" spans="1:18" x14ac:dyDescent="0.25">
      <c r="A8">
        <v>1</v>
      </c>
      <c r="B8">
        <v>101.5351</v>
      </c>
      <c r="C8">
        <v>59.999960000000002</v>
      </c>
      <c r="D8" s="6">
        <v>1625.829</v>
      </c>
      <c r="E8" s="6">
        <v>165.08750000000001</v>
      </c>
      <c r="F8">
        <v>0.2472734</v>
      </c>
      <c r="G8">
        <v>0.10154050000000001</v>
      </c>
      <c r="H8" s="2">
        <v>0.1</v>
      </c>
      <c r="I8">
        <v>0.90802609999999995</v>
      </c>
      <c r="J8">
        <v>5.532349</v>
      </c>
      <c r="K8">
        <v>1.520907E-2</v>
      </c>
      <c r="L8">
        <v>12972.58</v>
      </c>
      <c r="M8" s="1">
        <v>3.2600000000000001E-6</v>
      </c>
      <c r="N8">
        <v>12.97259</v>
      </c>
      <c r="O8">
        <v>0</v>
      </c>
      <c r="P8">
        <v>1.0056830000000001</v>
      </c>
      <c r="Q8">
        <v>181782.3</v>
      </c>
      <c r="R8">
        <v>0</v>
      </c>
    </row>
    <row r="9" spans="1:18" x14ac:dyDescent="0.25">
      <c r="A9">
        <v>1</v>
      </c>
      <c r="B9">
        <v>104.2428</v>
      </c>
      <c r="C9">
        <v>60</v>
      </c>
      <c r="D9" s="6">
        <v>1666.5039999999999</v>
      </c>
      <c r="E9" s="6">
        <v>156.98939999999999</v>
      </c>
      <c r="F9">
        <v>0.24742980000000001</v>
      </c>
      <c r="G9">
        <v>9.4202800000000003E-2</v>
      </c>
      <c r="H9" s="2">
        <v>0.15</v>
      </c>
      <c r="I9">
        <v>0.90565249999999997</v>
      </c>
      <c r="J9">
        <v>5.4007300000000003</v>
      </c>
      <c r="K9">
        <v>1.4847239999999999E-2</v>
      </c>
      <c r="L9">
        <v>12972.71</v>
      </c>
      <c r="M9" s="1">
        <v>2.4499999999999998E-6</v>
      </c>
      <c r="N9">
        <v>12.972720000000001</v>
      </c>
      <c r="O9">
        <v>0</v>
      </c>
      <c r="P9">
        <v>1.006319</v>
      </c>
      <c r="Q9">
        <v>186330.2</v>
      </c>
      <c r="R9">
        <v>0</v>
      </c>
    </row>
    <row r="10" spans="1:18" x14ac:dyDescent="0.25">
      <c r="A10">
        <v>1</v>
      </c>
      <c r="B10">
        <v>110.7843</v>
      </c>
      <c r="C10">
        <v>59.999949999999998</v>
      </c>
      <c r="D10" s="6">
        <v>1706.336</v>
      </c>
      <c r="E10" s="6">
        <v>150.10900000000001</v>
      </c>
      <c r="F10">
        <v>0.2472385</v>
      </c>
      <c r="G10">
        <v>8.7971530000000006E-2</v>
      </c>
      <c r="H10" s="2">
        <v>0.22</v>
      </c>
      <c r="I10">
        <v>0.90219419999999995</v>
      </c>
      <c r="J10">
        <v>5.2705789999999997</v>
      </c>
      <c r="K10">
        <v>1.4489439999999999E-2</v>
      </c>
      <c r="L10">
        <v>12973.04</v>
      </c>
      <c r="M10" s="1">
        <v>1.7400000000000001E-6</v>
      </c>
      <c r="N10">
        <v>12.973039999999999</v>
      </c>
      <c r="O10">
        <v>0</v>
      </c>
      <c r="P10">
        <v>1.005541</v>
      </c>
      <c r="Q10">
        <v>190783.7</v>
      </c>
      <c r="R10">
        <v>0</v>
      </c>
    </row>
    <row r="11" spans="1:18" x14ac:dyDescent="0.25">
      <c r="A11">
        <v>1</v>
      </c>
      <c r="B11">
        <v>118.3248</v>
      </c>
      <c r="C11">
        <v>60.000100000000003</v>
      </c>
      <c r="D11" s="6">
        <v>1742.52</v>
      </c>
      <c r="E11" s="6">
        <v>144.10390000000001</v>
      </c>
      <c r="F11">
        <v>0.24707789999999999</v>
      </c>
      <c r="G11">
        <v>8.2698530000000006E-2</v>
      </c>
      <c r="H11" s="2">
        <v>0.32</v>
      </c>
      <c r="I11">
        <v>0.8991576</v>
      </c>
      <c r="J11">
        <v>5.1577809999999999</v>
      </c>
      <c r="K11">
        <v>1.417934E-2</v>
      </c>
      <c r="L11">
        <v>12973.39</v>
      </c>
      <c r="M11" s="1">
        <v>7.0699999999999996E-7</v>
      </c>
      <c r="N11">
        <v>12.97339</v>
      </c>
      <c r="O11">
        <v>0</v>
      </c>
      <c r="P11">
        <v>1.004888</v>
      </c>
      <c r="Q11">
        <v>194829.4</v>
      </c>
      <c r="R11">
        <v>0</v>
      </c>
    </row>
    <row r="12" spans="1:18" x14ac:dyDescent="0.25">
      <c r="A12">
        <v>1</v>
      </c>
      <c r="B12">
        <v>125.8643</v>
      </c>
      <c r="C12">
        <v>59.999879999999997</v>
      </c>
      <c r="D12" s="6">
        <v>1776.425</v>
      </c>
      <c r="E12" s="6">
        <v>139.5181</v>
      </c>
      <c r="F12">
        <v>0.24699660000000001</v>
      </c>
      <c r="G12">
        <v>7.853868E-2</v>
      </c>
      <c r="H12" s="2">
        <v>0.46</v>
      </c>
      <c r="I12">
        <v>0.89665470000000003</v>
      </c>
      <c r="J12">
        <v>5.0576749999999997</v>
      </c>
      <c r="K12">
        <v>1.3904140000000001E-2</v>
      </c>
      <c r="L12">
        <v>12973.71</v>
      </c>
      <c r="M12" s="1">
        <v>1.5200000000000001E-6</v>
      </c>
      <c r="N12">
        <v>12.973710000000001</v>
      </c>
      <c r="O12">
        <v>0</v>
      </c>
      <c r="P12">
        <v>1.0045569999999999</v>
      </c>
      <c r="Q12">
        <v>198620.4</v>
      </c>
      <c r="R12">
        <v>0</v>
      </c>
    </row>
    <row r="13" spans="1:18" x14ac:dyDescent="0.25">
      <c r="A13">
        <v>1</v>
      </c>
      <c r="B13">
        <v>133.40379999999999</v>
      </c>
      <c r="C13">
        <v>60</v>
      </c>
      <c r="D13" s="6">
        <v>1812.4</v>
      </c>
      <c r="E13" s="6">
        <v>135.33320000000001</v>
      </c>
      <c r="F13">
        <v>0.24713099999999999</v>
      </c>
      <c r="G13">
        <v>7.4670719999999996E-2</v>
      </c>
      <c r="H13" s="2">
        <v>0.68</v>
      </c>
      <c r="I13">
        <v>0.89488190000000001</v>
      </c>
      <c r="J13">
        <v>4.9599830000000003</v>
      </c>
      <c r="K13">
        <v>1.363557E-2</v>
      </c>
      <c r="L13">
        <v>12974</v>
      </c>
      <c r="M13" s="1">
        <v>2.7199999999999998E-6</v>
      </c>
      <c r="N13">
        <v>12.974</v>
      </c>
      <c r="O13">
        <v>0</v>
      </c>
      <c r="P13">
        <v>1.005104</v>
      </c>
      <c r="Q13">
        <v>202642.6</v>
      </c>
      <c r="R13">
        <v>0</v>
      </c>
    </row>
    <row r="14" spans="1:18" x14ac:dyDescent="0.25">
      <c r="A14">
        <v>1</v>
      </c>
      <c r="B14">
        <v>135.22579999999999</v>
      </c>
      <c r="C14">
        <v>60.000100000000003</v>
      </c>
      <c r="D14" s="6">
        <v>1845.133</v>
      </c>
      <c r="E14" s="6">
        <v>132.15129999999999</v>
      </c>
      <c r="F14">
        <v>0.24683379999999999</v>
      </c>
      <c r="G14">
        <v>7.1621560000000001E-2</v>
      </c>
      <c r="H14" s="2">
        <v>1</v>
      </c>
      <c r="I14">
        <v>0.89175689999999996</v>
      </c>
      <c r="J14">
        <v>4.8661310000000002</v>
      </c>
      <c r="K14">
        <v>1.337756E-2</v>
      </c>
      <c r="L14">
        <v>12974.06</v>
      </c>
      <c r="M14" s="1">
        <v>2.1799999999999999E-6</v>
      </c>
      <c r="N14">
        <v>12.97406</v>
      </c>
      <c r="O14">
        <v>0</v>
      </c>
      <c r="P14">
        <v>1.003895</v>
      </c>
      <c r="Q14">
        <v>206302.5</v>
      </c>
      <c r="R14">
        <v>0</v>
      </c>
    </row>
    <row r="15" spans="1:18" x14ac:dyDescent="0.25">
      <c r="A15">
        <v>1</v>
      </c>
      <c r="B15">
        <v>135.53020000000001</v>
      </c>
      <c r="C15">
        <v>60.000399999999999</v>
      </c>
      <c r="D15" s="6">
        <v>1877.809</v>
      </c>
      <c r="E15" s="6">
        <v>129.7192</v>
      </c>
      <c r="F15">
        <v>0.2469663</v>
      </c>
      <c r="G15">
        <v>6.908011E-2</v>
      </c>
      <c r="H15" s="2">
        <v>1.5</v>
      </c>
      <c r="I15">
        <v>0.89022120000000005</v>
      </c>
      <c r="J15">
        <v>4.7840210000000001</v>
      </c>
      <c r="K15">
        <v>1.315184E-2</v>
      </c>
      <c r="L15">
        <v>12974.08</v>
      </c>
      <c r="M15" s="1">
        <v>1.9E-6</v>
      </c>
      <c r="N15">
        <v>12.974080000000001</v>
      </c>
      <c r="O15">
        <v>0</v>
      </c>
      <c r="P15">
        <v>1.004434</v>
      </c>
      <c r="Q15">
        <v>209956</v>
      </c>
      <c r="R15">
        <v>0</v>
      </c>
    </row>
    <row r="16" spans="1:18" x14ac:dyDescent="0.25">
      <c r="A16">
        <v>1</v>
      </c>
      <c r="B16">
        <v>136.80199999999999</v>
      </c>
      <c r="C16">
        <v>60.000219999999999</v>
      </c>
      <c r="D16" s="6">
        <v>1908.6690000000001</v>
      </c>
      <c r="E16" s="6">
        <v>127.6752</v>
      </c>
      <c r="F16">
        <v>0.2467878</v>
      </c>
      <c r="G16">
        <v>6.6892279999999998E-2</v>
      </c>
      <c r="H16" s="2">
        <v>2.2000000000000002</v>
      </c>
      <c r="I16">
        <v>0.88762819999999998</v>
      </c>
      <c r="J16">
        <v>4.7032699999999998</v>
      </c>
      <c r="K16">
        <v>1.292984E-2</v>
      </c>
      <c r="L16">
        <v>12974.12</v>
      </c>
      <c r="M16" s="1">
        <v>1.5200000000000001E-6</v>
      </c>
      <c r="N16">
        <v>12.974130000000001</v>
      </c>
      <c r="O16">
        <v>0</v>
      </c>
      <c r="P16">
        <v>1.003708</v>
      </c>
      <c r="Q16">
        <v>213406.4</v>
      </c>
      <c r="R16">
        <v>0</v>
      </c>
    </row>
    <row r="17" spans="1:18" x14ac:dyDescent="0.25">
      <c r="A17">
        <v>1</v>
      </c>
      <c r="B17">
        <v>138.33940000000001</v>
      </c>
      <c r="C17">
        <v>60.000120000000003</v>
      </c>
      <c r="D17" s="6">
        <v>1938.134</v>
      </c>
      <c r="E17" s="6">
        <v>126.1464</v>
      </c>
      <c r="F17">
        <v>0.24678729999999999</v>
      </c>
      <c r="G17">
        <v>6.5086530000000004E-2</v>
      </c>
      <c r="H17" s="2">
        <v>3.2</v>
      </c>
      <c r="I17">
        <v>0.88566279999999997</v>
      </c>
      <c r="J17">
        <v>4.6317579999999996</v>
      </c>
      <c r="K17">
        <v>1.273324E-2</v>
      </c>
      <c r="L17">
        <v>12974.18</v>
      </c>
      <c r="M17" s="1">
        <v>1.0899999999999999E-6</v>
      </c>
      <c r="N17">
        <v>12.97418</v>
      </c>
      <c r="O17">
        <v>0</v>
      </c>
      <c r="P17">
        <v>1.003706</v>
      </c>
      <c r="Q17">
        <v>216700.79999999999</v>
      </c>
      <c r="R17">
        <v>0</v>
      </c>
    </row>
    <row r="18" spans="1:18" x14ac:dyDescent="0.25">
      <c r="A18">
        <v>1</v>
      </c>
      <c r="B18">
        <v>139.8766</v>
      </c>
      <c r="C18">
        <v>60.000300000000003</v>
      </c>
      <c r="D18" s="6">
        <v>1966.98</v>
      </c>
      <c r="E18" s="6">
        <v>125.2085</v>
      </c>
      <c r="F18">
        <v>0.2467317</v>
      </c>
      <c r="G18">
        <v>6.3655199999999995E-2</v>
      </c>
      <c r="H18" s="2">
        <v>4.5999999999999996</v>
      </c>
      <c r="I18">
        <v>0.88332529999999998</v>
      </c>
      <c r="J18">
        <v>4.5628039999999999</v>
      </c>
      <c r="K18">
        <v>1.254368E-2</v>
      </c>
      <c r="L18">
        <v>12974.23</v>
      </c>
      <c r="M18" s="1">
        <v>7.0699999999999996E-7</v>
      </c>
      <c r="N18">
        <v>12.97423</v>
      </c>
      <c r="O18">
        <v>0</v>
      </c>
      <c r="P18">
        <v>1.0034799999999999</v>
      </c>
      <c r="Q18">
        <v>219926</v>
      </c>
      <c r="R18">
        <v>0</v>
      </c>
    </row>
    <row r="19" spans="1:18" x14ac:dyDescent="0.25">
      <c r="A19">
        <v>1</v>
      </c>
      <c r="B19">
        <v>141.41380000000001</v>
      </c>
      <c r="C19">
        <v>60.000329999999998</v>
      </c>
      <c r="D19" s="6">
        <v>1997.537</v>
      </c>
      <c r="E19" s="6">
        <v>124.25830000000001</v>
      </c>
      <c r="F19">
        <v>0.24682319999999999</v>
      </c>
      <c r="G19">
        <v>6.2205740000000002E-2</v>
      </c>
      <c r="H19" s="2">
        <v>6.8</v>
      </c>
      <c r="I19">
        <v>0.8808281</v>
      </c>
      <c r="J19">
        <v>4.4946710000000003</v>
      </c>
      <c r="K19">
        <v>1.235638E-2</v>
      </c>
      <c r="L19">
        <v>12974.28</v>
      </c>
      <c r="M19" s="1">
        <v>3.8099999999999998E-7</v>
      </c>
      <c r="N19">
        <v>12.97429</v>
      </c>
      <c r="O19">
        <v>0</v>
      </c>
      <c r="P19">
        <v>1.003852</v>
      </c>
      <c r="Q19">
        <v>223342.6</v>
      </c>
      <c r="R19">
        <v>0</v>
      </c>
    </row>
    <row r="20" spans="1:18" x14ac:dyDescent="0.25">
      <c r="A20">
        <v>1</v>
      </c>
      <c r="B20">
        <v>141.90100000000001</v>
      </c>
      <c r="C20">
        <v>59.999980000000001</v>
      </c>
      <c r="D20" s="6">
        <v>2027.748</v>
      </c>
      <c r="E20" s="6">
        <v>123.883</v>
      </c>
      <c r="F20">
        <v>0.2467384</v>
      </c>
      <c r="G20">
        <v>6.1093889999999998E-2</v>
      </c>
      <c r="H20" s="2">
        <v>10</v>
      </c>
      <c r="I20">
        <v>0.87651060000000003</v>
      </c>
      <c r="J20">
        <v>4.4261840000000001</v>
      </c>
      <c r="K20">
        <v>1.2168099999999999E-2</v>
      </c>
      <c r="L20">
        <v>12974.3</v>
      </c>
      <c r="M20">
        <v>0</v>
      </c>
      <c r="N20">
        <v>12.974299999999999</v>
      </c>
      <c r="O20">
        <v>0</v>
      </c>
      <c r="P20">
        <v>1.0035069999999999</v>
      </c>
      <c r="Q20">
        <v>226720.5</v>
      </c>
      <c r="R20">
        <v>0</v>
      </c>
    </row>
    <row r="21" spans="1:18" x14ac:dyDescent="0.25">
      <c r="A21">
        <v>1</v>
      </c>
      <c r="B21">
        <v>142.5547</v>
      </c>
      <c r="C21">
        <v>60.000309999999999</v>
      </c>
      <c r="D21" s="6">
        <v>2056.576</v>
      </c>
      <c r="E21" s="6">
        <v>124.0275</v>
      </c>
      <c r="F21">
        <v>0.24669099999999999</v>
      </c>
      <c r="G21">
        <v>6.0307739999999999E-2</v>
      </c>
      <c r="H21" s="2">
        <v>14.6</v>
      </c>
      <c r="I21">
        <v>0.86992440000000004</v>
      </c>
      <c r="J21">
        <v>4.3633030000000002</v>
      </c>
      <c r="K21">
        <v>1.1995230000000001E-2</v>
      </c>
      <c r="L21">
        <v>12974.32</v>
      </c>
      <c r="M21" s="1">
        <v>3.2600000000000001E-6</v>
      </c>
      <c r="N21">
        <v>12.97433</v>
      </c>
      <c r="O21">
        <v>0</v>
      </c>
      <c r="P21">
        <v>1.003314</v>
      </c>
      <c r="Q21">
        <v>229943.8</v>
      </c>
      <c r="R21">
        <v>0</v>
      </c>
    </row>
    <row r="22" spans="1:18" x14ac:dyDescent="0.25">
      <c r="A22">
        <v>1</v>
      </c>
      <c r="B22">
        <v>142.99180000000001</v>
      </c>
      <c r="C22">
        <v>59.999879999999997</v>
      </c>
      <c r="D22" s="6">
        <v>2086.8580000000002</v>
      </c>
      <c r="E22" s="6">
        <v>124.8627</v>
      </c>
      <c r="F22">
        <v>0.24677009999999999</v>
      </c>
      <c r="G22">
        <v>5.983289E-2</v>
      </c>
      <c r="H22" s="2">
        <v>21.5</v>
      </c>
      <c r="I22">
        <v>0.85814880000000004</v>
      </c>
      <c r="J22">
        <v>4.3013669999999999</v>
      </c>
      <c r="K22">
        <v>1.1824960000000001E-2</v>
      </c>
      <c r="L22">
        <v>12974.34</v>
      </c>
      <c r="M22" s="1">
        <v>3.2600000000000001E-6</v>
      </c>
      <c r="N22">
        <v>12.97434</v>
      </c>
      <c r="O22">
        <v>0</v>
      </c>
      <c r="P22">
        <v>1.003636</v>
      </c>
      <c r="Q22">
        <v>233329.4</v>
      </c>
      <c r="R22">
        <v>0</v>
      </c>
    </row>
    <row r="23" spans="1:18" x14ac:dyDescent="0.25">
      <c r="A23">
        <v>1</v>
      </c>
      <c r="B23">
        <v>143.679</v>
      </c>
      <c r="C23">
        <v>59.999670000000002</v>
      </c>
      <c r="D23" s="6">
        <v>2117.4920000000002</v>
      </c>
      <c r="E23" s="6">
        <v>125.6211</v>
      </c>
      <c r="F23">
        <v>0.2467184</v>
      </c>
      <c r="G23">
        <v>5.9325410000000002E-2</v>
      </c>
      <c r="H23" s="2">
        <v>31.6</v>
      </c>
      <c r="I23">
        <v>0.83445060000000004</v>
      </c>
      <c r="J23">
        <v>4.2382499999999999</v>
      </c>
      <c r="K23">
        <v>1.1651440000000001E-2</v>
      </c>
      <c r="L23">
        <v>12974.36</v>
      </c>
      <c r="M23" s="1">
        <v>3.05E-6</v>
      </c>
      <c r="N23">
        <v>12.974360000000001</v>
      </c>
      <c r="O23">
        <v>0</v>
      </c>
      <c r="P23">
        <v>1.003425</v>
      </c>
      <c r="Q23">
        <v>236754.7</v>
      </c>
      <c r="R23">
        <v>0</v>
      </c>
    </row>
    <row r="24" spans="1:18" x14ac:dyDescent="0.25">
      <c r="A24">
        <v>1</v>
      </c>
      <c r="B24">
        <v>144.46619999999999</v>
      </c>
      <c r="C24">
        <v>59.999459999999999</v>
      </c>
      <c r="D24" s="6">
        <v>2145.627</v>
      </c>
      <c r="E24" s="6">
        <v>124.6859</v>
      </c>
      <c r="F24">
        <v>0.2466235</v>
      </c>
      <c r="G24">
        <v>5.8111620000000003E-2</v>
      </c>
      <c r="H24" s="2">
        <v>46.4</v>
      </c>
      <c r="I24">
        <v>0.78647529999999999</v>
      </c>
      <c r="J24">
        <v>4.1810660000000004</v>
      </c>
      <c r="K24">
        <v>1.1494239999999999E-2</v>
      </c>
      <c r="L24">
        <v>12974.39</v>
      </c>
      <c r="M24" s="1">
        <v>2.83E-6</v>
      </c>
      <c r="N24">
        <v>12.97439</v>
      </c>
      <c r="O24">
        <v>0</v>
      </c>
      <c r="P24">
        <v>1.003039</v>
      </c>
      <c r="Q24">
        <v>239900.4</v>
      </c>
      <c r="R24">
        <v>0</v>
      </c>
    </row>
    <row r="25" spans="1:18" x14ac:dyDescent="0.25">
      <c r="A25">
        <v>1</v>
      </c>
      <c r="B25">
        <v>144.7867</v>
      </c>
      <c r="C25">
        <v>59.999580000000002</v>
      </c>
      <c r="D25" s="6">
        <v>2173.4160000000002</v>
      </c>
      <c r="E25" s="6">
        <v>125.4066</v>
      </c>
      <c r="F25">
        <v>0.24662919999999999</v>
      </c>
      <c r="G25">
        <v>5.770024E-2</v>
      </c>
      <c r="H25" s="2">
        <v>68</v>
      </c>
      <c r="I25">
        <v>0.68771260000000001</v>
      </c>
      <c r="J25">
        <v>4.1277010000000001</v>
      </c>
      <c r="K25">
        <v>1.134753E-2</v>
      </c>
      <c r="L25">
        <v>12974.4</v>
      </c>
      <c r="M25" s="1">
        <v>2.83E-6</v>
      </c>
      <c r="N25">
        <v>12.974399999999999</v>
      </c>
      <c r="O25">
        <v>0</v>
      </c>
      <c r="P25">
        <v>1.0030619999999999</v>
      </c>
      <c r="Q25">
        <v>243007.5</v>
      </c>
      <c r="R25">
        <v>0</v>
      </c>
    </row>
    <row r="26" spans="1:18" x14ac:dyDescent="0.25">
      <c r="A26">
        <v>1</v>
      </c>
      <c r="B26">
        <v>144.9736</v>
      </c>
      <c r="C26">
        <v>59.999510000000001</v>
      </c>
      <c r="D26" s="6">
        <v>2180.3760000000002</v>
      </c>
      <c r="E26" s="6">
        <v>128.73769999999999</v>
      </c>
      <c r="F26">
        <v>0.24572179999999999</v>
      </c>
      <c r="G26">
        <v>5.90438E-2</v>
      </c>
      <c r="H26" s="2">
        <v>100</v>
      </c>
      <c r="I26">
        <v>0.4735644</v>
      </c>
      <c r="J26">
        <v>4.0993880000000003</v>
      </c>
      <c r="K26">
        <v>1.1269700000000001E-2</v>
      </c>
      <c r="L26">
        <v>12974.4</v>
      </c>
      <c r="M26" s="1">
        <v>2.83E-6</v>
      </c>
      <c r="N26">
        <v>12.974399999999999</v>
      </c>
      <c r="O26">
        <v>0</v>
      </c>
      <c r="P26">
        <v>0.99937189999999998</v>
      </c>
      <c r="Q26">
        <v>243785.60000000001</v>
      </c>
      <c r="R26">
        <v>0</v>
      </c>
    </row>
    <row r="27" spans="1:18" x14ac:dyDescent="0.25">
      <c r="D27" s="6"/>
      <c r="E27" s="6"/>
      <c r="H27" s="2"/>
      <c r="M27" s="1"/>
    </row>
    <row r="28" spans="1:18" x14ac:dyDescent="0.25">
      <c r="A28">
        <v>2</v>
      </c>
      <c r="B28">
        <v>195.71559999999999</v>
      </c>
      <c r="C28">
        <v>65.000240000000005</v>
      </c>
      <c r="D28" s="6">
        <v>691.05809999999997</v>
      </c>
      <c r="E28" s="6">
        <v>247.21360000000001</v>
      </c>
      <c r="F28">
        <v>0.24755469999999999</v>
      </c>
      <c r="G28">
        <v>0.35773199999999999</v>
      </c>
      <c r="H28" s="2">
        <v>9.9999990000000007E-3</v>
      </c>
      <c r="I28">
        <v>1.020513</v>
      </c>
      <c r="J28">
        <v>13.030570000000001</v>
      </c>
      <c r="K28">
        <v>3.5822560000000003E-2</v>
      </c>
      <c r="L28">
        <v>12995.46</v>
      </c>
      <c r="M28" s="1">
        <v>1.4100000000000001E-6</v>
      </c>
      <c r="N28">
        <v>12.99546</v>
      </c>
      <c r="O28">
        <v>0</v>
      </c>
      <c r="P28">
        <v>1.0068269999999999</v>
      </c>
      <c r="Q28">
        <v>77266.509999999995</v>
      </c>
      <c r="R28">
        <v>0</v>
      </c>
    </row>
    <row r="29" spans="1:18" x14ac:dyDescent="0.25">
      <c r="A29">
        <v>2</v>
      </c>
      <c r="B29">
        <v>208.28129999999999</v>
      </c>
      <c r="C29">
        <v>64.999960000000002</v>
      </c>
      <c r="D29" s="6">
        <v>807.14599999999996</v>
      </c>
      <c r="E29" s="6">
        <v>243.7028</v>
      </c>
      <c r="F29">
        <v>0.24677579999999999</v>
      </c>
      <c r="G29">
        <v>0.30193140000000002</v>
      </c>
      <c r="H29" s="2">
        <v>0.02</v>
      </c>
      <c r="I29">
        <v>0.9928207</v>
      </c>
      <c r="J29">
        <v>11.12134</v>
      </c>
      <c r="K29">
        <v>3.0573860000000001E-2</v>
      </c>
      <c r="L29">
        <v>12997.58</v>
      </c>
      <c r="M29" s="1">
        <v>2.1799999999999999E-6</v>
      </c>
      <c r="N29">
        <v>12.997579999999999</v>
      </c>
      <c r="O29">
        <v>0</v>
      </c>
      <c r="P29">
        <v>1.0036579999999999</v>
      </c>
      <c r="Q29">
        <v>90246.19</v>
      </c>
      <c r="R29">
        <v>0</v>
      </c>
    </row>
    <row r="30" spans="1:18" x14ac:dyDescent="0.25">
      <c r="A30">
        <v>2</v>
      </c>
      <c r="B30">
        <v>230.01320000000001</v>
      </c>
      <c r="C30">
        <v>65.000219999999999</v>
      </c>
      <c r="D30" s="6">
        <v>874.48</v>
      </c>
      <c r="E30" s="6">
        <v>236.19890000000001</v>
      </c>
      <c r="F30">
        <v>0.24684239999999999</v>
      </c>
      <c r="G30">
        <v>0.27010200000000001</v>
      </c>
      <c r="H30" s="2">
        <v>0.03</v>
      </c>
      <c r="I30">
        <v>0.98028190000000004</v>
      </c>
      <c r="J30">
        <v>10.26778</v>
      </c>
      <c r="K30">
        <v>2.8227329999999998E-2</v>
      </c>
      <c r="L30">
        <v>13000.42</v>
      </c>
      <c r="M30" s="1">
        <v>9.7900000000000007E-7</v>
      </c>
      <c r="N30">
        <v>13.00042</v>
      </c>
      <c r="O30">
        <v>0</v>
      </c>
      <c r="P30">
        <v>1.00393</v>
      </c>
      <c r="Q30">
        <v>97774.720000000001</v>
      </c>
      <c r="R30">
        <v>0</v>
      </c>
    </row>
    <row r="31" spans="1:18" x14ac:dyDescent="0.25">
      <c r="A31">
        <v>2</v>
      </c>
      <c r="B31">
        <v>237.40950000000001</v>
      </c>
      <c r="C31">
        <v>64.999629999999996</v>
      </c>
      <c r="D31" s="6">
        <v>952.33579999999995</v>
      </c>
      <c r="E31" s="6">
        <v>230.1482</v>
      </c>
      <c r="F31">
        <v>0.24678800000000001</v>
      </c>
      <c r="G31">
        <v>0.24166699999999999</v>
      </c>
      <c r="H31" s="2">
        <v>0.05</v>
      </c>
      <c r="I31">
        <v>0.96848939999999994</v>
      </c>
      <c r="J31">
        <v>9.4262879999999996</v>
      </c>
      <c r="K31">
        <v>2.591396E-2</v>
      </c>
      <c r="L31">
        <v>13001.3</v>
      </c>
      <c r="M31" s="1">
        <v>1.3599999999999999E-6</v>
      </c>
      <c r="N31">
        <v>13.001300000000001</v>
      </c>
      <c r="O31">
        <v>0</v>
      </c>
      <c r="P31">
        <v>1.003708</v>
      </c>
      <c r="Q31">
        <v>106479.7</v>
      </c>
      <c r="R31">
        <v>0</v>
      </c>
    </row>
    <row r="32" spans="1:18" x14ac:dyDescent="0.25">
      <c r="A32">
        <v>2</v>
      </c>
      <c r="B32">
        <v>258.1386</v>
      </c>
      <c r="C32">
        <v>65</v>
      </c>
      <c r="D32" s="6">
        <v>1003.414</v>
      </c>
      <c r="E32" s="6">
        <v>224.62479999999999</v>
      </c>
      <c r="F32">
        <v>0.24740580000000001</v>
      </c>
      <c r="G32">
        <v>0.22386059999999999</v>
      </c>
      <c r="H32" s="2">
        <v>7.0000000000000007E-2</v>
      </c>
      <c r="I32">
        <v>0.96379380000000003</v>
      </c>
      <c r="J32">
        <v>8.9688470000000002</v>
      </c>
      <c r="K32">
        <v>2.465641E-2</v>
      </c>
      <c r="L32">
        <v>13003.22</v>
      </c>
      <c r="M32" s="1">
        <v>1.6300000000000001E-6</v>
      </c>
      <c r="N32">
        <v>13.003220000000001</v>
      </c>
      <c r="O32">
        <v>0</v>
      </c>
      <c r="P32">
        <v>1.006221</v>
      </c>
      <c r="Q32">
        <v>112190.7</v>
      </c>
      <c r="R32">
        <v>0</v>
      </c>
    </row>
    <row r="33" spans="1:18" x14ac:dyDescent="0.25">
      <c r="A33">
        <v>2</v>
      </c>
      <c r="B33">
        <v>263.69869999999997</v>
      </c>
      <c r="C33">
        <v>65.000100000000003</v>
      </c>
      <c r="D33" s="6">
        <v>1054.4970000000001</v>
      </c>
      <c r="E33" s="6">
        <v>219.5368</v>
      </c>
      <c r="F33">
        <v>0.24618319999999999</v>
      </c>
      <c r="G33">
        <v>0.20819109999999999</v>
      </c>
      <c r="H33" s="2">
        <v>0.1</v>
      </c>
      <c r="I33">
        <v>0.95276819999999995</v>
      </c>
      <c r="J33">
        <v>8.4921939999999996</v>
      </c>
      <c r="K33">
        <v>2.334603E-2</v>
      </c>
      <c r="L33">
        <v>13003.66</v>
      </c>
      <c r="M33" s="1">
        <v>1.5200000000000001E-6</v>
      </c>
      <c r="N33">
        <v>13.00366</v>
      </c>
      <c r="O33">
        <v>0</v>
      </c>
      <c r="P33">
        <v>1.0012479999999999</v>
      </c>
      <c r="Q33">
        <v>117902.2</v>
      </c>
      <c r="R33">
        <v>0</v>
      </c>
    </row>
    <row r="34" spans="1:18" x14ac:dyDescent="0.25">
      <c r="A34">
        <v>2</v>
      </c>
      <c r="B34">
        <v>268.42349999999999</v>
      </c>
      <c r="C34">
        <v>64.999889999999994</v>
      </c>
      <c r="D34" s="6">
        <v>1110.02</v>
      </c>
      <c r="E34" s="6">
        <v>214.2122</v>
      </c>
      <c r="F34">
        <v>0.24627070000000001</v>
      </c>
      <c r="G34">
        <v>0.1929805</v>
      </c>
      <c r="H34" s="2">
        <v>0.15</v>
      </c>
      <c r="I34">
        <v>0.94692529999999997</v>
      </c>
      <c r="J34">
        <v>8.0702800000000003</v>
      </c>
      <c r="K34">
        <v>2.218614E-2</v>
      </c>
      <c r="L34">
        <v>13003.97</v>
      </c>
      <c r="M34" s="1">
        <v>9.7900000000000007E-7</v>
      </c>
      <c r="N34">
        <v>13.003970000000001</v>
      </c>
      <c r="O34">
        <v>0</v>
      </c>
      <c r="P34">
        <v>1.0016039999999999</v>
      </c>
      <c r="Q34">
        <v>124110.2</v>
      </c>
      <c r="R34">
        <v>0</v>
      </c>
    </row>
    <row r="35" spans="1:18" x14ac:dyDescent="0.25">
      <c r="A35">
        <v>2</v>
      </c>
      <c r="B35">
        <v>279.14839999999998</v>
      </c>
      <c r="C35">
        <v>65.000029999999995</v>
      </c>
      <c r="D35" s="6">
        <v>1160.9829999999999</v>
      </c>
      <c r="E35" s="6">
        <v>208.65209999999999</v>
      </c>
      <c r="F35">
        <v>0.24729799999999999</v>
      </c>
      <c r="G35">
        <v>0.1797202</v>
      </c>
      <c r="H35" s="2">
        <v>0.22</v>
      </c>
      <c r="I35">
        <v>0.94547590000000004</v>
      </c>
      <c r="J35">
        <v>7.7482119999999997</v>
      </c>
      <c r="K35">
        <v>2.1300739999999999E-2</v>
      </c>
      <c r="L35">
        <v>13004.77</v>
      </c>
      <c r="M35" s="1">
        <v>1.7400000000000001E-6</v>
      </c>
      <c r="N35">
        <v>13.004770000000001</v>
      </c>
      <c r="O35">
        <v>0</v>
      </c>
      <c r="P35">
        <v>1.0057830000000001</v>
      </c>
      <c r="Q35">
        <v>129808.4</v>
      </c>
      <c r="R35">
        <v>0</v>
      </c>
    </row>
    <row r="36" spans="1:18" x14ac:dyDescent="0.25">
      <c r="A36">
        <v>2</v>
      </c>
      <c r="B36">
        <v>290.8732</v>
      </c>
      <c r="C36">
        <v>64.99991</v>
      </c>
      <c r="D36" s="6">
        <v>1210.2940000000001</v>
      </c>
      <c r="E36" s="6">
        <v>203.24809999999999</v>
      </c>
      <c r="F36">
        <v>0.24734790000000001</v>
      </c>
      <c r="G36">
        <v>0.1679329</v>
      </c>
      <c r="H36" s="2">
        <v>0.32</v>
      </c>
      <c r="I36">
        <v>0.94079049999999997</v>
      </c>
      <c r="J36">
        <v>7.4340279999999996</v>
      </c>
      <c r="K36">
        <v>2.0437009999999999E-2</v>
      </c>
      <c r="L36">
        <v>13005.55</v>
      </c>
      <c r="M36" s="1">
        <v>2.4499999999999998E-6</v>
      </c>
      <c r="N36">
        <v>13.005549999999999</v>
      </c>
      <c r="O36">
        <v>0</v>
      </c>
      <c r="P36">
        <v>1.005986</v>
      </c>
      <c r="Q36">
        <v>135321.70000000001</v>
      </c>
      <c r="R36">
        <v>0</v>
      </c>
    </row>
    <row r="37" spans="1:18" x14ac:dyDescent="0.25">
      <c r="A37">
        <v>2</v>
      </c>
      <c r="B37">
        <v>302.5949</v>
      </c>
      <c r="C37">
        <v>64.999939999999995</v>
      </c>
      <c r="D37" s="6">
        <v>1256.43</v>
      </c>
      <c r="E37" s="6">
        <v>198.69669999999999</v>
      </c>
      <c r="F37">
        <v>0.24729480000000001</v>
      </c>
      <c r="G37">
        <v>0.1581438</v>
      </c>
      <c r="H37" s="2">
        <v>0.46</v>
      </c>
      <c r="I37">
        <v>0.93633189999999999</v>
      </c>
      <c r="J37">
        <v>7.1595120000000003</v>
      </c>
      <c r="K37">
        <v>1.968234E-2</v>
      </c>
      <c r="L37">
        <v>13006.26</v>
      </c>
      <c r="M37" s="1">
        <v>1.0899999999999999E-6</v>
      </c>
      <c r="N37">
        <v>13.006259999999999</v>
      </c>
      <c r="O37">
        <v>0</v>
      </c>
      <c r="P37">
        <v>1.0057700000000001</v>
      </c>
      <c r="Q37">
        <v>140480.20000000001</v>
      </c>
      <c r="R37">
        <v>0</v>
      </c>
    </row>
    <row r="38" spans="1:18" x14ac:dyDescent="0.25">
      <c r="A38">
        <v>2</v>
      </c>
      <c r="B38">
        <v>314.31599999999997</v>
      </c>
      <c r="C38">
        <v>65.000240000000005</v>
      </c>
      <c r="D38" s="6">
        <v>1304.481</v>
      </c>
      <c r="E38" s="6">
        <v>193.91489999999999</v>
      </c>
      <c r="F38">
        <v>0.24725720000000001</v>
      </c>
      <c r="G38">
        <v>0.1486529</v>
      </c>
      <c r="H38" s="2">
        <v>0.68</v>
      </c>
      <c r="I38">
        <v>0.93198579999999998</v>
      </c>
      <c r="J38">
        <v>6.8947419999999999</v>
      </c>
      <c r="K38">
        <v>1.8954459999999999E-2</v>
      </c>
      <c r="L38">
        <v>13006.9</v>
      </c>
      <c r="M38" s="1">
        <v>2.0700000000000001E-6</v>
      </c>
      <c r="N38">
        <v>13.00691</v>
      </c>
      <c r="O38">
        <v>0</v>
      </c>
      <c r="P38">
        <v>1.005617</v>
      </c>
      <c r="Q38">
        <v>145852.70000000001</v>
      </c>
      <c r="R38">
        <v>0</v>
      </c>
    </row>
    <row r="39" spans="1:18" x14ac:dyDescent="0.25">
      <c r="A39">
        <v>2</v>
      </c>
      <c r="B39">
        <v>316.23570000000001</v>
      </c>
      <c r="C39">
        <v>64.999459999999999</v>
      </c>
      <c r="D39" s="6">
        <v>1348.5419999999999</v>
      </c>
      <c r="E39" s="6">
        <v>189.76089999999999</v>
      </c>
      <c r="F39">
        <v>0.24728020000000001</v>
      </c>
      <c r="G39">
        <v>0.14071549999999999</v>
      </c>
      <c r="H39" s="2">
        <v>1</v>
      </c>
      <c r="I39">
        <v>0.92836110000000005</v>
      </c>
      <c r="J39">
        <v>6.6700869999999997</v>
      </c>
      <c r="K39">
        <v>1.8336849999999998E-2</v>
      </c>
      <c r="L39">
        <v>13007</v>
      </c>
      <c r="M39" s="1">
        <v>8.71E-7</v>
      </c>
      <c r="N39">
        <v>13.007</v>
      </c>
      <c r="O39">
        <v>0</v>
      </c>
      <c r="P39">
        <v>1.0057100000000001</v>
      </c>
      <c r="Q39">
        <v>150779.20000000001</v>
      </c>
      <c r="R39">
        <v>0</v>
      </c>
    </row>
    <row r="40" spans="1:18" x14ac:dyDescent="0.25">
      <c r="A40">
        <v>2</v>
      </c>
      <c r="B40">
        <v>316.72149999999999</v>
      </c>
      <c r="C40">
        <v>64.999459999999999</v>
      </c>
      <c r="D40" s="6">
        <v>1395.328</v>
      </c>
      <c r="E40" s="6">
        <v>186.58260000000001</v>
      </c>
      <c r="F40">
        <v>0.247227</v>
      </c>
      <c r="G40">
        <v>0.13371949999999999</v>
      </c>
      <c r="H40" s="2">
        <v>1.5</v>
      </c>
      <c r="I40">
        <v>0.92446879999999998</v>
      </c>
      <c r="J40">
        <v>6.445049</v>
      </c>
      <c r="K40">
        <v>1.7718190000000002E-2</v>
      </c>
      <c r="L40">
        <v>13007.03</v>
      </c>
      <c r="M40" s="1">
        <v>8.16E-7</v>
      </c>
      <c r="N40">
        <v>13.00703</v>
      </c>
      <c r="O40">
        <v>0</v>
      </c>
      <c r="P40">
        <v>1.0054940000000001</v>
      </c>
      <c r="Q40">
        <v>156010.29999999999</v>
      </c>
      <c r="R40">
        <v>0</v>
      </c>
    </row>
    <row r="41" spans="1:18" x14ac:dyDescent="0.25">
      <c r="A41">
        <v>2</v>
      </c>
      <c r="B41">
        <v>318.84050000000002</v>
      </c>
      <c r="C41">
        <v>65.000399999999999</v>
      </c>
      <c r="D41" s="6">
        <v>1438.5450000000001</v>
      </c>
      <c r="E41" s="6">
        <v>183.15180000000001</v>
      </c>
      <c r="F41">
        <v>0.24714910000000001</v>
      </c>
      <c r="G41">
        <v>0.1273174</v>
      </c>
      <c r="H41" s="2">
        <v>2.2000000000000002</v>
      </c>
      <c r="I41">
        <v>0.92072200000000004</v>
      </c>
      <c r="J41">
        <v>6.2494589999999999</v>
      </c>
      <c r="K41">
        <v>1.718049E-2</v>
      </c>
      <c r="L41">
        <v>13007.14</v>
      </c>
      <c r="M41" s="1">
        <v>2.4499999999999998E-6</v>
      </c>
      <c r="N41">
        <v>13.00714</v>
      </c>
      <c r="O41">
        <v>0</v>
      </c>
      <c r="P41">
        <v>1.005177</v>
      </c>
      <c r="Q41">
        <v>160842.29999999999</v>
      </c>
      <c r="R41">
        <v>0</v>
      </c>
    </row>
    <row r="42" spans="1:18" x14ac:dyDescent="0.25">
      <c r="A42">
        <v>2</v>
      </c>
      <c r="B42">
        <v>321.226</v>
      </c>
      <c r="C42">
        <v>64.999939999999995</v>
      </c>
      <c r="D42" s="6">
        <v>1480.018</v>
      </c>
      <c r="E42" s="6">
        <v>179.56540000000001</v>
      </c>
      <c r="F42">
        <v>0.24713309999999999</v>
      </c>
      <c r="G42">
        <v>0.12132660000000001</v>
      </c>
      <c r="H42" s="2">
        <v>3.2</v>
      </c>
      <c r="I42">
        <v>0.91725630000000002</v>
      </c>
      <c r="J42">
        <v>6.073944</v>
      </c>
      <c r="K42">
        <v>1.6697980000000001E-2</v>
      </c>
      <c r="L42">
        <v>13007.26</v>
      </c>
      <c r="M42" s="1">
        <v>2.4499999999999998E-6</v>
      </c>
      <c r="N42">
        <v>13.00726</v>
      </c>
      <c r="O42">
        <v>0</v>
      </c>
      <c r="P42">
        <v>1.005112</v>
      </c>
      <c r="Q42">
        <v>165479.29999999999</v>
      </c>
      <c r="R42">
        <v>0</v>
      </c>
    </row>
    <row r="43" spans="1:18" x14ac:dyDescent="0.25">
      <c r="A43">
        <v>2</v>
      </c>
      <c r="B43">
        <v>323.61099999999999</v>
      </c>
      <c r="C43">
        <v>65.000079999999997</v>
      </c>
      <c r="D43" s="6">
        <v>1520.3389999999999</v>
      </c>
      <c r="E43" s="6">
        <v>177.8973</v>
      </c>
      <c r="F43">
        <v>0.2471168</v>
      </c>
      <c r="G43">
        <v>0.11701159999999999</v>
      </c>
      <c r="H43" s="2">
        <v>4.5999999999999996</v>
      </c>
      <c r="I43">
        <v>0.91377339999999996</v>
      </c>
      <c r="J43">
        <v>5.9124660000000002</v>
      </c>
      <c r="K43">
        <v>1.6254060000000001E-2</v>
      </c>
      <c r="L43">
        <v>13007.39</v>
      </c>
      <c r="M43" s="1">
        <v>1.3599999999999999E-6</v>
      </c>
      <c r="N43">
        <v>13.007389999999999</v>
      </c>
      <c r="O43">
        <v>0</v>
      </c>
      <c r="P43">
        <v>1.0050460000000001</v>
      </c>
      <c r="Q43">
        <v>169987.6</v>
      </c>
      <c r="R43">
        <v>0</v>
      </c>
    </row>
    <row r="44" spans="1:18" x14ac:dyDescent="0.25">
      <c r="A44">
        <v>2</v>
      </c>
      <c r="B44">
        <v>325.99560000000002</v>
      </c>
      <c r="C44">
        <v>64.999780000000001</v>
      </c>
      <c r="D44" s="6">
        <v>1562.296</v>
      </c>
      <c r="E44" s="6">
        <v>175.7621</v>
      </c>
      <c r="F44">
        <v>0.24704760000000001</v>
      </c>
      <c r="G44">
        <v>0.1125024</v>
      </c>
      <c r="H44" s="2">
        <v>6.8</v>
      </c>
      <c r="I44">
        <v>0.90926240000000003</v>
      </c>
      <c r="J44">
        <v>5.7520720000000001</v>
      </c>
      <c r="K44">
        <v>1.581312E-2</v>
      </c>
      <c r="L44">
        <v>13007.52</v>
      </c>
      <c r="M44" s="1">
        <v>4.8999999999999997E-7</v>
      </c>
      <c r="N44">
        <v>13.00752</v>
      </c>
      <c r="O44">
        <v>0</v>
      </c>
      <c r="P44">
        <v>1.004764</v>
      </c>
      <c r="Q44">
        <v>174678.7</v>
      </c>
      <c r="R44">
        <v>0</v>
      </c>
    </row>
    <row r="45" spans="1:18" x14ac:dyDescent="0.25">
      <c r="A45">
        <v>2</v>
      </c>
      <c r="B45">
        <v>326.57819999999998</v>
      </c>
      <c r="C45">
        <v>65.000200000000007</v>
      </c>
      <c r="D45" s="6">
        <v>1603.7</v>
      </c>
      <c r="E45" s="6">
        <v>174.24879999999999</v>
      </c>
      <c r="F45">
        <v>0.24707219999999999</v>
      </c>
      <c r="G45">
        <v>0.10865420000000001</v>
      </c>
      <c r="H45" s="2">
        <v>10</v>
      </c>
      <c r="I45">
        <v>0.90369860000000002</v>
      </c>
      <c r="J45">
        <v>5.6041210000000001</v>
      </c>
      <c r="K45">
        <v>1.5406390000000001E-2</v>
      </c>
      <c r="L45">
        <v>13007.54</v>
      </c>
      <c r="M45">
        <v>0</v>
      </c>
      <c r="N45">
        <v>13.007540000000001</v>
      </c>
      <c r="O45">
        <v>0</v>
      </c>
      <c r="P45">
        <v>1.004864</v>
      </c>
      <c r="Q45">
        <v>179308.1</v>
      </c>
      <c r="R45">
        <v>0</v>
      </c>
    </row>
    <row r="46" spans="1:18" x14ac:dyDescent="0.25">
      <c r="A46">
        <v>2</v>
      </c>
      <c r="B46">
        <v>327.65980000000002</v>
      </c>
      <c r="C46">
        <v>65.000439999999998</v>
      </c>
      <c r="D46" s="6">
        <v>1643.249</v>
      </c>
      <c r="E46" s="6">
        <v>172.90360000000001</v>
      </c>
      <c r="F46">
        <v>0.24701020000000001</v>
      </c>
      <c r="G46">
        <v>0.1052206</v>
      </c>
      <c r="H46" s="2">
        <v>14.6</v>
      </c>
      <c r="I46">
        <v>0.89492119999999997</v>
      </c>
      <c r="J46">
        <v>5.4678719999999998</v>
      </c>
      <c r="K46">
        <v>1.503182E-2</v>
      </c>
      <c r="L46">
        <v>13007.6</v>
      </c>
      <c r="M46" s="1">
        <v>3.1E-6</v>
      </c>
      <c r="N46">
        <v>13.0076</v>
      </c>
      <c r="O46">
        <v>0</v>
      </c>
      <c r="P46">
        <v>1.0046120000000001</v>
      </c>
      <c r="Q46">
        <v>183730</v>
      </c>
      <c r="R46">
        <v>0</v>
      </c>
    </row>
    <row r="47" spans="1:18" x14ac:dyDescent="0.25">
      <c r="A47">
        <v>2</v>
      </c>
      <c r="B47">
        <v>328.27480000000003</v>
      </c>
      <c r="C47">
        <v>65.000219999999999</v>
      </c>
      <c r="D47" s="6">
        <v>1684.2809999999999</v>
      </c>
      <c r="E47" s="6">
        <v>172.41560000000001</v>
      </c>
      <c r="F47">
        <v>0.2469963</v>
      </c>
      <c r="G47">
        <v>0.1023675</v>
      </c>
      <c r="H47" s="2">
        <v>21.5</v>
      </c>
      <c r="I47">
        <v>0.87952549999999996</v>
      </c>
      <c r="J47">
        <v>5.3343629999999997</v>
      </c>
      <c r="K47">
        <v>1.466479E-2</v>
      </c>
      <c r="L47">
        <v>13007.63</v>
      </c>
      <c r="M47" s="1">
        <v>2.83E-6</v>
      </c>
      <c r="N47">
        <v>13.007630000000001</v>
      </c>
      <c r="O47">
        <v>0</v>
      </c>
      <c r="P47">
        <v>1.004556</v>
      </c>
      <c r="Q47">
        <v>188317.8</v>
      </c>
      <c r="R47">
        <v>0</v>
      </c>
    </row>
    <row r="48" spans="1:18" x14ac:dyDescent="0.25">
      <c r="A48">
        <v>2</v>
      </c>
      <c r="B48">
        <v>329.3895</v>
      </c>
      <c r="C48">
        <v>65.000510000000006</v>
      </c>
      <c r="D48" s="6">
        <v>1724.9110000000001</v>
      </c>
      <c r="E48" s="6">
        <v>171.94540000000001</v>
      </c>
      <c r="F48">
        <v>0.2469402</v>
      </c>
      <c r="G48">
        <v>9.9683610000000006E-2</v>
      </c>
      <c r="H48" s="2">
        <v>31.6</v>
      </c>
      <c r="I48">
        <v>0.85023260000000001</v>
      </c>
      <c r="J48">
        <v>5.2075300000000002</v>
      </c>
      <c r="K48">
        <v>1.431611E-2</v>
      </c>
      <c r="L48">
        <v>13007.69</v>
      </c>
      <c r="M48" s="1">
        <v>2.5000000000000002E-6</v>
      </c>
      <c r="N48">
        <v>13.00769</v>
      </c>
      <c r="O48">
        <v>0</v>
      </c>
      <c r="P48">
        <v>1.004327</v>
      </c>
      <c r="Q48">
        <v>192860.6</v>
      </c>
      <c r="R48">
        <v>0</v>
      </c>
    </row>
    <row r="49" spans="1:18" x14ac:dyDescent="0.25">
      <c r="A49">
        <v>2</v>
      </c>
      <c r="B49">
        <v>330.60410000000002</v>
      </c>
      <c r="C49">
        <v>65.000039999999998</v>
      </c>
      <c r="D49" s="6">
        <v>1761.61</v>
      </c>
      <c r="E49" s="6">
        <v>170.9248</v>
      </c>
      <c r="F49">
        <v>0.2468967</v>
      </c>
      <c r="G49">
        <v>9.7027639999999998E-2</v>
      </c>
      <c r="H49" s="2">
        <v>46.4</v>
      </c>
      <c r="I49">
        <v>0.7921686</v>
      </c>
      <c r="J49">
        <v>5.0981480000000001</v>
      </c>
      <c r="K49">
        <v>1.4015400000000001E-2</v>
      </c>
      <c r="L49">
        <v>13007.75</v>
      </c>
      <c r="M49" s="1">
        <v>1.8500000000000001E-6</v>
      </c>
      <c r="N49">
        <v>13.00775</v>
      </c>
      <c r="O49">
        <v>0</v>
      </c>
      <c r="P49">
        <v>1.0041500000000001</v>
      </c>
      <c r="Q49">
        <v>196963.8</v>
      </c>
      <c r="R49">
        <v>0</v>
      </c>
    </row>
    <row r="50" spans="1:18" x14ac:dyDescent="0.25">
      <c r="A50">
        <v>2</v>
      </c>
      <c r="B50">
        <v>331.01870000000002</v>
      </c>
      <c r="C50">
        <v>65.000360000000001</v>
      </c>
      <c r="D50" s="6">
        <v>1801.5840000000001</v>
      </c>
      <c r="E50" s="6">
        <v>169.36510000000001</v>
      </c>
      <c r="F50">
        <v>0.2468342</v>
      </c>
      <c r="G50">
        <v>9.4008939999999999E-2</v>
      </c>
      <c r="H50" s="2">
        <v>68</v>
      </c>
      <c r="I50">
        <v>0.67351090000000002</v>
      </c>
      <c r="J50">
        <v>4.9837639999999999</v>
      </c>
      <c r="K50">
        <v>1.370095E-2</v>
      </c>
      <c r="L50">
        <v>13007.77</v>
      </c>
      <c r="M50" s="1">
        <v>1.7400000000000001E-6</v>
      </c>
      <c r="N50">
        <v>13.007770000000001</v>
      </c>
      <c r="O50">
        <v>0</v>
      </c>
      <c r="P50">
        <v>1.0038959999999999</v>
      </c>
      <c r="Q50">
        <v>201433.4</v>
      </c>
      <c r="R50">
        <v>0</v>
      </c>
    </row>
    <row r="51" spans="1:18" x14ac:dyDescent="0.25">
      <c r="A51">
        <v>2</v>
      </c>
      <c r="B51">
        <v>331.3005</v>
      </c>
      <c r="C51">
        <v>64.999759999999995</v>
      </c>
      <c r="D51" s="6">
        <v>1822.0229999999999</v>
      </c>
      <c r="E51" s="6">
        <v>171.3306</v>
      </c>
      <c r="F51">
        <v>0.24668309999999999</v>
      </c>
      <c r="G51">
        <v>9.4033190000000003E-2</v>
      </c>
      <c r="H51" s="2">
        <v>100</v>
      </c>
      <c r="I51">
        <v>0.42139330000000003</v>
      </c>
      <c r="J51">
        <v>4.9248430000000001</v>
      </c>
      <c r="K51">
        <v>1.3538970000000001E-2</v>
      </c>
      <c r="L51">
        <v>13007.78</v>
      </c>
      <c r="M51" s="1">
        <v>1.5200000000000001E-6</v>
      </c>
      <c r="N51">
        <v>13.00778</v>
      </c>
      <c r="O51">
        <v>0</v>
      </c>
      <c r="P51">
        <v>1.003282</v>
      </c>
      <c r="Q51">
        <v>203718.6</v>
      </c>
      <c r="R51">
        <v>0</v>
      </c>
    </row>
    <row r="52" spans="1:18" x14ac:dyDescent="0.25">
      <c r="D52" s="6"/>
      <c r="E52" s="6"/>
      <c r="H52" s="2"/>
      <c r="M52" s="1"/>
    </row>
    <row r="53" spans="1:18" x14ac:dyDescent="0.25">
      <c r="A53">
        <v>3</v>
      </c>
      <c r="B53">
        <v>7.9569999999999999</v>
      </c>
      <c r="C53">
        <v>69.984780000000001</v>
      </c>
      <c r="D53" s="6">
        <v>493.78960000000001</v>
      </c>
      <c r="E53" s="6">
        <v>200.56100000000001</v>
      </c>
      <c r="F53">
        <v>0.29060029999999998</v>
      </c>
      <c r="G53">
        <v>0.4061669</v>
      </c>
      <c r="H53" s="2">
        <v>0.1</v>
      </c>
      <c r="I53">
        <v>1.275317</v>
      </c>
      <c r="J53">
        <v>20.201799999999999</v>
      </c>
      <c r="K53">
        <v>5.8851029999999999E-2</v>
      </c>
      <c r="L53">
        <v>-4314.6000000000004</v>
      </c>
      <c r="M53" s="1">
        <v>2.1799999999999999E-7</v>
      </c>
      <c r="N53">
        <v>12.939489999999999</v>
      </c>
      <c r="O53">
        <v>0</v>
      </c>
      <c r="P53">
        <v>1.2264600000000001</v>
      </c>
      <c r="Q53">
        <v>60710.42</v>
      </c>
      <c r="R53">
        <v>0</v>
      </c>
    </row>
    <row r="54" spans="1:18" x14ac:dyDescent="0.25">
      <c r="A54">
        <v>3</v>
      </c>
      <c r="B54">
        <v>12.04025</v>
      </c>
      <c r="C54">
        <v>69.996499999999997</v>
      </c>
      <c r="D54" s="6">
        <v>473.6807</v>
      </c>
      <c r="E54" s="6">
        <v>194.85659999999999</v>
      </c>
      <c r="F54">
        <v>0.27808460000000002</v>
      </c>
      <c r="G54">
        <v>0.41136719999999999</v>
      </c>
      <c r="H54" s="2">
        <v>0.15</v>
      </c>
      <c r="I54">
        <v>1.224526</v>
      </c>
      <c r="J54">
        <v>20.152419999999999</v>
      </c>
      <c r="K54">
        <v>5.8707189999999999E-2</v>
      </c>
      <c r="L54">
        <v>-4290.3360000000002</v>
      </c>
      <c r="M54" s="1">
        <v>1.9E-6</v>
      </c>
      <c r="N54">
        <v>12.963760000000001</v>
      </c>
      <c r="O54">
        <v>0</v>
      </c>
      <c r="P54">
        <v>1.173638</v>
      </c>
      <c r="Q54">
        <v>58238.080000000002</v>
      </c>
      <c r="R54">
        <v>0</v>
      </c>
    </row>
    <row r="55" spans="1:18" x14ac:dyDescent="0.25">
      <c r="A55">
        <v>3</v>
      </c>
      <c r="B55">
        <v>20.25638</v>
      </c>
      <c r="C55">
        <v>69.997380000000007</v>
      </c>
      <c r="D55" s="6">
        <v>489.50259999999997</v>
      </c>
      <c r="E55" s="6">
        <v>195.88669999999999</v>
      </c>
      <c r="F55">
        <v>0.28555599999999998</v>
      </c>
      <c r="G55">
        <v>0.400175</v>
      </c>
      <c r="H55" s="2">
        <v>0.22</v>
      </c>
      <c r="I55">
        <v>1.2511369999999999</v>
      </c>
      <c r="J55">
        <v>20.024989999999999</v>
      </c>
      <c r="K55">
        <v>5.8335959999999999E-2</v>
      </c>
      <c r="L55">
        <v>-4267.384</v>
      </c>
      <c r="M55" s="1">
        <v>1.31E-6</v>
      </c>
      <c r="N55">
        <v>12.98671</v>
      </c>
      <c r="O55">
        <v>0</v>
      </c>
      <c r="P55">
        <v>1.205171</v>
      </c>
      <c r="Q55">
        <v>60183.35</v>
      </c>
      <c r="R55">
        <v>0</v>
      </c>
    </row>
    <row r="56" spans="1:18" x14ac:dyDescent="0.25">
      <c r="A56">
        <v>3</v>
      </c>
      <c r="B56">
        <v>28.630710000000001</v>
      </c>
      <c r="C56">
        <v>70.000950000000003</v>
      </c>
      <c r="D56" s="6">
        <v>534.02890000000002</v>
      </c>
      <c r="E56" s="6">
        <v>198.8818</v>
      </c>
      <c r="F56">
        <v>0.31122369999999999</v>
      </c>
      <c r="G56">
        <v>0.37241760000000002</v>
      </c>
      <c r="H56" s="2">
        <v>0.32</v>
      </c>
      <c r="I56">
        <v>1.346576</v>
      </c>
      <c r="J56">
        <v>20.00525</v>
      </c>
      <c r="K56">
        <v>5.8278440000000001E-2</v>
      </c>
      <c r="L56">
        <v>-4254.5119999999997</v>
      </c>
      <c r="M56" s="1">
        <v>1.1999999999999999E-6</v>
      </c>
      <c r="N56">
        <v>12.99958</v>
      </c>
      <c r="O56">
        <v>0</v>
      </c>
      <c r="P56">
        <v>1.3134999999999999</v>
      </c>
      <c r="Q56">
        <v>65657.759999999995</v>
      </c>
      <c r="R56">
        <v>0</v>
      </c>
    </row>
    <row r="57" spans="1:18" x14ac:dyDescent="0.25">
      <c r="A57">
        <v>3</v>
      </c>
      <c r="B57">
        <v>37.005040000000001</v>
      </c>
      <c r="C57">
        <v>70.000919999999994</v>
      </c>
      <c r="D57" s="6">
        <v>577.97180000000003</v>
      </c>
      <c r="E57" s="6">
        <v>201.3202</v>
      </c>
      <c r="F57">
        <v>0.33681060000000002</v>
      </c>
      <c r="G57">
        <v>0.34832180000000001</v>
      </c>
      <c r="H57" s="2">
        <v>0.46</v>
      </c>
      <c r="I57">
        <v>1.4414400000000001</v>
      </c>
      <c r="J57">
        <v>20.003920000000001</v>
      </c>
      <c r="K57">
        <v>5.8274569999999998E-2</v>
      </c>
      <c r="L57">
        <v>-4245.8119999999999</v>
      </c>
      <c r="M57" s="1">
        <v>1.31E-6</v>
      </c>
      <c r="N57">
        <v>13.008279999999999</v>
      </c>
      <c r="O57">
        <v>0</v>
      </c>
      <c r="P57">
        <v>1.4214880000000001</v>
      </c>
      <c r="Q57">
        <v>71060.45</v>
      </c>
      <c r="R57">
        <v>0</v>
      </c>
    </row>
    <row r="58" spans="1:18" x14ac:dyDescent="0.25">
      <c r="A58">
        <v>3</v>
      </c>
      <c r="B58">
        <v>45.379379999999998</v>
      </c>
      <c r="C58">
        <v>70.000690000000006</v>
      </c>
      <c r="D58" s="6">
        <v>625.17610000000002</v>
      </c>
      <c r="E58" s="6">
        <v>203.14150000000001</v>
      </c>
      <c r="F58">
        <v>0.36432979999999998</v>
      </c>
      <c r="G58">
        <v>0.32493480000000002</v>
      </c>
      <c r="H58" s="2">
        <v>0.68</v>
      </c>
      <c r="I58">
        <v>1.5428550000000001</v>
      </c>
      <c r="J58">
        <v>20.004529999999999</v>
      </c>
      <c r="K58">
        <v>5.8276349999999998E-2</v>
      </c>
      <c r="L58">
        <v>-4239</v>
      </c>
      <c r="M58" s="1">
        <v>1.4699999999999999E-6</v>
      </c>
      <c r="N58">
        <v>13.0151</v>
      </c>
      <c r="O58">
        <v>0</v>
      </c>
      <c r="P58">
        <v>1.537631</v>
      </c>
      <c r="Q58">
        <v>76864.12</v>
      </c>
      <c r="R58">
        <v>0</v>
      </c>
    </row>
    <row r="59" spans="1:18" x14ac:dyDescent="0.25">
      <c r="A59">
        <v>3</v>
      </c>
      <c r="B59">
        <v>47.218339999999998</v>
      </c>
      <c r="C59">
        <v>70.000559999999993</v>
      </c>
      <c r="D59" s="6">
        <v>673.65089999999998</v>
      </c>
      <c r="E59" s="6">
        <v>204.6474</v>
      </c>
      <c r="F59">
        <v>0.3925516</v>
      </c>
      <c r="G59">
        <v>0.30378850000000002</v>
      </c>
      <c r="H59" s="2">
        <v>1</v>
      </c>
      <c r="I59">
        <v>1.6464190000000001</v>
      </c>
      <c r="J59">
        <v>20.003129999999999</v>
      </c>
      <c r="K59">
        <v>5.8272259999999999E-2</v>
      </c>
      <c r="L59">
        <v>-4237.7240000000002</v>
      </c>
      <c r="M59" s="1">
        <v>3.1E-6</v>
      </c>
      <c r="N59">
        <v>13.01637</v>
      </c>
      <c r="O59">
        <v>0</v>
      </c>
      <c r="P59">
        <v>1.656739</v>
      </c>
      <c r="Q59">
        <v>82824</v>
      </c>
      <c r="R59">
        <v>0</v>
      </c>
    </row>
    <row r="60" spans="1:18" x14ac:dyDescent="0.25">
      <c r="A60">
        <v>3</v>
      </c>
      <c r="B60">
        <v>47.557169999999999</v>
      </c>
      <c r="C60">
        <v>70.000399999999999</v>
      </c>
      <c r="D60" s="6">
        <v>723.61030000000005</v>
      </c>
      <c r="E60" s="6">
        <v>205.49760000000001</v>
      </c>
      <c r="F60">
        <v>0.42170459999999999</v>
      </c>
      <c r="G60">
        <v>0.2839893</v>
      </c>
      <c r="H60" s="2">
        <v>1.5</v>
      </c>
      <c r="I60">
        <v>1.7526539999999999</v>
      </c>
      <c r="J60">
        <v>20.005050000000001</v>
      </c>
      <c r="K60">
        <v>5.8277860000000001E-2</v>
      </c>
      <c r="L60">
        <v>-4237.4759999999997</v>
      </c>
      <c r="M60" s="1">
        <v>1.1999999999999999E-6</v>
      </c>
      <c r="N60">
        <v>13.01662</v>
      </c>
      <c r="O60">
        <v>0</v>
      </c>
      <c r="P60">
        <v>1.7797780000000001</v>
      </c>
      <c r="Q60">
        <v>88966.41</v>
      </c>
      <c r="R60">
        <v>0</v>
      </c>
    </row>
    <row r="61" spans="1:18" x14ac:dyDescent="0.25">
      <c r="A61">
        <v>3</v>
      </c>
      <c r="B61">
        <v>48.996499999999997</v>
      </c>
      <c r="C61">
        <v>70.000410000000002</v>
      </c>
      <c r="D61" s="6">
        <v>768.02189999999996</v>
      </c>
      <c r="E61" s="6">
        <v>205.53380000000001</v>
      </c>
      <c r="F61">
        <v>0.44766089999999997</v>
      </c>
      <c r="G61">
        <v>0.26761449999999998</v>
      </c>
      <c r="H61" s="2">
        <v>2.2000000000000002</v>
      </c>
      <c r="I61">
        <v>1.846285</v>
      </c>
      <c r="J61">
        <v>20.00836</v>
      </c>
      <c r="K61">
        <v>5.8287520000000002E-2</v>
      </c>
      <c r="L61">
        <v>-4236.4440000000004</v>
      </c>
      <c r="M61" s="1">
        <v>1.4699999999999999E-6</v>
      </c>
      <c r="N61">
        <v>13.01765</v>
      </c>
      <c r="O61">
        <v>0</v>
      </c>
      <c r="P61">
        <v>1.889324</v>
      </c>
      <c r="Q61">
        <v>94426.72</v>
      </c>
      <c r="R61">
        <v>0</v>
      </c>
    </row>
    <row r="62" spans="1:18" x14ac:dyDescent="0.25">
      <c r="A62">
        <v>3</v>
      </c>
      <c r="B62">
        <v>50.702500000000001</v>
      </c>
      <c r="C62">
        <v>70.001149999999996</v>
      </c>
      <c r="D62" s="6">
        <v>811.76710000000003</v>
      </c>
      <c r="E62" s="6">
        <v>205.13499999999999</v>
      </c>
      <c r="F62">
        <v>0.4731146</v>
      </c>
      <c r="G62">
        <v>0.25270179999999998</v>
      </c>
      <c r="H62" s="2">
        <v>3.2</v>
      </c>
      <c r="I62">
        <v>1.9370639999999999</v>
      </c>
      <c r="J62">
        <v>20.006489999999999</v>
      </c>
      <c r="K62">
        <v>5.8282069999999998E-2</v>
      </c>
      <c r="L62">
        <v>-4235.3280000000004</v>
      </c>
      <c r="M62" s="1">
        <v>1.31E-6</v>
      </c>
      <c r="N62">
        <v>13.01877</v>
      </c>
      <c r="O62">
        <v>0</v>
      </c>
      <c r="P62">
        <v>1.99675</v>
      </c>
      <c r="Q62">
        <v>99805.119999999995</v>
      </c>
      <c r="R62">
        <v>0</v>
      </c>
    </row>
    <row r="63" spans="1:18" x14ac:dyDescent="0.25">
      <c r="A63">
        <v>3</v>
      </c>
      <c r="B63">
        <v>52.239840000000001</v>
      </c>
      <c r="C63">
        <v>70.000630000000001</v>
      </c>
      <c r="D63" s="6">
        <v>854.01580000000001</v>
      </c>
      <c r="E63" s="6">
        <v>204.43870000000001</v>
      </c>
      <c r="F63">
        <v>0.49776090000000001</v>
      </c>
      <c r="G63">
        <v>0.23938519999999999</v>
      </c>
      <c r="H63" s="2">
        <v>4.5999999999999996</v>
      </c>
      <c r="I63">
        <v>2.0234909999999999</v>
      </c>
      <c r="J63">
        <v>20.00741</v>
      </c>
      <c r="K63">
        <v>5.8284759999999998E-2</v>
      </c>
      <c r="L63">
        <v>-4234.3559999999998</v>
      </c>
      <c r="M63" s="1">
        <v>1.3599999999999999E-6</v>
      </c>
      <c r="N63">
        <v>13.019740000000001</v>
      </c>
      <c r="O63">
        <v>0</v>
      </c>
      <c r="P63">
        <v>2.100768</v>
      </c>
      <c r="Q63">
        <v>104999.5</v>
      </c>
      <c r="R63">
        <v>0</v>
      </c>
    </row>
    <row r="64" spans="1:18" x14ac:dyDescent="0.25">
      <c r="A64">
        <v>3</v>
      </c>
      <c r="B64">
        <v>53.777169999999998</v>
      </c>
      <c r="C64">
        <v>70.000259999999997</v>
      </c>
      <c r="D64" s="6">
        <v>898.55489999999998</v>
      </c>
      <c r="E64" s="6">
        <v>203.3218</v>
      </c>
      <c r="F64">
        <v>0.52372099999999999</v>
      </c>
      <c r="G64">
        <v>0.22627639999999999</v>
      </c>
      <c r="H64" s="2">
        <v>6.8</v>
      </c>
      <c r="I64">
        <v>2.1114459999999999</v>
      </c>
      <c r="J64">
        <v>20.007439999999999</v>
      </c>
      <c r="K64">
        <v>5.8284799999999998E-2</v>
      </c>
      <c r="L64">
        <v>-4233.4369999999999</v>
      </c>
      <c r="M64" s="1">
        <v>1.8500000000000001E-6</v>
      </c>
      <c r="N64">
        <v>13.020659999999999</v>
      </c>
      <c r="O64">
        <v>0</v>
      </c>
      <c r="P64">
        <v>2.2103320000000002</v>
      </c>
      <c r="Q64">
        <v>110475.5</v>
      </c>
      <c r="R64">
        <v>0</v>
      </c>
    </row>
    <row r="65" spans="1:18" x14ac:dyDescent="0.25">
      <c r="A65">
        <v>3</v>
      </c>
      <c r="B65">
        <v>54.264330000000001</v>
      </c>
      <c r="C65">
        <v>70.000380000000007</v>
      </c>
      <c r="D65" s="6">
        <v>944.40710000000001</v>
      </c>
      <c r="E65" s="6">
        <v>202.2379</v>
      </c>
      <c r="F65">
        <v>0.55036810000000003</v>
      </c>
      <c r="G65">
        <v>0.21414269999999999</v>
      </c>
      <c r="H65" s="2">
        <v>10</v>
      </c>
      <c r="I65">
        <v>2.1959469999999999</v>
      </c>
      <c r="J65">
        <v>20.00461</v>
      </c>
      <c r="K65">
        <v>5.8276580000000001E-2</v>
      </c>
      <c r="L65">
        <v>-4233.1559999999999</v>
      </c>
      <c r="M65" s="1">
        <v>1.4100000000000001E-6</v>
      </c>
      <c r="N65">
        <v>13.02094</v>
      </c>
      <c r="O65">
        <v>0</v>
      </c>
      <c r="P65">
        <v>2.322794</v>
      </c>
      <c r="Q65">
        <v>116112.9</v>
      </c>
      <c r="R65">
        <v>0</v>
      </c>
    </row>
    <row r="66" spans="1:18" x14ac:dyDescent="0.25">
      <c r="A66">
        <v>3</v>
      </c>
      <c r="B66">
        <v>54.917999999999999</v>
      </c>
      <c r="C66">
        <v>70.000380000000007</v>
      </c>
      <c r="D66" s="6">
        <v>985.64469999999994</v>
      </c>
      <c r="E66" s="6">
        <v>201.18299999999999</v>
      </c>
      <c r="F66">
        <v>0.57453580000000004</v>
      </c>
      <c r="G66">
        <v>0.20411299999999999</v>
      </c>
      <c r="H66" s="2">
        <v>14.6</v>
      </c>
      <c r="I66">
        <v>2.2597230000000001</v>
      </c>
      <c r="J66">
        <v>20.009340000000002</v>
      </c>
      <c r="K66">
        <v>5.8290359999999999E-2</v>
      </c>
      <c r="L66">
        <v>-4232.7860000000001</v>
      </c>
      <c r="M66" s="1">
        <v>2.34E-6</v>
      </c>
      <c r="N66">
        <v>13.02131</v>
      </c>
      <c r="O66">
        <v>0</v>
      </c>
      <c r="P66">
        <v>2.4247920000000001</v>
      </c>
      <c r="Q66">
        <v>121183</v>
      </c>
      <c r="R66">
        <v>0</v>
      </c>
    </row>
    <row r="67" spans="1:18" x14ac:dyDescent="0.25">
      <c r="A67">
        <v>3</v>
      </c>
      <c r="B67">
        <v>55.355179999999997</v>
      </c>
      <c r="C67">
        <v>70.000380000000007</v>
      </c>
      <c r="D67" s="6">
        <v>1029.2239999999999</v>
      </c>
      <c r="E67" s="6">
        <v>200.12530000000001</v>
      </c>
      <c r="F67">
        <v>0.599854</v>
      </c>
      <c r="G67">
        <v>0.194443</v>
      </c>
      <c r="H67" s="2">
        <v>21.5</v>
      </c>
      <c r="I67">
        <v>2.3009029999999999</v>
      </c>
      <c r="J67">
        <v>20.006530000000001</v>
      </c>
      <c r="K67">
        <v>5.8282180000000003E-2</v>
      </c>
      <c r="L67">
        <v>-4232.5460000000003</v>
      </c>
      <c r="M67" s="1">
        <v>1.0899999999999999E-6</v>
      </c>
      <c r="N67">
        <v>13.02155</v>
      </c>
      <c r="O67">
        <v>0</v>
      </c>
      <c r="P67">
        <v>2.5316459999999998</v>
      </c>
      <c r="Q67">
        <v>126541</v>
      </c>
      <c r="R67">
        <v>0</v>
      </c>
    </row>
    <row r="68" spans="1:18" x14ac:dyDescent="0.25">
      <c r="A68">
        <v>3</v>
      </c>
      <c r="B68">
        <v>56.042340000000003</v>
      </c>
      <c r="C68">
        <v>70.00018</v>
      </c>
      <c r="D68" s="6">
        <v>1069.7850000000001</v>
      </c>
      <c r="E68" s="6">
        <v>199.3049</v>
      </c>
      <c r="F68">
        <v>0.62365970000000004</v>
      </c>
      <c r="G68">
        <v>0.18630369999999999</v>
      </c>
      <c r="H68" s="2">
        <v>31.6</v>
      </c>
      <c r="I68">
        <v>2.2817479999999999</v>
      </c>
      <c r="J68">
        <v>20.011839999999999</v>
      </c>
      <c r="K68">
        <v>5.8297660000000001E-2</v>
      </c>
      <c r="L68">
        <v>-4232.1840000000002</v>
      </c>
      <c r="M68" s="1">
        <v>9.7999999999999993E-7</v>
      </c>
      <c r="N68">
        <v>13.02191</v>
      </c>
      <c r="O68">
        <v>0</v>
      </c>
      <c r="P68">
        <v>2.6321159999999999</v>
      </c>
      <c r="Q68">
        <v>131527.9</v>
      </c>
      <c r="R68">
        <v>0</v>
      </c>
    </row>
    <row r="69" spans="1:18" x14ac:dyDescent="0.25">
      <c r="A69">
        <v>3</v>
      </c>
      <c r="B69">
        <v>56.829500000000003</v>
      </c>
      <c r="C69">
        <v>70.000739999999993</v>
      </c>
      <c r="D69" s="6">
        <v>1106.345</v>
      </c>
      <c r="E69" s="6">
        <v>197.4299</v>
      </c>
      <c r="F69">
        <v>0.645011</v>
      </c>
      <c r="G69">
        <v>0.17845249999999999</v>
      </c>
      <c r="H69" s="2">
        <v>46.4</v>
      </c>
      <c r="I69">
        <v>2.1366800000000001</v>
      </c>
      <c r="J69">
        <v>20.013020000000001</v>
      </c>
      <c r="K69">
        <v>5.830109E-2</v>
      </c>
      <c r="L69">
        <v>-4231.7759999999998</v>
      </c>
      <c r="M69" s="1">
        <v>1.1999999999999999E-6</v>
      </c>
      <c r="N69">
        <v>13.022320000000001</v>
      </c>
      <c r="O69">
        <v>0</v>
      </c>
      <c r="P69">
        <v>2.7222279999999999</v>
      </c>
      <c r="Q69">
        <v>136022.79999999999</v>
      </c>
      <c r="R69">
        <v>0</v>
      </c>
    </row>
    <row r="70" spans="1:18" x14ac:dyDescent="0.25">
      <c r="A70">
        <v>3</v>
      </c>
      <c r="B70">
        <v>57.168500000000002</v>
      </c>
      <c r="C70">
        <v>70.001469999999998</v>
      </c>
      <c r="D70" s="6">
        <v>1149.43</v>
      </c>
      <c r="E70" s="6">
        <v>195.29759999999999</v>
      </c>
      <c r="F70">
        <v>0.66994699999999996</v>
      </c>
      <c r="G70">
        <v>0.16990820000000001</v>
      </c>
      <c r="H70" s="2">
        <v>68</v>
      </c>
      <c r="I70">
        <v>1.7563839999999999</v>
      </c>
      <c r="J70">
        <v>20.007560000000002</v>
      </c>
      <c r="K70">
        <v>5.8285160000000003E-2</v>
      </c>
      <c r="L70">
        <v>-4231.6040000000003</v>
      </c>
      <c r="M70" s="1">
        <v>3.05E-6</v>
      </c>
      <c r="N70">
        <v>13.022489999999999</v>
      </c>
      <c r="O70">
        <v>0</v>
      </c>
      <c r="P70">
        <v>2.8274689999999998</v>
      </c>
      <c r="Q70">
        <v>141320</v>
      </c>
      <c r="R70">
        <v>0</v>
      </c>
    </row>
    <row r="71" spans="1:18" x14ac:dyDescent="0.25">
      <c r="A71">
        <v>3</v>
      </c>
      <c r="B71">
        <v>57.375500000000002</v>
      </c>
      <c r="C71">
        <v>70.000900000000001</v>
      </c>
      <c r="D71" s="6">
        <v>1178.6010000000001</v>
      </c>
      <c r="E71" s="6">
        <v>195.6062</v>
      </c>
      <c r="F71">
        <v>0.68754970000000004</v>
      </c>
      <c r="G71">
        <v>0.1659648</v>
      </c>
      <c r="H71" s="2">
        <v>100</v>
      </c>
      <c r="I71">
        <v>0.83993240000000002</v>
      </c>
      <c r="J71">
        <v>20.025040000000001</v>
      </c>
      <c r="K71">
        <v>5.8336100000000002E-2</v>
      </c>
      <c r="L71">
        <v>-4231.53</v>
      </c>
      <c r="M71" s="1">
        <v>2.5000000000000002E-6</v>
      </c>
      <c r="N71">
        <v>13.02256</v>
      </c>
      <c r="O71">
        <v>0</v>
      </c>
      <c r="P71">
        <v>2.9017599999999999</v>
      </c>
      <c r="Q71">
        <v>144906.6</v>
      </c>
      <c r="R71">
        <v>0</v>
      </c>
    </row>
    <row r="72" spans="1:18" x14ac:dyDescent="0.25">
      <c r="A72">
        <v>4</v>
      </c>
      <c r="B72">
        <v>69.103840000000005</v>
      </c>
      <c r="C72">
        <v>74.999750000000006</v>
      </c>
      <c r="D72" s="6">
        <v>93.074820000000003</v>
      </c>
      <c r="E72" s="6">
        <v>77.794880000000006</v>
      </c>
      <c r="F72">
        <v>5.440188E-2</v>
      </c>
      <c r="G72">
        <v>0.83583160000000001</v>
      </c>
      <c r="H72" s="2">
        <v>0.1</v>
      </c>
      <c r="I72">
        <v>0.29724519999999999</v>
      </c>
      <c r="J72">
        <v>20.06401</v>
      </c>
      <c r="K72">
        <v>5.8449620000000001E-2</v>
      </c>
      <c r="L72">
        <v>-4200.7730000000001</v>
      </c>
      <c r="M72" s="1">
        <v>2.61E-6</v>
      </c>
      <c r="N72">
        <v>13.053319999999999</v>
      </c>
      <c r="O72">
        <v>0</v>
      </c>
      <c r="P72">
        <v>0.22959969999999999</v>
      </c>
      <c r="Q72">
        <v>11443.36</v>
      </c>
      <c r="R72">
        <v>0</v>
      </c>
    </row>
    <row r="73" spans="1:18" x14ac:dyDescent="0.25">
      <c r="A73">
        <v>4</v>
      </c>
      <c r="B73">
        <v>72.144750000000002</v>
      </c>
      <c r="C73">
        <v>74.999030000000005</v>
      </c>
      <c r="D73" s="6">
        <v>109.4228</v>
      </c>
      <c r="E73" s="6">
        <v>88.576490000000007</v>
      </c>
      <c r="F73">
        <v>6.3963580000000006E-2</v>
      </c>
      <c r="G73">
        <v>0.80948819999999999</v>
      </c>
      <c r="H73" s="2">
        <v>0.15</v>
      </c>
      <c r="I73">
        <v>0.3445474</v>
      </c>
      <c r="J73">
        <v>20.065999999999999</v>
      </c>
      <c r="K73">
        <v>5.8455420000000001E-2</v>
      </c>
      <c r="L73">
        <v>-4194.8519999999999</v>
      </c>
      <c r="M73" s="1">
        <v>1.7400000000000001E-6</v>
      </c>
      <c r="N73">
        <v>13.059240000000001</v>
      </c>
      <c r="O73">
        <v>0</v>
      </c>
      <c r="P73">
        <v>0.26995419999999998</v>
      </c>
      <c r="Q73">
        <v>13453.31</v>
      </c>
      <c r="R73">
        <v>0</v>
      </c>
    </row>
    <row r="74" spans="1:18" x14ac:dyDescent="0.25">
      <c r="A74">
        <v>4</v>
      </c>
      <c r="B74">
        <v>80.388379999999998</v>
      </c>
      <c r="C74">
        <v>74.999700000000004</v>
      </c>
      <c r="D74" s="6">
        <v>128.88489999999999</v>
      </c>
      <c r="E74" s="6">
        <v>99.651840000000007</v>
      </c>
      <c r="F74">
        <v>7.5072990000000006E-2</v>
      </c>
      <c r="G74">
        <v>0.77318469999999995</v>
      </c>
      <c r="H74" s="2">
        <v>0.22</v>
      </c>
      <c r="I74">
        <v>0.3967</v>
      </c>
      <c r="J74">
        <v>19.99483</v>
      </c>
      <c r="K74">
        <v>5.8248090000000002E-2</v>
      </c>
      <c r="L74">
        <v>-4182.558</v>
      </c>
      <c r="M74" s="1">
        <v>1.3599999999999999E-6</v>
      </c>
      <c r="N74">
        <v>13.071540000000001</v>
      </c>
      <c r="O74">
        <v>0</v>
      </c>
      <c r="P74">
        <v>0.31684079999999998</v>
      </c>
      <c r="Q74">
        <v>15846.14</v>
      </c>
      <c r="R74">
        <v>0</v>
      </c>
    </row>
    <row r="75" spans="1:18" x14ac:dyDescent="0.25">
      <c r="A75">
        <v>4</v>
      </c>
      <c r="B75">
        <v>90.470200000000006</v>
      </c>
      <c r="C75">
        <v>75.000299999999996</v>
      </c>
      <c r="D75" s="6">
        <v>154.1653</v>
      </c>
      <c r="E75" s="6">
        <v>112.31480000000001</v>
      </c>
      <c r="F75">
        <v>8.9715840000000005E-2</v>
      </c>
      <c r="G75">
        <v>0.72853440000000003</v>
      </c>
      <c r="H75" s="2">
        <v>0.32</v>
      </c>
      <c r="I75">
        <v>0.46310459999999998</v>
      </c>
      <c r="J75">
        <v>19.976459999999999</v>
      </c>
      <c r="K75">
        <v>5.8194580000000003E-2</v>
      </c>
      <c r="L75">
        <v>-4174.2190000000001</v>
      </c>
      <c r="M75" s="1">
        <v>1.4699999999999999E-6</v>
      </c>
      <c r="N75">
        <v>13.079879999999999</v>
      </c>
      <c r="O75">
        <v>0</v>
      </c>
      <c r="P75">
        <v>0.37863999999999998</v>
      </c>
      <c r="Q75">
        <v>18954.310000000001</v>
      </c>
      <c r="R75">
        <v>0</v>
      </c>
    </row>
    <row r="76" spans="1:18" x14ac:dyDescent="0.25">
      <c r="A76">
        <v>4</v>
      </c>
      <c r="B76">
        <v>100.5472</v>
      </c>
      <c r="C76">
        <v>74.99991</v>
      </c>
      <c r="D76" s="6">
        <v>182.3681</v>
      </c>
      <c r="E76" s="6">
        <v>124.90009999999999</v>
      </c>
      <c r="F76">
        <v>0.1061184</v>
      </c>
      <c r="G76">
        <v>0.68487889999999996</v>
      </c>
      <c r="H76" s="2">
        <v>0.46</v>
      </c>
      <c r="I76">
        <v>0.53544060000000004</v>
      </c>
      <c r="J76">
        <v>19.97458</v>
      </c>
      <c r="K76">
        <v>5.8189100000000001E-2</v>
      </c>
      <c r="L76">
        <v>-4169.2830000000004</v>
      </c>
      <c r="M76" s="1">
        <v>1.6300000000000001E-6</v>
      </c>
      <c r="N76">
        <v>13.084809999999999</v>
      </c>
      <c r="O76">
        <v>0</v>
      </c>
      <c r="P76">
        <v>0.44786589999999998</v>
      </c>
      <c r="Q76">
        <v>22421.8</v>
      </c>
      <c r="R76">
        <v>0</v>
      </c>
    </row>
    <row r="77" spans="1:18" x14ac:dyDescent="0.25">
      <c r="A77">
        <v>4</v>
      </c>
      <c r="B77">
        <v>109.7867</v>
      </c>
      <c r="C77">
        <v>75.00009</v>
      </c>
      <c r="D77" s="6">
        <v>215.51169999999999</v>
      </c>
      <c r="E77" s="6">
        <v>137.9513</v>
      </c>
      <c r="F77">
        <v>0.1254325</v>
      </c>
      <c r="G77">
        <v>0.64011059999999997</v>
      </c>
      <c r="H77" s="2">
        <v>0.68</v>
      </c>
      <c r="I77">
        <v>0.61838040000000005</v>
      </c>
      <c r="J77">
        <v>19.97907</v>
      </c>
      <c r="K77">
        <v>5.8202179999999999E-2</v>
      </c>
      <c r="L77">
        <v>-4165.4759999999997</v>
      </c>
      <c r="M77" s="1">
        <v>1.9599999999999999E-6</v>
      </c>
      <c r="N77">
        <v>13.088620000000001</v>
      </c>
      <c r="O77">
        <v>0</v>
      </c>
      <c r="P77">
        <v>0.52937990000000001</v>
      </c>
      <c r="Q77">
        <v>26496.720000000001</v>
      </c>
      <c r="R77">
        <v>0</v>
      </c>
    </row>
    <row r="78" spans="1:18" x14ac:dyDescent="0.25">
      <c r="A78">
        <v>4</v>
      </c>
      <c r="B78">
        <v>111.6658</v>
      </c>
      <c r="C78">
        <v>75.000489999999999</v>
      </c>
      <c r="D78" s="6">
        <v>249.88120000000001</v>
      </c>
      <c r="E78" s="6">
        <v>149.97290000000001</v>
      </c>
      <c r="F78">
        <v>0.14555560000000001</v>
      </c>
      <c r="G78">
        <v>0.60017679999999995</v>
      </c>
      <c r="H78" s="2">
        <v>1</v>
      </c>
      <c r="I78">
        <v>0.70295160000000001</v>
      </c>
      <c r="J78">
        <v>19.995450000000002</v>
      </c>
      <c r="K78">
        <v>5.82499E-2</v>
      </c>
      <c r="L78">
        <v>-4165.2169999999996</v>
      </c>
      <c r="M78" s="1">
        <v>5.99E-7</v>
      </c>
      <c r="N78">
        <v>13.08888</v>
      </c>
      <c r="O78">
        <v>0</v>
      </c>
      <c r="P78">
        <v>0.61430819999999997</v>
      </c>
      <c r="Q78">
        <v>30722.39</v>
      </c>
      <c r="R78">
        <v>0</v>
      </c>
    </row>
    <row r="79" spans="1:18" x14ac:dyDescent="0.25">
      <c r="A79">
        <v>4</v>
      </c>
      <c r="B79">
        <v>112.057</v>
      </c>
      <c r="C79">
        <v>74.999899999999997</v>
      </c>
      <c r="D79" s="6">
        <v>288.8802</v>
      </c>
      <c r="E79" s="6">
        <v>162.28559999999999</v>
      </c>
      <c r="F79">
        <v>0.1682718</v>
      </c>
      <c r="G79">
        <v>0.56177480000000002</v>
      </c>
      <c r="H79" s="2">
        <v>1.5</v>
      </c>
      <c r="I79">
        <v>0.79667480000000002</v>
      </c>
      <c r="J79">
        <v>19.995370000000001</v>
      </c>
      <c r="K79">
        <v>5.8249660000000002E-2</v>
      </c>
      <c r="L79">
        <v>-4164.7259999999997</v>
      </c>
      <c r="M79">
        <v>0</v>
      </c>
      <c r="N79">
        <v>13.089370000000001</v>
      </c>
      <c r="O79">
        <v>0</v>
      </c>
      <c r="P79">
        <v>0.71018029999999999</v>
      </c>
      <c r="Q79">
        <v>35517.24</v>
      </c>
      <c r="R79">
        <v>0</v>
      </c>
    </row>
    <row r="80" spans="1:18" x14ac:dyDescent="0.25">
      <c r="A80">
        <v>4</v>
      </c>
      <c r="B80">
        <v>113.511</v>
      </c>
      <c r="C80">
        <v>75</v>
      </c>
      <c r="D80" s="6">
        <v>328.45100000000002</v>
      </c>
      <c r="E80" s="6">
        <v>172.8466</v>
      </c>
      <c r="F80">
        <v>0.1912925</v>
      </c>
      <c r="G80">
        <v>0.52624800000000005</v>
      </c>
      <c r="H80" s="2">
        <v>2.2000000000000002</v>
      </c>
      <c r="I80">
        <v>0.88920359999999998</v>
      </c>
      <c r="J80">
        <v>19.992329999999999</v>
      </c>
      <c r="K80">
        <v>5.8240819999999999E-2</v>
      </c>
      <c r="L80">
        <v>-4164.232</v>
      </c>
      <c r="M80" s="1">
        <v>1.6899999999999999E-6</v>
      </c>
      <c r="N80">
        <v>13.08986</v>
      </c>
      <c r="O80">
        <v>0</v>
      </c>
      <c r="P80">
        <v>0.80733779999999999</v>
      </c>
      <c r="Q80">
        <v>40382.370000000003</v>
      </c>
      <c r="R80">
        <v>0</v>
      </c>
    </row>
    <row r="81" spans="1:18" x14ac:dyDescent="0.25">
      <c r="A81">
        <v>4</v>
      </c>
      <c r="B81">
        <v>115.22929999999999</v>
      </c>
      <c r="C81">
        <v>75.000410000000002</v>
      </c>
      <c r="D81" s="6">
        <v>369.19830000000002</v>
      </c>
      <c r="E81" s="6">
        <v>182.34350000000001</v>
      </c>
      <c r="F81">
        <v>0.2150194</v>
      </c>
      <c r="G81">
        <v>0.49389040000000001</v>
      </c>
      <c r="H81" s="2">
        <v>3.2</v>
      </c>
      <c r="I81">
        <v>0.9826163</v>
      </c>
      <c r="J81">
        <v>19.991900000000001</v>
      </c>
      <c r="K81">
        <v>5.8239550000000001E-2</v>
      </c>
      <c r="L81">
        <v>-4163.6099999999997</v>
      </c>
      <c r="M81" s="1">
        <v>1.9099999999999999E-6</v>
      </c>
      <c r="N81">
        <v>13.090479999999999</v>
      </c>
      <c r="O81">
        <v>0</v>
      </c>
      <c r="P81">
        <v>0.9074757</v>
      </c>
      <c r="Q81">
        <v>45392.18</v>
      </c>
      <c r="R81">
        <v>0</v>
      </c>
    </row>
    <row r="82" spans="1:18" x14ac:dyDescent="0.25">
      <c r="A82">
        <v>4</v>
      </c>
      <c r="B82">
        <v>116.9462</v>
      </c>
      <c r="C82">
        <v>74.999750000000006</v>
      </c>
      <c r="D82" s="6">
        <v>410.37830000000002</v>
      </c>
      <c r="E82" s="6">
        <v>190.55709999999999</v>
      </c>
      <c r="F82">
        <v>0.23899799999999999</v>
      </c>
      <c r="G82">
        <v>0.46434500000000001</v>
      </c>
      <c r="H82" s="2">
        <v>4.5999999999999996</v>
      </c>
      <c r="I82">
        <v>1.074584</v>
      </c>
      <c r="J82">
        <v>19.991530000000001</v>
      </c>
      <c r="K82">
        <v>5.8238480000000002E-2</v>
      </c>
      <c r="L82">
        <v>-4163.0879999999997</v>
      </c>
      <c r="M82" s="1">
        <v>1.1400000000000001E-6</v>
      </c>
      <c r="N82">
        <v>13.091010000000001</v>
      </c>
      <c r="O82">
        <v>0</v>
      </c>
      <c r="P82">
        <v>1.0086759999999999</v>
      </c>
      <c r="Q82">
        <v>50455.18</v>
      </c>
      <c r="R82">
        <v>0</v>
      </c>
    </row>
    <row r="83" spans="1:18" x14ac:dyDescent="0.25">
      <c r="A83">
        <v>4</v>
      </c>
      <c r="B83">
        <v>118.6615</v>
      </c>
      <c r="C83">
        <v>75.00009</v>
      </c>
      <c r="D83" s="6">
        <v>456.12299999999999</v>
      </c>
      <c r="E83" s="6">
        <v>198.3502</v>
      </c>
      <c r="F83">
        <v>0.26564369999999998</v>
      </c>
      <c r="G83">
        <v>0.4348612</v>
      </c>
      <c r="H83" s="2">
        <v>6.8</v>
      </c>
      <c r="I83">
        <v>1.1730609999999999</v>
      </c>
      <c r="J83">
        <v>19.991879999999998</v>
      </c>
      <c r="K83">
        <v>5.82395E-2</v>
      </c>
      <c r="L83">
        <v>-4162.6480000000001</v>
      </c>
      <c r="M83" s="1">
        <v>1.1400000000000001E-6</v>
      </c>
      <c r="N83">
        <v>13.09145</v>
      </c>
      <c r="O83">
        <v>0</v>
      </c>
      <c r="P83">
        <v>1.121132</v>
      </c>
      <c r="Q83">
        <v>56079.39</v>
      </c>
      <c r="R83">
        <v>0</v>
      </c>
    </row>
    <row r="84" spans="1:18" x14ac:dyDescent="0.25">
      <c r="A84">
        <v>4</v>
      </c>
      <c r="B84">
        <v>119.17449999999999</v>
      </c>
      <c r="C84">
        <v>75.000140000000002</v>
      </c>
      <c r="D84" s="6">
        <v>502.37459999999999</v>
      </c>
      <c r="E84" s="6">
        <v>205.17660000000001</v>
      </c>
      <c r="F84">
        <v>0.29263610000000001</v>
      </c>
      <c r="G84">
        <v>0.40841359999999999</v>
      </c>
      <c r="H84" s="2">
        <v>10</v>
      </c>
      <c r="I84">
        <v>1.266491</v>
      </c>
      <c r="J84">
        <v>19.99569</v>
      </c>
      <c r="K84">
        <v>5.82506E-2</v>
      </c>
      <c r="L84">
        <v>-4162.5510000000004</v>
      </c>
      <c r="M84" s="1">
        <v>2.1799999999999999E-7</v>
      </c>
      <c r="N84">
        <v>13.09154</v>
      </c>
      <c r="O84">
        <v>0</v>
      </c>
      <c r="P84">
        <v>1.235052</v>
      </c>
      <c r="Q84">
        <v>61765.93</v>
      </c>
      <c r="R84">
        <v>0</v>
      </c>
    </row>
    <row r="85" spans="1:18" x14ac:dyDescent="0.25">
      <c r="A85">
        <v>4</v>
      </c>
      <c r="B85">
        <v>119.9203</v>
      </c>
      <c r="C85">
        <v>75.000380000000007</v>
      </c>
      <c r="D85" s="6">
        <v>548.73760000000004</v>
      </c>
      <c r="E85" s="6">
        <v>210.61160000000001</v>
      </c>
      <c r="F85">
        <v>0.31959759999999998</v>
      </c>
      <c r="G85">
        <v>0.38381100000000001</v>
      </c>
      <c r="H85" s="2">
        <v>14.6</v>
      </c>
      <c r="I85">
        <v>1.347259</v>
      </c>
      <c r="J85">
        <v>19.99286</v>
      </c>
      <c r="K85">
        <v>5.824236E-2</v>
      </c>
      <c r="L85">
        <v>-4162.37</v>
      </c>
      <c r="M85" s="1">
        <v>2.2299999999999998E-6</v>
      </c>
      <c r="N85">
        <v>13.09172</v>
      </c>
      <c r="O85">
        <v>0</v>
      </c>
      <c r="P85">
        <v>1.3488420000000001</v>
      </c>
      <c r="Q85">
        <v>67466.16</v>
      </c>
      <c r="R85">
        <v>0</v>
      </c>
    </row>
    <row r="86" spans="1:18" x14ac:dyDescent="0.25">
      <c r="A86">
        <v>4</v>
      </c>
      <c r="B86">
        <v>120.3993</v>
      </c>
      <c r="C86">
        <v>75.000559999999993</v>
      </c>
      <c r="D86" s="6">
        <v>596.5068</v>
      </c>
      <c r="E86" s="6">
        <v>215.63839999999999</v>
      </c>
      <c r="F86">
        <v>0.34744950000000002</v>
      </c>
      <c r="G86">
        <v>0.36150189999999999</v>
      </c>
      <c r="H86" s="2">
        <v>21.5</v>
      </c>
      <c r="I86">
        <v>1.4054040000000001</v>
      </c>
      <c r="J86">
        <v>19.994589999999999</v>
      </c>
      <c r="K86">
        <v>5.8247380000000001E-2</v>
      </c>
      <c r="L86">
        <v>-4162.29</v>
      </c>
      <c r="M86" s="1">
        <v>1.6300000000000001E-6</v>
      </c>
      <c r="N86">
        <v>13.091799999999999</v>
      </c>
      <c r="O86">
        <v>0</v>
      </c>
      <c r="P86">
        <v>1.4663889999999999</v>
      </c>
      <c r="Q86">
        <v>73339.289999999994</v>
      </c>
      <c r="R86">
        <v>0</v>
      </c>
    </row>
    <row r="87" spans="1:18" x14ac:dyDescent="0.25">
      <c r="A87">
        <v>4</v>
      </c>
      <c r="B87">
        <v>121.17829999999999</v>
      </c>
      <c r="C87">
        <v>75.000410000000002</v>
      </c>
      <c r="D87" s="6">
        <v>643.90800000000002</v>
      </c>
      <c r="E87" s="6">
        <v>219.5342</v>
      </c>
      <c r="F87">
        <v>0.37500670000000003</v>
      </c>
      <c r="G87">
        <v>0.34094039999999998</v>
      </c>
      <c r="H87" s="2">
        <v>31.6</v>
      </c>
      <c r="I87">
        <v>1.4087620000000001</v>
      </c>
      <c r="J87">
        <v>19.991769999999999</v>
      </c>
      <c r="K87">
        <v>5.8239180000000002E-2</v>
      </c>
      <c r="L87">
        <v>-4162.2039999999997</v>
      </c>
      <c r="M87" s="1">
        <v>9.7999999999999993E-7</v>
      </c>
      <c r="N87">
        <v>13.091889999999999</v>
      </c>
      <c r="O87">
        <v>0</v>
      </c>
      <c r="P87">
        <v>1.582692</v>
      </c>
      <c r="Q87">
        <v>79167.179999999993</v>
      </c>
      <c r="R87">
        <v>0</v>
      </c>
    </row>
    <row r="88" spans="1:18" x14ac:dyDescent="0.25">
      <c r="A88">
        <v>4</v>
      </c>
      <c r="B88">
        <v>122.05929999999999</v>
      </c>
      <c r="C88">
        <v>75.000489999999999</v>
      </c>
      <c r="D88" s="6">
        <v>687.67489999999998</v>
      </c>
      <c r="E88" s="6">
        <v>220.78319999999999</v>
      </c>
      <c r="F88">
        <v>0.40043479999999998</v>
      </c>
      <c r="G88">
        <v>0.3210576</v>
      </c>
      <c r="H88" s="2">
        <v>46.4</v>
      </c>
      <c r="I88">
        <v>1.29206</v>
      </c>
      <c r="J88">
        <v>19.988710000000001</v>
      </c>
      <c r="K88">
        <v>5.8230259999999999E-2</v>
      </c>
      <c r="L88">
        <v>-4162.1710000000003</v>
      </c>
      <c r="M88" s="1">
        <v>5.99E-7</v>
      </c>
      <c r="N88">
        <v>13.09192</v>
      </c>
      <c r="O88">
        <v>0</v>
      </c>
      <c r="P88">
        <v>1.69001</v>
      </c>
      <c r="Q88">
        <v>84548.22</v>
      </c>
      <c r="R88">
        <v>0</v>
      </c>
    </row>
    <row r="89" spans="1:18" x14ac:dyDescent="0.25">
      <c r="A89">
        <v>4</v>
      </c>
      <c r="B89">
        <v>122.4118</v>
      </c>
      <c r="C89">
        <v>75.000609999999995</v>
      </c>
      <c r="D89" s="6">
        <v>732.81979999999999</v>
      </c>
      <c r="E89" s="6">
        <v>222.10560000000001</v>
      </c>
      <c r="F89">
        <v>0.42675249999999998</v>
      </c>
      <c r="G89">
        <v>0.30308360000000001</v>
      </c>
      <c r="H89" s="2">
        <v>68</v>
      </c>
      <c r="I89">
        <v>0.95657179999999997</v>
      </c>
      <c r="J89">
        <v>19.990100000000002</v>
      </c>
      <c r="K89">
        <v>5.8234300000000003E-2</v>
      </c>
      <c r="L89">
        <v>-4162.2</v>
      </c>
      <c r="M89" s="1">
        <v>7.6199999999999997E-7</v>
      </c>
      <c r="N89">
        <v>13.091900000000001</v>
      </c>
      <c r="O89">
        <v>0</v>
      </c>
      <c r="P89">
        <v>1.8010820000000001</v>
      </c>
      <c r="Q89">
        <v>90098.69</v>
      </c>
      <c r="R89">
        <v>0</v>
      </c>
    </row>
    <row r="90" spans="1:18" x14ac:dyDescent="0.25">
      <c r="A90">
        <v>4</v>
      </c>
      <c r="B90">
        <v>122.642</v>
      </c>
      <c r="C90">
        <v>75.001130000000003</v>
      </c>
      <c r="D90" s="6">
        <v>768.28710000000001</v>
      </c>
      <c r="E90" s="6">
        <v>224.6848</v>
      </c>
      <c r="F90">
        <v>0.44818520000000001</v>
      </c>
      <c r="G90">
        <v>0.29244900000000001</v>
      </c>
      <c r="H90" s="2">
        <v>100</v>
      </c>
      <c r="I90">
        <v>0.52650339999999995</v>
      </c>
      <c r="J90">
        <v>20.02488</v>
      </c>
      <c r="K90">
        <v>5.8335640000000001E-2</v>
      </c>
      <c r="L90">
        <v>-4162.3</v>
      </c>
      <c r="M90" s="1">
        <v>1.7400000000000001E-6</v>
      </c>
      <c r="N90">
        <v>13.091799999999999</v>
      </c>
      <c r="O90">
        <v>0</v>
      </c>
      <c r="P90">
        <v>1.891537</v>
      </c>
      <c r="Q90">
        <v>94459.34</v>
      </c>
      <c r="R90">
        <v>0</v>
      </c>
    </row>
    <row r="91" spans="1:18" x14ac:dyDescent="0.25">
      <c r="A91">
        <v>5</v>
      </c>
      <c r="B91">
        <v>132.79900000000001</v>
      </c>
      <c r="C91">
        <v>79.974890000000002</v>
      </c>
      <c r="D91" s="6">
        <v>26.106940000000002</v>
      </c>
      <c r="E91" s="6">
        <v>19.190460000000002</v>
      </c>
      <c r="F91">
        <v>1.526722E-2</v>
      </c>
      <c r="G91">
        <v>0.73507100000000003</v>
      </c>
      <c r="H91" s="2">
        <v>0.1</v>
      </c>
      <c r="I91">
        <v>7.9948610000000003E-2</v>
      </c>
      <c r="J91">
        <v>20.074290000000001</v>
      </c>
      <c r="K91">
        <v>5.847956E-2</v>
      </c>
      <c r="L91">
        <v>-4156.8900000000003</v>
      </c>
      <c r="M91" s="1">
        <v>1.0899999999999999E-6</v>
      </c>
      <c r="N91">
        <v>13.097200000000001</v>
      </c>
      <c r="O91">
        <v>0</v>
      </c>
      <c r="P91">
        <v>6.4434359999999996E-2</v>
      </c>
      <c r="Q91">
        <v>3209.7959999999998</v>
      </c>
      <c r="R91">
        <v>0</v>
      </c>
    </row>
    <row r="92" spans="1:18" x14ac:dyDescent="0.25">
      <c r="A92">
        <v>5</v>
      </c>
      <c r="B92">
        <v>137.23840000000001</v>
      </c>
      <c r="C92">
        <v>79.998469999999998</v>
      </c>
      <c r="D92" s="6">
        <v>29.332159999999998</v>
      </c>
      <c r="E92" s="6">
        <v>22.786760000000001</v>
      </c>
      <c r="F92">
        <v>1.711472E-2</v>
      </c>
      <c r="G92">
        <v>0.77685249999999995</v>
      </c>
      <c r="H92" s="2">
        <v>0.15</v>
      </c>
      <c r="I92">
        <v>9.1398030000000005E-2</v>
      </c>
      <c r="J92">
        <v>20.029109999999999</v>
      </c>
      <c r="K92">
        <v>5.8347969999999999E-2</v>
      </c>
      <c r="L92">
        <v>-4154.1840000000002</v>
      </c>
      <c r="M92" s="1">
        <v>1.5799999999999999E-6</v>
      </c>
      <c r="N92">
        <v>13.099909999999999</v>
      </c>
      <c r="O92">
        <v>0</v>
      </c>
      <c r="P92">
        <v>7.2231580000000004E-2</v>
      </c>
      <c r="Q92">
        <v>3606.33</v>
      </c>
      <c r="R92">
        <v>0</v>
      </c>
    </row>
    <row r="93" spans="1:18" x14ac:dyDescent="0.25">
      <c r="A93">
        <v>5</v>
      </c>
      <c r="B93">
        <v>147.15770000000001</v>
      </c>
      <c r="C93">
        <v>79.999939999999995</v>
      </c>
      <c r="D93" s="6">
        <v>34.350360000000002</v>
      </c>
      <c r="E93" s="6">
        <v>27.979320000000001</v>
      </c>
      <c r="F93">
        <v>1.997403E-2</v>
      </c>
      <c r="G93">
        <v>0.81452780000000002</v>
      </c>
      <c r="H93" s="2">
        <v>0.22</v>
      </c>
      <c r="I93">
        <v>0.1085734</v>
      </c>
      <c r="J93">
        <v>19.960460000000001</v>
      </c>
      <c r="K93">
        <v>5.8147949999999997E-2</v>
      </c>
      <c r="L93">
        <v>-4149.0780000000004</v>
      </c>
      <c r="M93" s="1">
        <v>1.2500000000000001E-6</v>
      </c>
      <c r="N93">
        <v>13.10502</v>
      </c>
      <c r="O93">
        <v>0</v>
      </c>
      <c r="P93">
        <v>8.429913E-2</v>
      </c>
      <c r="Q93">
        <v>4223.3059999999996</v>
      </c>
      <c r="R93">
        <v>0</v>
      </c>
    </row>
    <row r="94" spans="1:18" x14ac:dyDescent="0.25">
      <c r="A94">
        <v>5</v>
      </c>
      <c r="B94">
        <v>158.08019999999999</v>
      </c>
      <c r="C94">
        <v>80.000069999999994</v>
      </c>
      <c r="D94" s="6">
        <v>41.194580000000002</v>
      </c>
      <c r="E94" s="6">
        <v>34.702199999999998</v>
      </c>
      <c r="F94">
        <v>2.395073E-2</v>
      </c>
      <c r="G94">
        <v>0.84239719999999996</v>
      </c>
      <c r="H94" s="2">
        <v>0.32</v>
      </c>
      <c r="I94">
        <v>0.13188250000000001</v>
      </c>
      <c r="J94">
        <v>19.957889999999999</v>
      </c>
      <c r="K94">
        <v>5.8140490000000003E-2</v>
      </c>
      <c r="L94">
        <v>-4145.174</v>
      </c>
      <c r="M94" s="1">
        <v>1.9099999999999999E-6</v>
      </c>
      <c r="N94">
        <v>13.108919999999999</v>
      </c>
      <c r="O94">
        <v>0</v>
      </c>
      <c r="P94">
        <v>0.10108250000000001</v>
      </c>
      <c r="Q94">
        <v>5064.7889999999998</v>
      </c>
      <c r="R94">
        <v>0</v>
      </c>
    </row>
    <row r="95" spans="1:18" x14ac:dyDescent="0.25">
      <c r="A95">
        <v>5</v>
      </c>
      <c r="B95">
        <v>168.9992</v>
      </c>
      <c r="C95">
        <v>80.000100000000003</v>
      </c>
      <c r="D95" s="6">
        <v>49.47898</v>
      </c>
      <c r="E95" s="6">
        <v>42.382539999999999</v>
      </c>
      <c r="F95">
        <v>2.8777359999999998E-2</v>
      </c>
      <c r="G95">
        <v>0.85657689999999997</v>
      </c>
      <c r="H95" s="2">
        <v>0.46</v>
      </c>
      <c r="I95">
        <v>0.15943489999999999</v>
      </c>
      <c r="J95">
        <v>19.964870000000001</v>
      </c>
      <c r="K95">
        <v>5.8160799999999999E-2</v>
      </c>
      <c r="L95">
        <v>-4142.7389999999996</v>
      </c>
      <c r="M95" s="1">
        <v>1.42E-6</v>
      </c>
      <c r="N95">
        <v>13.111359999999999</v>
      </c>
      <c r="O95">
        <v>0</v>
      </c>
      <c r="P95">
        <v>0.12145300000000001</v>
      </c>
      <c r="Q95">
        <v>6083.3389999999999</v>
      </c>
      <c r="R95">
        <v>0</v>
      </c>
    </row>
    <row r="96" spans="1:18" x14ac:dyDescent="0.25">
      <c r="A96">
        <v>5</v>
      </c>
      <c r="B96">
        <v>179.92320000000001</v>
      </c>
      <c r="C96">
        <v>80</v>
      </c>
      <c r="D96" s="6">
        <v>60.372979999999998</v>
      </c>
      <c r="E96" s="6">
        <v>51.809249999999999</v>
      </c>
      <c r="F96">
        <v>3.5124179999999998E-2</v>
      </c>
      <c r="G96">
        <v>0.85815300000000005</v>
      </c>
      <c r="H96" s="2">
        <v>0.68</v>
      </c>
      <c r="I96">
        <v>0.19453509999999999</v>
      </c>
      <c r="J96">
        <v>19.97099</v>
      </c>
      <c r="K96">
        <v>5.8178639999999997E-2</v>
      </c>
      <c r="L96">
        <v>-4141.6940000000004</v>
      </c>
      <c r="M96" s="1">
        <v>1.6300000000000001E-6</v>
      </c>
      <c r="N96">
        <v>13.112399999999999</v>
      </c>
      <c r="O96">
        <v>0</v>
      </c>
      <c r="P96">
        <v>0.14823939999999999</v>
      </c>
      <c r="Q96">
        <v>7422.7340000000004</v>
      </c>
      <c r="R96">
        <v>0</v>
      </c>
    </row>
    <row r="97" spans="1:18" x14ac:dyDescent="0.25">
      <c r="A97">
        <v>5</v>
      </c>
      <c r="B97">
        <v>181.83580000000001</v>
      </c>
      <c r="C97">
        <v>79.999840000000006</v>
      </c>
      <c r="D97" s="6">
        <v>72.675399999999996</v>
      </c>
      <c r="E97" s="6">
        <v>61.88288</v>
      </c>
      <c r="F97">
        <v>4.2335499999999998E-2</v>
      </c>
      <c r="G97">
        <v>0.8514969</v>
      </c>
      <c r="H97" s="2">
        <v>1</v>
      </c>
      <c r="I97">
        <v>0.23340269999999999</v>
      </c>
      <c r="J97">
        <v>19.996479999999998</v>
      </c>
      <c r="K97">
        <v>5.825288E-2</v>
      </c>
      <c r="L97">
        <v>-4141.4939999999997</v>
      </c>
      <c r="M97" s="1">
        <v>3.1599999999999998E-6</v>
      </c>
      <c r="N97">
        <v>13.1126</v>
      </c>
      <c r="O97">
        <v>0</v>
      </c>
      <c r="P97">
        <v>0.17867440000000001</v>
      </c>
      <c r="Q97">
        <v>8935.2919999999995</v>
      </c>
      <c r="R97">
        <v>0</v>
      </c>
    </row>
    <row r="98" spans="1:18" x14ac:dyDescent="0.25">
      <c r="A98">
        <v>5</v>
      </c>
      <c r="B98">
        <v>182.27950000000001</v>
      </c>
      <c r="C98">
        <v>80.000240000000005</v>
      </c>
      <c r="D98" s="6">
        <v>88.307119999999998</v>
      </c>
      <c r="E98" s="6">
        <v>73.680109999999999</v>
      </c>
      <c r="F98">
        <v>5.1446079999999998E-2</v>
      </c>
      <c r="G98">
        <v>0.83436189999999999</v>
      </c>
      <c r="H98" s="2">
        <v>1.5</v>
      </c>
      <c r="I98">
        <v>0.28073799999999999</v>
      </c>
      <c r="J98">
        <v>19.998280000000001</v>
      </c>
      <c r="K98">
        <v>5.8258129999999998E-2</v>
      </c>
      <c r="L98">
        <v>-4141.1880000000001</v>
      </c>
      <c r="M98" s="1">
        <v>5.99E-7</v>
      </c>
      <c r="N98">
        <v>13.1129</v>
      </c>
      <c r="O98">
        <v>0</v>
      </c>
      <c r="P98">
        <v>0.21712490000000001</v>
      </c>
      <c r="Q98">
        <v>10857.18</v>
      </c>
      <c r="R98">
        <v>0</v>
      </c>
    </row>
    <row r="99" spans="1:18" x14ac:dyDescent="0.25">
      <c r="A99">
        <v>5</v>
      </c>
      <c r="B99">
        <v>184.08850000000001</v>
      </c>
      <c r="C99">
        <v>80.000240000000005</v>
      </c>
      <c r="D99" s="6">
        <v>106.28270000000001</v>
      </c>
      <c r="E99" s="6">
        <v>85.75788</v>
      </c>
      <c r="F99">
        <v>6.1904939999999999E-2</v>
      </c>
      <c r="G99">
        <v>0.8068843</v>
      </c>
      <c r="H99" s="2">
        <v>2.2000000000000002</v>
      </c>
      <c r="I99">
        <v>0.33248749999999999</v>
      </c>
      <c r="J99">
        <v>19.993960000000001</v>
      </c>
      <c r="K99">
        <v>5.8245539999999998E-2</v>
      </c>
      <c r="L99">
        <v>-4140.9930000000004</v>
      </c>
      <c r="M99" s="1">
        <v>2.7199999999999998E-6</v>
      </c>
      <c r="N99">
        <v>13.113099999999999</v>
      </c>
      <c r="O99">
        <v>0</v>
      </c>
      <c r="P99">
        <v>0.2612659</v>
      </c>
      <c r="Q99">
        <v>13067.25</v>
      </c>
      <c r="R99">
        <v>0</v>
      </c>
    </row>
    <row r="100" spans="1:18" x14ac:dyDescent="0.25">
      <c r="A100">
        <v>5</v>
      </c>
      <c r="B100">
        <v>185.99420000000001</v>
      </c>
      <c r="C100">
        <v>80.000349999999997</v>
      </c>
      <c r="D100" s="6">
        <v>126.8644</v>
      </c>
      <c r="E100" s="6">
        <v>98.420450000000002</v>
      </c>
      <c r="F100">
        <v>7.389068E-2</v>
      </c>
      <c r="G100">
        <v>0.77579279999999995</v>
      </c>
      <c r="H100" s="2">
        <v>3.2</v>
      </c>
      <c r="I100">
        <v>0.3895634</v>
      </c>
      <c r="J100">
        <v>19.993379999999998</v>
      </c>
      <c r="K100">
        <v>5.824385E-2</v>
      </c>
      <c r="L100">
        <v>-4140.652</v>
      </c>
      <c r="M100" s="1">
        <v>8.1699999999999997E-7</v>
      </c>
      <c r="N100">
        <v>13.113440000000001</v>
      </c>
      <c r="O100">
        <v>0</v>
      </c>
      <c r="P100">
        <v>0.31185099999999999</v>
      </c>
      <c r="Q100">
        <v>15597.72</v>
      </c>
      <c r="R100">
        <v>0</v>
      </c>
    </row>
    <row r="101" spans="1:18" x14ac:dyDescent="0.25">
      <c r="A101">
        <v>5</v>
      </c>
      <c r="B101">
        <v>187.8938</v>
      </c>
      <c r="C101">
        <v>79.999719999999996</v>
      </c>
      <c r="D101" s="6">
        <v>149.83449999999999</v>
      </c>
      <c r="E101" s="6">
        <v>111.2137</v>
      </c>
      <c r="F101">
        <v>8.7269970000000002E-2</v>
      </c>
      <c r="G101">
        <v>0.74224380000000001</v>
      </c>
      <c r="H101" s="2">
        <v>4.5999999999999996</v>
      </c>
      <c r="I101">
        <v>0.45043529999999998</v>
      </c>
      <c r="J101">
        <v>19.993510000000001</v>
      </c>
      <c r="K101">
        <v>5.8244249999999997E-2</v>
      </c>
      <c r="L101">
        <v>-4140.3029999999999</v>
      </c>
      <c r="M101" s="1">
        <v>7.6199999999999997E-7</v>
      </c>
      <c r="N101">
        <v>13.11379</v>
      </c>
      <c r="O101">
        <v>0</v>
      </c>
      <c r="P101">
        <v>0.36831740000000002</v>
      </c>
      <c r="Q101">
        <v>18421.849999999999</v>
      </c>
      <c r="R101">
        <v>0</v>
      </c>
    </row>
    <row r="102" spans="1:18" x14ac:dyDescent="0.25">
      <c r="A102">
        <v>5</v>
      </c>
      <c r="B102">
        <v>189.7877</v>
      </c>
      <c r="C102">
        <v>79.999650000000003</v>
      </c>
      <c r="D102" s="6">
        <v>178.0198</v>
      </c>
      <c r="E102" s="6">
        <v>125.3484</v>
      </c>
      <c r="F102">
        <v>0.1036895</v>
      </c>
      <c r="G102">
        <v>0.70412609999999998</v>
      </c>
      <c r="H102" s="2">
        <v>6.8</v>
      </c>
      <c r="I102">
        <v>0.52090040000000004</v>
      </c>
      <c r="J102">
        <v>19.994129999999998</v>
      </c>
      <c r="K102">
        <v>5.8246039999999999E-2</v>
      </c>
      <c r="L102">
        <v>-4140.0349999999999</v>
      </c>
      <c r="M102" s="1">
        <v>2.1799999999999999E-6</v>
      </c>
      <c r="N102">
        <v>13.11406</v>
      </c>
      <c r="O102">
        <v>0</v>
      </c>
      <c r="P102">
        <v>0.43761499999999998</v>
      </c>
      <c r="Q102">
        <v>21887.17</v>
      </c>
      <c r="R102">
        <v>0</v>
      </c>
    </row>
    <row r="103" spans="1:18" x14ac:dyDescent="0.25">
      <c r="A103">
        <v>5</v>
      </c>
      <c r="B103">
        <v>190.327</v>
      </c>
      <c r="C103">
        <v>79.999880000000005</v>
      </c>
      <c r="D103" s="6">
        <v>209.11369999999999</v>
      </c>
      <c r="E103" s="6">
        <v>139.40629999999999</v>
      </c>
      <c r="F103">
        <v>0.1218166</v>
      </c>
      <c r="G103">
        <v>0.6666531</v>
      </c>
      <c r="H103" s="2">
        <v>10</v>
      </c>
      <c r="I103">
        <v>0.59212480000000001</v>
      </c>
      <c r="J103">
        <v>19.996780000000001</v>
      </c>
      <c r="K103">
        <v>5.8253760000000002E-2</v>
      </c>
      <c r="L103">
        <v>-4139.9040000000005</v>
      </c>
      <c r="M103" s="1">
        <v>1.0899999999999999E-6</v>
      </c>
      <c r="N103">
        <v>13.114190000000001</v>
      </c>
      <c r="O103">
        <v>0</v>
      </c>
      <c r="P103">
        <v>0.5141192</v>
      </c>
      <c r="Q103">
        <v>25710.1</v>
      </c>
      <c r="R103">
        <v>0</v>
      </c>
    </row>
    <row r="104" spans="1:18" x14ac:dyDescent="0.25">
      <c r="A104">
        <v>5</v>
      </c>
      <c r="B104">
        <v>191.0795</v>
      </c>
      <c r="C104">
        <v>80.000339999999994</v>
      </c>
      <c r="D104" s="6">
        <v>242.95</v>
      </c>
      <c r="E104" s="6">
        <v>153.0369</v>
      </c>
      <c r="F104">
        <v>0.1415235</v>
      </c>
      <c r="G104">
        <v>0.629911</v>
      </c>
      <c r="H104" s="2">
        <v>14.6</v>
      </c>
      <c r="I104">
        <v>0.65796160000000004</v>
      </c>
      <c r="J104">
        <v>19.996220000000001</v>
      </c>
      <c r="K104">
        <v>5.8252119999999998E-2</v>
      </c>
      <c r="L104">
        <v>-4139.7619999999997</v>
      </c>
      <c r="M104" s="1">
        <v>3.27E-6</v>
      </c>
      <c r="N104">
        <v>13.114330000000001</v>
      </c>
      <c r="O104">
        <v>0</v>
      </c>
      <c r="P104">
        <v>0.59729100000000002</v>
      </c>
      <c r="Q104">
        <v>29870.2</v>
      </c>
      <c r="R104">
        <v>0</v>
      </c>
    </row>
    <row r="105" spans="1:18" x14ac:dyDescent="0.25">
      <c r="A105">
        <v>5</v>
      </c>
      <c r="B105">
        <v>191.56399999999999</v>
      </c>
      <c r="C105">
        <v>80.000299999999996</v>
      </c>
      <c r="D105" s="6">
        <v>280.86399999999998</v>
      </c>
      <c r="E105" s="6">
        <v>166.86959999999999</v>
      </c>
      <c r="F105">
        <v>0.16360730000000001</v>
      </c>
      <c r="G105">
        <v>0.59412949999999998</v>
      </c>
      <c r="H105" s="2">
        <v>21.5</v>
      </c>
      <c r="I105">
        <v>0.70919929999999998</v>
      </c>
      <c r="J105">
        <v>19.995979999999999</v>
      </c>
      <c r="K105">
        <v>5.8251419999999998E-2</v>
      </c>
      <c r="L105">
        <v>-4139.6779999999999</v>
      </c>
      <c r="M105" s="1">
        <v>2.61E-6</v>
      </c>
      <c r="N105">
        <v>13.114420000000001</v>
      </c>
      <c r="O105">
        <v>0</v>
      </c>
      <c r="P105">
        <v>0.69049439999999995</v>
      </c>
      <c r="Q105">
        <v>34531.660000000003</v>
      </c>
      <c r="R105">
        <v>0</v>
      </c>
    </row>
    <row r="106" spans="1:18" x14ac:dyDescent="0.25">
      <c r="A106">
        <v>5</v>
      </c>
      <c r="B106">
        <v>192.3485</v>
      </c>
      <c r="C106">
        <v>79.999899999999997</v>
      </c>
      <c r="D106" s="6">
        <v>322.17790000000002</v>
      </c>
      <c r="E106" s="6">
        <v>179.84540000000001</v>
      </c>
      <c r="F106">
        <v>0.18765870000000001</v>
      </c>
      <c r="G106">
        <v>0.55821779999999999</v>
      </c>
      <c r="H106" s="2">
        <v>31.6</v>
      </c>
      <c r="I106">
        <v>0.71952720000000003</v>
      </c>
      <c r="J106">
        <v>19.994440000000001</v>
      </c>
      <c r="K106">
        <v>5.8246930000000002E-2</v>
      </c>
      <c r="L106">
        <v>-4139.67</v>
      </c>
      <c r="M106" s="1">
        <v>2.61E-6</v>
      </c>
      <c r="N106">
        <v>13.114420000000001</v>
      </c>
      <c r="O106">
        <v>0</v>
      </c>
      <c r="P106">
        <v>0.79200190000000004</v>
      </c>
      <c r="Q106">
        <v>39611.11</v>
      </c>
      <c r="R106">
        <v>0</v>
      </c>
    </row>
    <row r="107" spans="1:18" x14ac:dyDescent="0.25">
      <c r="A107">
        <v>5</v>
      </c>
      <c r="B107">
        <v>193.2345</v>
      </c>
      <c r="C107">
        <v>80.000640000000004</v>
      </c>
      <c r="D107" s="6">
        <v>362.35820000000001</v>
      </c>
      <c r="E107" s="6">
        <v>190.33090000000001</v>
      </c>
      <c r="F107">
        <v>0.211032</v>
      </c>
      <c r="G107">
        <v>0.52525630000000001</v>
      </c>
      <c r="H107" s="2">
        <v>46.4</v>
      </c>
      <c r="I107">
        <v>0.63649440000000002</v>
      </c>
      <c r="J107">
        <v>19.991540000000001</v>
      </c>
      <c r="K107">
        <v>5.8238520000000002E-2</v>
      </c>
      <c r="L107">
        <v>-4139.8040000000001</v>
      </c>
      <c r="M107" s="1">
        <v>2.1799999999999999E-7</v>
      </c>
      <c r="N107">
        <v>13.11429</v>
      </c>
      <c r="O107">
        <v>0</v>
      </c>
      <c r="P107">
        <v>0.89064759999999998</v>
      </c>
      <c r="Q107">
        <v>44551.199999999997</v>
      </c>
      <c r="R107">
        <v>0</v>
      </c>
    </row>
    <row r="108" spans="1:18" x14ac:dyDescent="0.25">
      <c r="A108">
        <v>5</v>
      </c>
      <c r="B108">
        <v>193.6003</v>
      </c>
      <c r="C108">
        <v>80.001059999999995</v>
      </c>
      <c r="D108" s="6">
        <v>408.33089999999999</v>
      </c>
      <c r="E108" s="6">
        <v>200.553</v>
      </c>
      <c r="F108">
        <v>0.2378382</v>
      </c>
      <c r="G108">
        <v>0.49115320000000001</v>
      </c>
      <c r="H108" s="2">
        <v>68</v>
      </c>
      <c r="I108">
        <v>0.48000720000000002</v>
      </c>
      <c r="J108">
        <v>19.994260000000001</v>
      </c>
      <c r="K108">
        <v>5.8246439999999997E-2</v>
      </c>
      <c r="L108">
        <v>-4140.0190000000002</v>
      </c>
      <c r="M108" s="1">
        <v>1.7400000000000001E-6</v>
      </c>
      <c r="N108">
        <v>13.11408</v>
      </c>
      <c r="O108">
        <v>0</v>
      </c>
      <c r="P108">
        <v>1.003781</v>
      </c>
      <c r="Q108">
        <v>50203.45</v>
      </c>
      <c r="R108">
        <v>0</v>
      </c>
    </row>
    <row r="109" spans="1:18" x14ac:dyDescent="0.25">
      <c r="A109">
        <v>5</v>
      </c>
      <c r="B109">
        <v>193.8545</v>
      </c>
      <c r="C109">
        <v>80.000709999999998</v>
      </c>
      <c r="D109" s="6">
        <v>450.32170000000002</v>
      </c>
      <c r="E109" s="6">
        <v>211.7791</v>
      </c>
      <c r="F109">
        <v>0.26226070000000001</v>
      </c>
      <c r="G109">
        <v>0.47028399999999998</v>
      </c>
      <c r="H109" s="2">
        <v>100</v>
      </c>
      <c r="I109">
        <v>0.99250510000000003</v>
      </c>
      <c r="J109">
        <v>19.99156</v>
      </c>
      <c r="K109">
        <v>5.823855E-2</v>
      </c>
      <c r="L109">
        <v>-4139.8819999999996</v>
      </c>
      <c r="M109" s="1">
        <v>8.71E-7</v>
      </c>
      <c r="N109">
        <v>13.11421</v>
      </c>
      <c r="O109">
        <v>0</v>
      </c>
      <c r="P109">
        <v>1.1068549999999999</v>
      </c>
      <c r="Q109">
        <v>55366.13</v>
      </c>
      <c r="R109">
        <v>0</v>
      </c>
    </row>
    <row r="110" spans="1:18" x14ac:dyDescent="0.25">
      <c r="A110">
        <v>6</v>
      </c>
      <c r="B110">
        <v>205.0635</v>
      </c>
      <c r="C110">
        <v>84.99342</v>
      </c>
      <c r="D110" s="6">
        <v>15.760260000000001</v>
      </c>
      <c r="E110" s="6">
        <v>5.8354929999999996</v>
      </c>
      <c r="F110">
        <v>9.1989529999999993E-3</v>
      </c>
      <c r="G110">
        <v>0.3702664</v>
      </c>
      <c r="H110" s="2">
        <v>0.1</v>
      </c>
      <c r="I110">
        <v>4.1507549999999997E-2</v>
      </c>
      <c r="J110">
        <v>20.036010000000001</v>
      </c>
      <c r="K110">
        <v>5.8368040000000003E-2</v>
      </c>
      <c r="L110">
        <v>-4135.674</v>
      </c>
      <c r="M110" s="1">
        <v>1.7999999999999999E-6</v>
      </c>
      <c r="N110">
        <v>13.11842</v>
      </c>
      <c r="O110">
        <v>0</v>
      </c>
      <c r="P110">
        <v>3.88236E-2</v>
      </c>
      <c r="Q110">
        <v>1937.692</v>
      </c>
      <c r="R110">
        <v>0</v>
      </c>
    </row>
    <row r="111" spans="1:18" x14ac:dyDescent="0.25">
      <c r="A111">
        <v>6</v>
      </c>
      <c r="B111">
        <v>207.76759999999999</v>
      </c>
      <c r="C111">
        <v>85.000050000000002</v>
      </c>
      <c r="D111" s="6">
        <v>16.85425</v>
      </c>
      <c r="E111" s="6">
        <v>6.9912520000000002</v>
      </c>
      <c r="F111">
        <v>9.8301619999999999E-3</v>
      </c>
      <c r="G111">
        <v>0.41480660000000003</v>
      </c>
      <c r="H111" s="2">
        <v>0.15</v>
      </c>
      <c r="I111">
        <v>4.5012789999999997E-2</v>
      </c>
      <c r="J111">
        <v>20.021080000000001</v>
      </c>
      <c r="K111">
        <v>5.8324540000000001E-2</v>
      </c>
      <c r="L111">
        <v>-4134.7690000000002</v>
      </c>
      <c r="M111" s="1">
        <v>1.8500000000000001E-6</v>
      </c>
      <c r="N111">
        <v>13.11932</v>
      </c>
      <c r="O111">
        <v>0</v>
      </c>
      <c r="P111">
        <v>4.1487580000000003E-2</v>
      </c>
      <c r="Q111">
        <v>2072.1959999999999</v>
      </c>
      <c r="R111">
        <v>0</v>
      </c>
    </row>
    <row r="112" spans="1:18" x14ac:dyDescent="0.25">
      <c r="A112">
        <v>6</v>
      </c>
      <c r="B112">
        <v>215.99520000000001</v>
      </c>
      <c r="C112">
        <v>85.000010000000003</v>
      </c>
      <c r="D112" s="6">
        <v>18.297920000000001</v>
      </c>
      <c r="E112" s="6">
        <v>8.4394159999999996</v>
      </c>
      <c r="F112">
        <v>1.064591E-2</v>
      </c>
      <c r="G112">
        <v>0.46122259999999998</v>
      </c>
      <c r="H112" s="2">
        <v>0.22</v>
      </c>
      <c r="I112">
        <v>4.9560979999999998E-2</v>
      </c>
      <c r="J112">
        <v>19.971800000000002</v>
      </c>
      <c r="K112">
        <v>5.8180999999999997E-2</v>
      </c>
      <c r="L112">
        <v>-4132.9080000000004</v>
      </c>
      <c r="M112" s="1">
        <v>1.31E-6</v>
      </c>
      <c r="N112">
        <v>13.12119</v>
      </c>
      <c r="O112">
        <v>0</v>
      </c>
      <c r="P112">
        <v>4.4930400000000002E-2</v>
      </c>
      <c r="Q112">
        <v>2249.692</v>
      </c>
      <c r="R112">
        <v>0</v>
      </c>
    </row>
    <row r="113" spans="1:18" x14ac:dyDescent="0.25">
      <c r="A113">
        <v>6</v>
      </c>
      <c r="B113">
        <v>225.23320000000001</v>
      </c>
      <c r="C113">
        <v>84.999880000000005</v>
      </c>
      <c r="D113" s="6">
        <v>20.205469999999998</v>
      </c>
      <c r="E113" s="6">
        <v>10.434699999999999</v>
      </c>
      <c r="F113">
        <v>1.1751620000000001E-2</v>
      </c>
      <c r="G113">
        <v>0.51642969999999999</v>
      </c>
      <c r="H113" s="2">
        <v>0.32</v>
      </c>
      <c r="I113">
        <v>5.5877709999999997E-2</v>
      </c>
      <c r="J113">
        <v>19.96481</v>
      </c>
      <c r="K113">
        <v>5.8160620000000003E-2</v>
      </c>
      <c r="L113">
        <v>-4131.6499999999996</v>
      </c>
      <c r="M113" s="1">
        <v>2.0099999999999998E-6</v>
      </c>
      <c r="N113">
        <v>13.122439999999999</v>
      </c>
      <c r="O113">
        <v>0</v>
      </c>
      <c r="P113">
        <v>4.9596979999999999E-2</v>
      </c>
      <c r="Q113">
        <v>2484.2199999999998</v>
      </c>
      <c r="R113">
        <v>0</v>
      </c>
    </row>
    <row r="114" spans="1:18" x14ac:dyDescent="0.25">
      <c r="A114">
        <v>6</v>
      </c>
      <c r="B114">
        <v>235.30840000000001</v>
      </c>
      <c r="C114">
        <v>85.000010000000003</v>
      </c>
      <c r="D114" s="6">
        <v>22.499320000000001</v>
      </c>
      <c r="E114" s="6">
        <v>12.89852</v>
      </c>
      <c r="F114">
        <v>1.3087440000000001E-2</v>
      </c>
      <c r="G114">
        <v>0.57328520000000005</v>
      </c>
      <c r="H114" s="2">
        <v>0.46</v>
      </c>
      <c r="I114">
        <v>6.368762E-2</v>
      </c>
      <c r="J114">
        <v>19.967410000000001</v>
      </c>
      <c r="K114">
        <v>5.8168209999999998E-2</v>
      </c>
      <c r="L114">
        <v>-4130.8019999999997</v>
      </c>
      <c r="M114" s="1">
        <v>2.0700000000000001E-6</v>
      </c>
      <c r="N114">
        <v>13.123290000000001</v>
      </c>
      <c r="O114">
        <v>0</v>
      </c>
      <c r="P114">
        <v>5.5234739999999997E-2</v>
      </c>
      <c r="Q114">
        <v>2766.2440000000001</v>
      </c>
      <c r="R114">
        <v>0</v>
      </c>
    </row>
    <row r="115" spans="1:18" x14ac:dyDescent="0.25">
      <c r="A115">
        <v>6</v>
      </c>
      <c r="B115">
        <v>245.38480000000001</v>
      </c>
      <c r="C115">
        <v>85.000240000000005</v>
      </c>
      <c r="D115" s="6">
        <v>25.484500000000001</v>
      </c>
      <c r="E115" s="6">
        <v>16.191189999999999</v>
      </c>
      <c r="F115">
        <v>1.482759E-2</v>
      </c>
      <c r="G115">
        <v>0.63533479999999998</v>
      </c>
      <c r="H115" s="2">
        <v>0.68</v>
      </c>
      <c r="I115">
        <v>7.4093720000000002E-2</v>
      </c>
      <c r="J115">
        <v>19.97241</v>
      </c>
      <c r="K115">
        <v>5.8182789999999998E-2</v>
      </c>
      <c r="L115">
        <v>-4129.9399999999996</v>
      </c>
      <c r="M115" s="1">
        <v>2.1799999999999999E-6</v>
      </c>
      <c r="N115">
        <v>13.12416</v>
      </c>
      <c r="O115">
        <v>0</v>
      </c>
      <c r="P115">
        <v>6.2578919999999996E-2</v>
      </c>
      <c r="Q115">
        <v>3133.268</v>
      </c>
      <c r="R115">
        <v>0</v>
      </c>
    </row>
    <row r="116" spans="1:18" x14ac:dyDescent="0.25">
      <c r="A116">
        <v>6</v>
      </c>
      <c r="B116">
        <v>247.29400000000001</v>
      </c>
      <c r="C116">
        <v>85.000479999999996</v>
      </c>
      <c r="D116" s="6">
        <v>28.851299999999998</v>
      </c>
      <c r="E116" s="6">
        <v>20.04044</v>
      </c>
      <c r="F116">
        <v>1.680628E-2</v>
      </c>
      <c r="G116">
        <v>0.69461119999999998</v>
      </c>
      <c r="H116" s="2">
        <v>1</v>
      </c>
      <c r="I116">
        <v>8.6198880000000005E-2</v>
      </c>
      <c r="J116">
        <v>19.99596</v>
      </c>
      <c r="K116">
        <v>5.825139E-2</v>
      </c>
      <c r="L116">
        <v>-4129.8180000000002</v>
      </c>
      <c r="M116" s="1">
        <v>8.1699999999999997E-7</v>
      </c>
      <c r="N116">
        <v>13.124280000000001</v>
      </c>
      <c r="O116">
        <v>0</v>
      </c>
      <c r="P116">
        <v>7.0929859999999997E-2</v>
      </c>
      <c r="Q116">
        <v>3547.2089999999998</v>
      </c>
      <c r="R116">
        <v>0</v>
      </c>
    </row>
    <row r="117" spans="1:18" x14ac:dyDescent="0.25">
      <c r="A117">
        <v>6</v>
      </c>
      <c r="B117">
        <v>247.73679999999999</v>
      </c>
      <c r="C117">
        <v>84.999260000000007</v>
      </c>
      <c r="D117" s="6">
        <v>33.267859999999999</v>
      </c>
      <c r="E117" s="6">
        <v>25.031140000000001</v>
      </c>
      <c r="F117">
        <v>1.9380640000000001E-2</v>
      </c>
      <c r="G117">
        <v>0.75241219999999998</v>
      </c>
      <c r="H117" s="2">
        <v>1.5</v>
      </c>
      <c r="I117">
        <v>0.1019611</v>
      </c>
      <c r="J117">
        <v>19.99766</v>
      </c>
      <c r="K117">
        <v>5.8256339999999997E-2</v>
      </c>
      <c r="L117">
        <v>-4129.72</v>
      </c>
      <c r="M117" s="1">
        <v>5.4399999999999997E-8</v>
      </c>
      <c r="N117">
        <v>13.124370000000001</v>
      </c>
      <c r="O117">
        <v>0</v>
      </c>
      <c r="P117">
        <v>8.1794749999999999E-2</v>
      </c>
      <c r="Q117">
        <v>4090.2159999999999</v>
      </c>
      <c r="R117">
        <v>0</v>
      </c>
    </row>
    <row r="118" spans="1:18" x14ac:dyDescent="0.25">
      <c r="A118">
        <v>6</v>
      </c>
      <c r="B118">
        <v>249.54650000000001</v>
      </c>
      <c r="C118">
        <v>85.000739999999993</v>
      </c>
      <c r="D118" s="6">
        <v>38.645040000000002</v>
      </c>
      <c r="E118" s="6">
        <v>30.78668</v>
      </c>
      <c r="F118">
        <v>2.2509000000000001E-2</v>
      </c>
      <c r="G118">
        <v>0.79665300000000006</v>
      </c>
      <c r="H118" s="2">
        <v>2.2000000000000002</v>
      </c>
      <c r="I118">
        <v>0.1206033</v>
      </c>
      <c r="J118">
        <v>19.993960000000001</v>
      </c>
      <c r="K118">
        <v>5.8245539999999998E-2</v>
      </c>
      <c r="L118">
        <v>-4128.3779999999997</v>
      </c>
      <c r="M118" s="1">
        <v>7.6199999999999997E-7</v>
      </c>
      <c r="N118">
        <v>13.125719999999999</v>
      </c>
      <c r="O118">
        <v>0</v>
      </c>
      <c r="P118">
        <v>9.4997849999999995E-2</v>
      </c>
      <c r="Q118">
        <v>4751.3280000000004</v>
      </c>
      <c r="R118">
        <v>0</v>
      </c>
    </row>
    <row r="119" spans="1:18" x14ac:dyDescent="0.25">
      <c r="A119">
        <v>6</v>
      </c>
      <c r="B119">
        <v>251.62219999999999</v>
      </c>
      <c r="C119">
        <v>84.99991</v>
      </c>
      <c r="D119" s="6">
        <v>45.243940000000002</v>
      </c>
      <c r="E119" s="6">
        <v>37.539099999999998</v>
      </c>
      <c r="F119">
        <v>2.6352790000000001E-2</v>
      </c>
      <c r="G119">
        <v>0.82970460000000001</v>
      </c>
      <c r="H119" s="2">
        <v>3.2</v>
      </c>
      <c r="I119">
        <v>0.14276700000000001</v>
      </c>
      <c r="J119">
        <v>19.994119999999999</v>
      </c>
      <c r="K119">
        <v>5.8246020000000003E-2</v>
      </c>
      <c r="L119">
        <v>-4127.4059999999999</v>
      </c>
      <c r="M119" s="1">
        <v>2.6699999999999998E-6</v>
      </c>
      <c r="N119">
        <v>13.12669</v>
      </c>
      <c r="O119">
        <v>0</v>
      </c>
      <c r="P119">
        <v>0.11122029999999999</v>
      </c>
      <c r="Q119">
        <v>5562.65</v>
      </c>
      <c r="R119">
        <v>0</v>
      </c>
    </row>
    <row r="120" spans="1:18" x14ac:dyDescent="0.25">
      <c r="A120">
        <v>6</v>
      </c>
      <c r="B120">
        <v>253.52869999999999</v>
      </c>
      <c r="C120">
        <v>84.999619999999993</v>
      </c>
      <c r="D120" s="6">
        <v>53.181100000000001</v>
      </c>
      <c r="E120" s="6">
        <v>45.205889999999997</v>
      </c>
      <c r="F120">
        <v>3.0975909999999999E-2</v>
      </c>
      <c r="G120">
        <v>0.85003680000000004</v>
      </c>
      <c r="H120" s="2">
        <v>4.5999999999999996</v>
      </c>
      <c r="I120">
        <v>0.16808119999999999</v>
      </c>
      <c r="J120">
        <v>19.994140000000002</v>
      </c>
      <c r="K120">
        <v>5.824609E-2</v>
      </c>
      <c r="L120">
        <v>-4126.9440000000004</v>
      </c>
      <c r="M120" s="1">
        <v>2.4499999999999998E-6</v>
      </c>
      <c r="N120">
        <v>13.12715</v>
      </c>
      <c r="O120">
        <v>0</v>
      </c>
      <c r="P120">
        <v>0.13073190000000001</v>
      </c>
      <c r="Q120">
        <v>6538.5079999999998</v>
      </c>
      <c r="R120">
        <v>0</v>
      </c>
    </row>
    <row r="121" spans="1:18" x14ac:dyDescent="0.25">
      <c r="A121">
        <v>6</v>
      </c>
      <c r="B121">
        <v>257.79939999999999</v>
      </c>
      <c r="C121">
        <v>84.842420000000004</v>
      </c>
      <c r="D121" s="6">
        <v>71.378810000000001</v>
      </c>
      <c r="E121" s="6">
        <v>60.91469</v>
      </c>
      <c r="F121">
        <v>4.2029660000000003E-2</v>
      </c>
      <c r="G121">
        <v>0.85340009999999999</v>
      </c>
      <c r="H121" s="2">
        <v>6.8</v>
      </c>
      <c r="I121">
        <v>0.22541530000000001</v>
      </c>
      <c r="J121">
        <v>20.212620000000001</v>
      </c>
      <c r="K121">
        <v>5.888256E-2</v>
      </c>
      <c r="L121">
        <v>-4127.2939999999999</v>
      </c>
      <c r="M121" s="1">
        <v>1.9099999999999999E-6</v>
      </c>
      <c r="N121">
        <v>13.126799999999999</v>
      </c>
      <c r="O121">
        <v>0</v>
      </c>
      <c r="P121">
        <v>0.1773836</v>
      </c>
      <c r="Q121">
        <v>8775.8790000000008</v>
      </c>
      <c r="R121">
        <v>0</v>
      </c>
    </row>
    <row r="122" spans="1:18" x14ac:dyDescent="0.25">
      <c r="A122">
        <v>6</v>
      </c>
      <c r="B122">
        <v>258.3408</v>
      </c>
      <c r="C122">
        <v>84.929959999999994</v>
      </c>
      <c r="D122" s="6">
        <v>83.854939999999999</v>
      </c>
      <c r="E122" s="6">
        <v>70.977429999999998</v>
      </c>
      <c r="F122">
        <v>4.8895719999999997E-2</v>
      </c>
      <c r="G122">
        <v>0.84643109999999999</v>
      </c>
      <c r="H122" s="2">
        <v>10</v>
      </c>
      <c r="I122">
        <v>0.25434580000000001</v>
      </c>
      <c r="J122">
        <v>20.01605</v>
      </c>
      <c r="K122">
        <v>5.8309899999999998E-2</v>
      </c>
      <c r="L122">
        <v>-4127.1589999999997</v>
      </c>
      <c r="M122" s="1">
        <v>5.99E-7</v>
      </c>
      <c r="N122">
        <v>13.126939999999999</v>
      </c>
      <c r="O122">
        <v>0</v>
      </c>
      <c r="P122">
        <v>0.2063614</v>
      </c>
      <c r="Q122">
        <v>10309.790000000001</v>
      </c>
      <c r="R122">
        <v>0</v>
      </c>
    </row>
    <row r="123" spans="1:18" x14ac:dyDescent="0.25">
      <c r="A123">
        <v>6</v>
      </c>
      <c r="B123">
        <v>259.1816</v>
      </c>
      <c r="C123">
        <v>84.993610000000004</v>
      </c>
      <c r="D123" s="6">
        <v>97.681889999999996</v>
      </c>
      <c r="E123" s="6">
        <v>81.462389999999999</v>
      </c>
      <c r="F123">
        <v>5.7090660000000001E-2</v>
      </c>
      <c r="G123">
        <v>0.83395589999999997</v>
      </c>
      <c r="H123" s="2">
        <v>14.6</v>
      </c>
      <c r="I123">
        <v>0.28074250000000001</v>
      </c>
      <c r="J123">
        <v>20.0626</v>
      </c>
      <c r="K123">
        <v>5.8445499999999997E-2</v>
      </c>
      <c r="L123">
        <v>-4126.8980000000001</v>
      </c>
      <c r="M123" s="1">
        <v>2.0099999999999998E-6</v>
      </c>
      <c r="N123">
        <v>13.1272</v>
      </c>
      <c r="O123">
        <v>0</v>
      </c>
      <c r="P123">
        <v>0.24094760000000001</v>
      </c>
      <c r="Q123">
        <v>12009.79</v>
      </c>
      <c r="R123">
        <v>0</v>
      </c>
    </row>
    <row r="124" spans="1:18" x14ac:dyDescent="0.25">
      <c r="A124">
        <v>6</v>
      </c>
      <c r="B124">
        <v>259.70580000000001</v>
      </c>
      <c r="C124">
        <v>85.009190000000004</v>
      </c>
      <c r="D124" s="6">
        <v>116.0951</v>
      </c>
      <c r="E124" s="6">
        <v>94.334119999999999</v>
      </c>
      <c r="F124">
        <v>6.7707619999999996E-2</v>
      </c>
      <c r="G124">
        <v>0.81255900000000003</v>
      </c>
      <c r="H124" s="2">
        <v>21.5</v>
      </c>
      <c r="I124">
        <v>0.2998904</v>
      </c>
      <c r="J124">
        <v>20.0198</v>
      </c>
      <c r="K124">
        <v>5.8320820000000002E-2</v>
      </c>
      <c r="L124">
        <v>-4126.68</v>
      </c>
      <c r="M124" s="1">
        <v>3.27E-7</v>
      </c>
      <c r="N124">
        <v>13.127409999999999</v>
      </c>
      <c r="O124">
        <v>0</v>
      </c>
      <c r="P124">
        <v>0.2857558</v>
      </c>
      <c r="Q124">
        <v>14273.66</v>
      </c>
      <c r="R124">
        <v>0</v>
      </c>
    </row>
    <row r="125" spans="1:18" x14ac:dyDescent="0.25">
      <c r="A125">
        <v>6</v>
      </c>
      <c r="B125">
        <v>260.49200000000002</v>
      </c>
      <c r="C125">
        <v>85.01549</v>
      </c>
      <c r="D125" s="6">
        <v>137.6859</v>
      </c>
      <c r="E125" s="6">
        <v>107.71680000000001</v>
      </c>
      <c r="F125">
        <v>8.0379709999999993E-2</v>
      </c>
      <c r="G125">
        <v>0.78233710000000001</v>
      </c>
      <c r="H125" s="2">
        <v>31.6</v>
      </c>
      <c r="I125">
        <v>0.29681259999999998</v>
      </c>
      <c r="J125">
        <v>20.03979</v>
      </c>
      <c r="K125">
        <v>5.8379060000000003E-2</v>
      </c>
      <c r="L125">
        <v>-4126.2430000000004</v>
      </c>
      <c r="M125" s="1">
        <v>4.3599999999999999E-7</v>
      </c>
      <c r="N125">
        <v>13.12785</v>
      </c>
      <c r="O125">
        <v>0</v>
      </c>
      <c r="P125">
        <v>0.33923750000000003</v>
      </c>
      <c r="Q125">
        <v>16928.2</v>
      </c>
      <c r="R125">
        <v>0</v>
      </c>
    </row>
    <row r="126" spans="1:18" x14ac:dyDescent="0.25">
      <c r="A126">
        <v>6</v>
      </c>
      <c r="B126">
        <v>261.45839999999998</v>
      </c>
      <c r="C126">
        <v>85.007819999999995</v>
      </c>
      <c r="D126" s="6">
        <v>159.84639999999999</v>
      </c>
      <c r="E126" s="6">
        <v>120.6722</v>
      </c>
      <c r="F126">
        <v>9.3218499999999996E-2</v>
      </c>
      <c r="G126">
        <v>0.75492590000000004</v>
      </c>
      <c r="H126" s="2">
        <v>46.4</v>
      </c>
      <c r="I126">
        <v>0.2948076</v>
      </c>
      <c r="J126">
        <v>20.01867</v>
      </c>
      <c r="K126">
        <v>5.8317540000000001E-2</v>
      </c>
      <c r="L126">
        <v>-4125.9979999999996</v>
      </c>
      <c r="M126" s="1">
        <v>1.7999999999999999E-6</v>
      </c>
      <c r="N126">
        <v>13.1281</v>
      </c>
      <c r="O126">
        <v>0</v>
      </c>
      <c r="P126">
        <v>0.39342280000000002</v>
      </c>
      <c r="Q126">
        <v>19652.79</v>
      </c>
      <c r="R126">
        <v>0</v>
      </c>
    </row>
    <row r="127" spans="1:18" x14ac:dyDescent="0.25">
      <c r="A127">
        <v>6</v>
      </c>
      <c r="B127">
        <v>261.79880000000003</v>
      </c>
      <c r="C127">
        <v>85.004589999999993</v>
      </c>
      <c r="D127" s="6">
        <v>192.13980000000001</v>
      </c>
      <c r="E127" s="6">
        <v>135.83459999999999</v>
      </c>
      <c r="F127">
        <v>0.1119238</v>
      </c>
      <c r="G127">
        <v>0.70695739999999996</v>
      </c>
      <c r="H127" s="2">
        <v>68</v>
      </c>
      <c r="I127">
        <v>0.54288139999999996</v>
      </c>
      <c r="J127">
        <v>19.995920000000002</v>
      </c>
      <c r="K127">
        <v>5.8251259999999999E-2</v>
      </c>
      <c r="L127">
        <v>-4125.83</v>
      </c>
      <c r="M127" s="1">
        <v>4.8999999999999997E-7</v>
      </c>
      <c r="N127">
        <v>13.128259999999999</v>
      </c>
      <c r="O127">
        <v>0</v>
      </c>
      <c r="P127">
        <v>0.4723675</v>
      </c>
      <c r="Q127">
        <v>23623.200000000001</v>
      </c>
      <c r="R127">
        <v>0</v>
      </c>
    </row>
    <row r="128" spans="1:18" x14ac:dyDescent="0.25">
      <c r="A128">
        <v>6</v>
      </c>
      <c r="B128">
        <v>262.029</v>
      </c>
      <c r="C128">
        <v>85.002430000000004</v>
      </c>
      <c r="D128" s="6">
        <v>219.71180000000001</v>
      </c>
      <c r="E128" s="6">
        <v>152.72120000000001</v>
      </c>
      <c r="F128">
        <v>0.12796750000000001</v>
      </c>
      <c r="G128">
        <v>0.69509790000000005</v>
      </c>
      <c r="H128" s="2">
        <v>100</v>
      </c>
      <c r="I128">
        <v>1.449716</v>
      </c>
      <c r="J128">
        <v>19.993210000000001</v>
      </c>
      <c r="K128">
        <v>5.8243379999999997E-2</v>
      </c>
      <c r="L128">
        <v>-4125.4279999999999</v>
      </c>
      <c r="M128" s="1">
        <v>8.1699999999999997E-7</v>
      </c>
      <c r="N128">
        <v>13.12867</v>
      </c>
      <c r="O128">
        <v>0</v>
      </c>
      <c r="P128">
        <v>0.54007890000000003</v>
      </c>
      <c r="Q128">
        <v>27013.11</v>
      </c>
      <c r="R128">
        <v>0</v>
      </c>
    </row>
    <row r="129" spans="1:18" x14ac:dyDescent="0.25">
      <c r="A129">
        <v>7</v>
      </c>
      <c r="B129">
        <v>271.67660000000001</v>
      </c>
      <c r="C129">
        <v>89.966549999999998</v>
      </c>
      <c r="D129" s="6">
        <v>12.72977</v>
      </c>
      <c r="E129" s="6">
        <v>2.7742100000000001</v>
      </c>
      <c r="F129">
        <v>7.4250449999999999E-3</v>
      </c>
      <c r="G129">
        <v>0.21793100000000001</v>
      </c>
      <c r="H129" s="2">
        <v>0.1</v>
      </c>
      <c r="I129">
        <v>3.2204289999999997E-2</v>
      </c>
      <c r="J129">
        <v>20.02234</v>
      </c>
      <c r="K129">
        <v>5.832822E-2</v>
      </c>
      <c r="L129">
        <v>-4121.0439999999999</v>
      </c>
      <c r="M129" s="1">
        <v>1.31E-6</v>
      </c>
      <c r="N129">
        <v>13.133050000000001</v>
      </c>
      <c r="O129">
        <v>0</v>
      </c>
      <c r="P129">
        <v>3.1336940000000001E-2</v>
      </c>
      <c r="Q129">
        <v>1565.0989999999999</v>
      </c>
      <c r="R129">
        <v>0</v>
      </c>
    </row>
    <row r="130" spans="1:18" x14ac:dyDescent="0.25">
      <c r="A130">
        <v>7</v>
      </c>
      <c r="B130">
        <v>274.38080000000002</v>
      </c>
      <c r="C130">
        <v>89.999679999999998</v>
      </c>
      <c r="D130" s="6">
        <v>13.23512</v>
      </c>
      <c r="E130" s="6">
        <v>3.129928</v>
      </c>
      <c r="F130">
        <v>7.7199979999999996E-3</v>
      </c>
      <c r="G130">
        <v>0.23648649999999999</v>
      </c>
      <c r="H130" s="2">
        <v>0.15</v>
      </c>
      <c r="I130">
        <v>3.3607819999999997E-2</v>
      </c>
      <c r="J130">
        <v>20.022819999999999</v>
      </c>
      <c r="K130">
        <v>5.8329640000000002E-2</v>
      </c>
      <c r="L130">
        <v>-4119.8639999999996</v>
      </c>
      <c r="M130" s="1">
        <v>1.7999999999999999E-6</v>
      </c>
      <c r="N130">
        <v>13.134230000000001</v>
      </c>
      <c r="O130">
        <v>0</v>
      </c>
      <c r="P130">
        <v>3.2581760000000001E-2</v>
      </c>
      <c r="Q130">
        <v>1627.231</v>
      </c>
      <c r="R130">
        <v>0</v>
      </c>
    </row>
    <row r="131" spans="1:18" x14ac:dyDescent="0.25">
      <c r="A131">
        <v>7</v>
      </c>
      <c r="B131">
        <v>281.75779999999997</v>
      </c>
      <c r="C131">
        <v>89.99991</v>
      </c>
      <c r="D131" s="6">
        <v>13.8683</v>
      </c>
      <c r="E131" s="6">
        <v>3.5810629999999999</v>
      </c>
      <c r="F131">
        <v>8.0737580000000003E-3</v>
      </c>
      <c r="G131">
        <v>0.25821939999999999</v>
      </c>
      <c r="H131" s="2">
        <v>0.22</v>
      </c>
      <c r="I131">
        <v>3.531227E-2</v>
      </c>
      <c r="J131">
        <v>19.984290000000001</v>
      </c>
      <c r="K131">
        <v>5.8217379999999999E-2</v>
      </c>
      <c r="L131">
        <v>-4117.8850000000002</v>
      </c>
      <c r="M131" s="1">
        <v>1.2500000000000001E-6</v>
      </c>
      <c r="N131">
        <v>13.13621</v>
      </c>
      <c r="O131">
        <v>0</v>
      </c>
      <c r="P131">
        <v>3.4074779999999999E-2</v>
      </c>
      <c r="Q131">
        <v>1705.079</v>
      </c>
      <c r="R131">
        <v>0</v>
      </c>
    </row>
    <row r="132" spans="1:18" x14ac:dyDescent="0.25">
      <c r="A132">
        <v>7</v>
      </c>
      <c r="B132">
        <v>289.30059999999997</v>
      </c>
      <c r="C132">
        <v>89.999750000000006</v>
      </c>
      <c r="D132" s="6">
        <v>14.694319999999999</v>
      </c>
      <c r="E132" s="6">
        <v>4.2150499999999997</v>
      </c>
      <c r="F132">
        <v>8.5514489999999992E-3</v>
      </c>
      <c r="G132">
        <v>0.28684900000000002</v>
      </c>
      <c r="H132" s="2">
        <v>0.32</v>
      </c>
      <c r="I132">
        <v>3.7652970000000001E-2</v>
      </c>
      <c r="J132">
        <v>19.97682</v>
      </c>
      <c r="K132">
        <v>5.8195629999999998E-2</v>
      </c>
      <c r="L132">
        <v>-4116.5559999999996</v>
      </c>
      <c r="M132" s="1">
        <v>1.5799999999999999E-6</v>
      </c>
      <c r="N132">
        <v>13.13754</v>
      </c>
      <c r="O132">
        <v>0</v>
      </c>
      <c r="P132">
        <v>3.6090860000000002E-2</v>
      </c>
      <c r="Q132">
        <v>1806.6369999999999</v>
      </c>
      <c r="R132">
        <v>0</v>
      </c>
    </row>
    <row r="133" spans="1:18" x14ac:dyDescent="0.25">
      <c r="A133">
        <v>7</v>
      </c>
      <c r="B133">
        <v>296.84399999999999</v>
      </c>
      <c r="C133">
        <v>89.999719999999996</v>
      </c>
      <c r="D133" s="6">
        <v>15.627800000000001</v>
      </c>
      <c r="E133" s="6">
        <v>5.00739</v>
      </c>
      <c r="F133">
        <v>9.0942200000000001E-3</v>
      </c>
      <c r="G133">
        <v>0.32041550000000002</v>
      </c>
      <c r="H133" s="2">
        <v>0.46</v>
      </c>
      <c r="I133">
        <v>4.0387380000000001E-2</v>
      </c>
      <c r="J133">
        <v>19.97578</v>
      </c>
      <c r="K133">
        <v>5.8192599999999997E-2</v>
      </c>
      <c r="L133">
        <v>-4115.6819999999998</v>
      </c>
      <c r="M133" s="1">
        <v>1.1400000000000001E-6</v>
      </c>
      <c r="N133">
        <v>13.13841</v>
      </c>
      <c r="O133">
        <v>0</v>
      </c>
      <c r="P133">
        <v>3.838159E-2</v>
      </c>
      <c r="Q133">
        <v>1921.4059999999999</v>
      </c>
      <c r="R133">
        <v>0</v>
      </c>
    </row>
    <row r="134" spans="1:18" x14ac:dyDescent="0.25">
      <c r="A134">
        <v>7</v>
      </c>
      <c r="B134">
        <v>305.22390000000001</v>
      </c>
      <c r="C134">
        <v>89.999880000000005</v>
      </c>
      <c r="D134" s="6">
        <v>16.794060000000002</v>
      </c>
      <c r="E134" s="6">
        <v>6.0963240000000001</v>
      </c>
      <c r="F134">
        <v>9.7738630000000007E-3</v>
      </c>
      <c r="G134">
        <v>0.36300460000000001</v>
      </c>
      <c r="H134" s="2">
        <v>0.68</v>
      </c>
      <c r="I134">
        <v>4.391954E-2</v>
      </c>
      <c r="J134">
        <v>19.97775</v>
      </c>
      <c r="K134">
        <v>5.8198319999999998E-2</v>
      </c>
      <c r="L134">
        <v>-4114.9560000000001</v>
      </c>
      <c r="M134" s="1">
        <v>1.42E-6</v>
      </c>
      <c r="N134">
        <v>13.139139999999999</v>
      </c>
      <c r="O134">
        <v>0</v>
      </c>
      <c r="P134">
        <v>4.1249969999999997E-2</v>
      </c>
      <c r="Q134">
        <v>2064.7959999999998</v>
      </c>
      <c r="R134">
        <v>0</v>
      </c>
    </row>
    <row r="135" spans="1:18" x14ac:dyDescent="0.25">
      <c r="A135">
        <v>7</v>
      </c>
      <c r="B135">
        <v>307.07220000000001</v>
      </c>
      <c r="C135">
        <v>89.999660000000006</v>
      </c>
      <c r="D135" s="6">
        <v>18.04196</v>
      </c>
      <c r="E135" s="6">
        <v>7.4197389999999999</v>
      </c>
      <c r="F135">
        <v>1.051303E-2</v>
      </c>
      <c r="G135">
        <v>0.41124909999999998</v>
      </c>
      <c r="H135" s="2">
        <v>1</v>
      </c>
      <c r="I135">
        <v>4.7915279999999998E-2</v>
      </c>
      <c r="J135">
        <v>20.002310000000001</v>
      </c>
      <c r="K135">
        <v>5.8269880000000003E-2</v>
      </c>
      <c r="L135">
        <v>-4114.8119999999999</v>
      </c>
      <c r="M135" s="1">
        <v>8.1699999999999997E-7</v>
      </c>
      <c r="N135">
        <v>13.139279999999999</v>
      </c>
      <c r="O135">
        <v>0</v>
      </c>
      <c r="P135">
        <v>4.4369579999999999E-2</v>
      </c>
      <c r="Q135">
        <v>2218.2220000000002</v>
      </c>
      <c r="R135">
        <v>0</v>
      </c>
    </row>
    <row r="136" spans="1:18" x14ac:dyDescent="0.25">
      <c r="A136">
        <v>7</v>
      </c>
      <c r="B136">
        <v>307.42200000000003</v>
      </c>
      <c r="C136">
        <v>89.999920000000003</v>
      </c>
      <c r="D136" s="6">
        <v>19.574839999999998</v>
      </c>
      <c r="E136" s="6">
        <v>9.1727740000000004</v>
      </c>
      <c r="F136">
        <v>1.140303E-2</v>
      </c>
      <c r="G136">
        <v>0.46860020000000002</v>
      </c>
      <c r="H136" s="2">
        <v>1.5</v>
      </c>
      <c r="I136">
        <v>5.287422E-2</v>
      </c>
      <c r="J136">
        <v>19.996700000000001</v>
      </c>
      <c r="K136">
        <v>5.8253520000000003E-2</v>
      </c>
      <c r="L136">
        <v>-4114.7049999999999</v>
      </c>
      <c r="M136" s="1">
        <v>2.4499999999999998E-6</v>
      </c>
      <c r="N136">
        <v>13.139390000000001</v>
      </c>
      <c r="O136">
        <v>0</v>
      </c>
      <c r="P136">
        <v>4.812578E-2</v>
      </c>
      <c r="Q136">
        <v>2406.6860000000001</v>
      </c>
      <c r="R136">
        <v>0</v>
      </c>
    </row>
    <row r="137" spans="1:18" x14ac:dyDescent="0.25">
      <c r="A137">
        <v>7</v>
      </c>
      <c r="B137">
        <v>309.04340000000002</v>
      </c>
      <c r="C137">
        <v>89.999840000000006</v>
      </c>
      <c r="D137" s="6">
        <v>21.40222</v>
      </c>
      <c r="E137" s="6">
        <v>11.299189999999999</v>
      </c>
      <c r="F137">
        <v>1.246594E-2</v>
      </c>
      <c r="G137">
        <v>0.52794459999999999</v>
      </c>
      <c r="H137" s="2">
        <v>2.2000000000000002</v>
      </c>
      <c r="I137">
        <v>5.8790439999999999E-2</v>
      </c>
      <c r="J137">
        <v>19.994109999999999</v>
      </c>
      <c r="K137">
        <v>5.8245999999999999E-2</v>
      </c>
      <c r="L137">
        <v>-4114.5200000000004</v>
      </c>
      <c r="M137" s="1">
        <v>9.7999999999999993E-7</v>
      </c>
      <c r="N137">
        <v>13.13958</v>
      </c>
      <c r="O137">
        <v>0</v>
      </c>
      <c r="P137">
        <v>5.2611709999999999E-2</v>
      </c>
      <c r="Q137">
        <v>2631.36</v>
      </c>
      <c r="R137">
        <v>0</v>
      </c>
    </row>
    <row r="138" spans="1:18" x14ac:dyDescent="0.25">
      <c r="A138">
        <v>7</v>
      </c>
      <c r="B138">
        <v>310.93360000000001</v>
      </c>
      <c r="C138">
        <v>90.000309999999999</v>
      </c>
      <c r="D138" s="6">
        <v>23.618490000000001</v>
      </c>
      <c r="E138" s="6">
        <v>13.912470000000001</v>
      </c>
      <c r="F138">
        <v>1.375728E-2</v>
      </c>
      <c r="G138">
        <v>0.58904979999999996</v>
      </c>
      <c r="H138" s="2">
        <v>3.2</v>
      </c>
      <c r="I138">
        <v>6.5811720000000004E-2</v>
      </c>
      <c r="J138">
        <v>19.994769999999999</v>
      </c>
      <c r="K138">
        <v>5.824791E-2</v>
      </c>
      <c r="L138">
        <v>-4114.2110000000002</v>
      </c>
      <c r="M138" s="1">
        <v>2.12E-6</v>
      </c>
      <c r="N138">
        <v>13.13988</v>
      </c>
      <c r="O138">
        <v>0</v>
      </c>
      <c r="P138">
        <v>5.8061719999999997E-2</v>
      </c>
      <c r="Q138">
        <v>2903.846</v>
      </c>
      <c r="R138">
        <v>0</v>
      </c>
    </row>
    <row r="139" spans="1:18" x14ac:dyDescent="0.25">
      <c r="A139">
        <v>7</v>
      </c>
      <c r="B139">
        <v>312.82740000000001</v>
      </c>
      <c r="C139">
        <v>89.99991</v>
      </c>
      <c r="D139" s="6">
        <v>26.281099999999999</v>
      </c>
      <c r="E139" s="6">
        <v>17.0487</v>
      </c>
      <c r="F139">
        <v>1.530772E-2</v>
      </c>
      <c r="G139">
        <v>0.6487058</v>
      </c>
      <c r="H139" s="2">
        <v>4.5999999999999996</v>
      </c>
      <c r="I139">
        <v>7.3726509999999995E-2</v>
      </c>
      <c r="J139">
        <v>19.994160000000001</v>
      </c>
      <c r="K139">
        <v>5.8246140000000002E-2</v>
      </c>
      <c r="L139">
        <v>-4113.1899999999996</v>
      </c>
      <c r="M139" s="1">
        <v>9.7999999999999993E-7</v>
      </c>
      <c r="N139">
        <v>13.14091</v>
      </c>
      <c r="O139">
        <v>0</v>
      </c>
      <c r="P139">
        <v>6.4605280000000001E-2</v>
      </c>
      <c r="Q139">
        <v>3231.2069999999999</v>
      </c>
      <c r="R139">
        <v>0</v>
      </c>
    </row>
    <row r="140" spans="1:18" x14ac:dyDescent="0.25">
      <c r="A140">
        <v>7</v>
      </c>
      <c r="B140">
        <v>314.73349999999999</v>
      </c>
      <c r="C140">
        <v>89.999880000000005</v>
      </c>
      <c r="D140" s="6">
        <v>29.867999999999999</v>
      </c>
      <c r="E140" s="6">
        <v>21.229299999999999</v>
      </c>
      <c r="F140">
        <v>1.7396249999999999E-2</v>
      </c>
      <c r="G140">
        <v>0.71077049999999997</v>
      </c>
      <c r="H140" s="2">
        <v>6.8</v>
      </c>
      <c r="I140">
        <v>8.3032259999999997E-2</v>
      </c>
      <c r="J140">
        <v>19.993359999999999</v>
      </c>
      <c r="K140">
        <v>5.8243799999999998E-2</v>
      </c>
      <c r="L140">
        <v>-4111.5150000000003</v>
      </c>
      <c r="M140" s="1">
        <v>1.4699999999999999E-6</v>
      </c>
      <c r="N140">
        <v>13.142580000000001</v>
      </c>
      <c r="O140">
        <v>0</v>
      </c>
      <c r="P140">
        <v>7.3419799999999993E-2</v>
      </c>
      <c r="Q140">
        <v>3672.21</v>
      </c>
      <c r="R140">
        <v>0</v>
      </c>
    </row>
    <row r="141" spans="1:18" x14ac:dyDescent="0.25">
      <c r="A141">
        <v>7</v>
      </c>
      <c r="B141">
        <v>315.28980000000001</v>
      </c>
      <c r="C141">
        <v>90.000060000000005</v>
      </c>
      <c r="D141" s="6">
        <v>34.3065</v>
      </c>
      <c r="E141" s="6">
        <v>26.311520000000002</v>
      </c>
      <c r="F141">
        <v>1.9986190000000001E-2</v>
      </c>
      <c r="G141">
        <v>0.76695440000000004</v>
      </c>
      <c r="H141" s="2">
        <v>10</v>
      </c>
      <c r="I141">
        <v>9.1696970000000003E-2</v>
      </c>
      <c r="J141">
        <v>19.998149999999999</v>
      </c>
      <c r="K141">
        <v>5.8257740000000002E-2</v>
      </c>
      <c r="L141">
        <v>-4111.3209999999999</v>
      </c>
      <c r="M141" s="1">
        <v>3.27E-6</v>
      </c>
      <c r="N141">
        <v>13.142770000000001</v>
      </c>
      <c r="O141">
        <v>0</v>
      </c>
      <c r="P141">
        <v>8.4350469999999997E-2</v>
      </c>
      <c r="Q141">
        <v>4217.9139999999998</v>
      </c>
      <c r="R141">
        <v>0</v>
      </c>
    </row>
    <row r="142" spans="1:18" x14ac:dyDescent="0.25">
      <c r="A142">
        <v>7</v>
      </c>
      <c r="B142">
        <v>316.14589999999998</v>
      </c>
      <c r="C142">
        <v>90.000119999999995</v>
      </c>
      <c r="D142" s="6">
        <v>39.740299999999998</v>
      </c>
      <c r="E142" s="6">
        <v>32.428939999999997</v>
      </c>
      <c r="F142">
        <v>2.3151789999999998E-2</v>
      </c>
      <c r="G142">
        <v>0.81602140000000001</v>
      </c>
      <c r="H142" s="2">
        <v>14.6</v>
      </c>
      <c r="I142">
        <v>9.7511990000000007E-2</v>
      </c>
      <c r="J142">
        <v>19.99813</v>
      </c>
      <c r="K142">
        <v>5.8257709999999997E-2</v>
      </c>
      <c r="L142">
        <v>-4110.4949999999999</v>
      </c>
      <c r="M142" s="1">
        <v>3.8099999999999998E-7</v>
      </c>
      <c r="N142">
        <v>13.143599999999999</v>
      </c>
      <c r="O142">
        <v>0</v>
      </c>
      <c r="P142">
        <v>9.7710660000000005E-2</v>
      </c>
      <c r="Q142">
        <v>4885.9889999999996</v>
      </c>
      <c r="R142">
        <v>0</v>
      </c>
    </row>
    <row r="143" spans="1:18" x14ac:dyDescent="0.25">
      <c r="A143">
        <v>7</v>
      </c>
      <c r="B143">
        <v>316.6354</v>
      </c>
      <c r="C143">
        <v>90.000159999999994</v>
      </c>
      <c r="D143" s="6">
        <v>47.036020000000001</v>
      </c>
      <c r="E143" s="6">
        <v>40.149410000000003</v>
      </c>
      <c r="F143">
        <v>2.740515E-2</v>
      </c>
      <c r="G143">
        <v>0.85358860000000003</v>
      </c>
      <c r="H143" s="2">
        <v>21.5</v>
      </c>
      <c r="I143">
        <v>0.101912</v>
      </c>
      <c r="J143">
        <v>20.000360000000001</v>
      </c>
      <c r="K143">
        <v>5.8264200000000002E-2</v>
      </c>
      <c r="L143">
        <v>-4110.17</v>
      </c>
      <c r="M143" s="1">
        <v>1.1999999999999999E-6</v>
      </c>
      <c r="N143">
        <v>13.14392</v>
      </c>
      <c r="O143">
        <v>0</v>
      </c>
      <c r="P143">
        <v>0.11566170000000001</v>
      </c>
      <c r="Q143">
        <v>5782.982</v>
      </c>
      <c r="R143">
        <v>0</v>
      </c>
    </row>
    <row r="144" spans="1:18" x14ac:dyDescent="0.25">
      <c r="A144">
        <v>7</v>
      </c>
      <c r="B144">
        <v>317.41680000000002</v>
      </c>
      <c r="C144">
        <v>89.99991</v>
      </c>
      <c r="D144" s="6">
        <v>56.865499999999997</v>
      </c>
      <c r="E144" s="6">
        <v>49.295020000000001</v>
      </c>
      <c r="F144">
        <v>3.3130760000000002E-2</v>
      </c>
      <c r="G144">
        <v>0.86687009999999998</v>
      </c>
      <c r="H144" s="2">
        <v>31.6</v>
      </c>
      <c r="I144">
        <v>0.13354199999999999</v>
      </c>
      <c r="J144">
        <v>19.999469999999999</v>
      </c>
      <c r="K144">
        <v>5.8261609999999998E-2</v>
      </c>
      <c r="L144">
        <v>-4109.9949999999999</v>
      </c>
      <c r="M144" s="1">
        <v>2.3999999999999999E-6</v>
      </c>
      <c r="N144">
        <v>13.1441</v>
      </c>
      <c r="O144">
        <v>0</v>
      </c>
      <c r="P144">
        <v>0.13982629999999999</v>
      </c>
      <c r="Q144">
        <v>6991.4989999999998</v>
      </c>
      <c r="R144">
        <v>0</v>
      </c>
    </row>
    <row r="145" spans="1:18" x14ac:dyDescent="0.25">
      <c r="A145">
        <v>7</v>
      </c>
      <c r="B145">
        <v>318.11880000000002</v>
      </c>
      <c r="C145">
        <v>90.000200000000007</v>
      </c>
      <c r="D145" s="6">
        <v>66.214699999999993</v>
      </c>
      <c r="E145" s="6">
        <v>58.72251</v>
      </c>
      <c r="F145">
        <v>3.8581079999999997E-2</v>
      </c>
      <c r="G145">
        <v>0.88685009999999997</v>
      </c>
      <c r="H145" s="2">
        <v>46.4</v>
      </c>
      <c r="I145">
        <v>0.295597</v>
      </c>
      <c r="J145">
        <v>20.001200000000001</v>
      </c>
      <c r="K145">
        <v>5.8266640000000001E-2</v>
      </c>
      <c r="L145">
        <v>-4109.8590000000004</v>
      </c>
      <c r="M145" s="1">
        <v>2.34E-6</v>
      </c>
      <c r="N145">
        <v>13.14424</v>
      </c>
      <c r="O145">
        <v>0</v>
      </c>
      <c r="P145">
        <v>0.162829</v>
      </c>
      <c r="Q145">
        <v>8140.9620000000004</v>
      </c>
      <c r="R145">
        <v>0</v>
      </c>
    </row>
    <row r="146" spans="1:18" x14ac:dyDescent="0.25">
      <c r="A146">
        <v>7</v>
      </c>
      <c r="B146">
        <v>318.4812</v>
      </c>
      <c r="C146">
        <v>90.000789999999995</v>
      </c>
      <c r="D146" s="6">
        <v>82.694180000000003</v>
      </c>
      <c r="E146" s="6">
        <v>70.440939999999998</v>
      </c>
      <c r="F146">
        <v>4.817896E-2</v>
      </c>
      <c r="G146">
        <v>0.85182460000000004</v>
      </c>
      <c r="H146" s="2">
        <v>68</v>
      </c>
      <c r="I146">
        <v>0.71736840000000002</v>
      </c>
      <c r="J146">
        <v>19.999469999999999</v>
      </c>
      <c r="K146">
        <v>5.8261599999999997E-2</v>
      </c>
      <c r="L146">
        <v>-4109.598</v>
      </c>
      <c r="M146">
        <v>0</v>
      </c>
      <c r="N146">
        <v>13.144500000000001</v>
      </c>
      <c r="O146">
        <v>0</v>
      </c>
      <c r="P146">
        <v>0.20333619999999999</v>
      </c>
      <c r="Q146">
        <v>10167.08</v>
      </c>
      <c r="R146">
        <v>0</v>
      </c>
    </row>
    <row r="147" spans="1:18" x14ac:dyDescent="0.25">
      <c r="A147">
        <v>7</v>
      </c>
      <c r="B147">
        <v>318.68869999999998</v>
      </c>
      <c r="C147">
        <v>90.000579999999999</v>
      </c>
      <c r="D147" s="6">
        <v>93.186419999999998</v>
      </c>
      <c r="E147" s="6">
        <v>84.691739999999996</v>
      </c>
      <c r="F147">
        <v>5.4286960000000002E-2</v>
      </c>
      <c r="G147">
        <v>0.90884200000000004</v>
      </c>
      <c r="H147" s="2">
        <v>100</v>
      </c>
      <c r="I147">
        <v>1.720896</v>
      </c>
      <c r="J147">
        <v>19.99765</v>
      </c>
      <c r="K147">
        <v>5.8256299999999997E-2</v>
      </c>
      <c r="L147">
        <v>-4109.1980000000003</v>
      </c>
      <c r="M147" s="1">
        <v>5.99E-7</v>
      </c>
      <c r="N147">
        <v>13.1449</v>
      </c>
      <c r="O147">
        <v>0</v>
      </c>
      <c r="P147">
        <v>0.2291147</v>
      </c>
      <c r="Q147">
        <v>11457.08</v>
      </c>
      <c r="R147">
        <v>0</v>
      </c>
    </row>
    <row r="148" spans="1:18" x14ac:dyDescent="0.25">
      <c r="A148">
        <v>8</v>
      </c>
      <c r="B148">
        <v>328.3433</v>
      </c>
      <c r="C148">
        <v>94.966130000000007</v>
      </c>
      <c r="D148" s="6">
        <v>10.840529999999999</v>
      </c>
      <c r="E148" s="6">
        <v>1.8038940000000001</v>
      </c>
      <c r="F148">
        <v>6.3220020000000002E-3</v>
      </c>
      <c r="G148">
        <v>0.16640269999999999</v>
      </c>
      <c r="H148" s="2">
        <v>0.1</v>
      </c>
      <c r="I148">
        <v>2.7190160000000001E-2</v>
      </c>
      <c r="J148">
        <v>20.018889999999999</v>
      </c>
      <c r="K148">
        <v>5.8318179999999997E-2</v>
      </c>
      <c r="L148">
        <v>-4103.9849999999997</v>
      </c>
      <c r="M148" s="1">
        <v>8.1699999999999997E-7</v>
      </c>
      <c r="N148">
        <v>13.15011</v>
      </c>
      <c r="O148">
        <v>0</v>
      </c>
      <c r="P148">
        <v>2.66816E-2</v>
      </c>
      <c r="Q148">
        <v>1332.8209999999999</v>
      </c>
      <c r="R148">
        <v>0</v>
      </c>
    </row>
    <row r="149" spans="1:18" x14ac:dyDescent="0.25">
      <c r="A149">
        <v>8</v>
      </c>
      <c r="B149">
        <v>330.71210000000002</v>
      </c>
      <c r="C149">
        <v>94.997879999999995</v>
      </c>
      <c r="D149" s="6">
        <v>11.172079999999999</v>
      </c>
      <c r="E149" s="6">
        <v>1.945776</v>
      </c>
      <c r="F149">
        <v>6.5171680000000003E-3</v>
      </c>
      <c r="G149">
        <v>0.17416409999999999</v>
      </c>
      <c r="H149" s="2">
        <v>0.15</v>
      </c>
      <c r="I149">
        <v>2.805786E-2</v>
      </c>
      <c r="J149">
        <v>20.024450000000002</v>
      </c>
      <c r="K149">
        <v>5.8334379999999998E-2</v>
      </c>
      <c r="L149">
        <v>-4102.6310000000003</v>
      </c>
      <c r="M149" s="1">
        <v>1.7400000000000001E-6</v>
      </c>
      <c r="N149">
        <v>13.15146</v>
      </c>
      <c r="O149">
        <v>0</v>
      </c>
      <c r="P149">
        <v>2.75053E-2</v>
      </c>
      <c r="Q149">
        <v>1373.585</v>
      </c>
      <c r="R149">
        <v>0</v>
      </c>
    </row>
    <row r="150" spans="1:18" x14ac:dyDescent="0.25">
      <c r="A150">
        <v>8</v>
      </c>
      <c r="B150">
        <v>338.0872</v>
      </c>
      <c r="C150">
        <v>94.999750000000006</v>
      </c>
      <c r="D150" s="6">
        <v>11.54082</v>
      </c>
      <c r="E150" s="6">
        <v>2.1154069999999998</v>
      </c>
      <c r="F150">
        <v>6.7226530000000003E-3</v>
      </c>
      <c r="G150">
        <v>0.18329790000000001</v>
      </c>
      <c r="H150" s="2">
        <v>0.22</v>
      </c>
      <c r="I150">
        <v>2.8977929999999999E-2</v>
      </c>
      <c r="J150">
        <v>19.99587</v>
      </c>
      <c r="K150">
        <v>5.8251110000000002E-2</v>
      </c>
      <c r="L150">
        <v>-4099.9250000000002</v>
      </c>
      <c r="M150" s="1">
        <v>1.5799999999999999E-6</v>
      </c>
      <c r="N150">
        <v>13.154170000000001</v>
      </c>
      <c r="O150">
        <v>0</v>
      </c>
      <c r="P150">
        <v>2.8372540000000002E-2</v>
      </c>
      <c r="Q150">
        <v>1418.92</v>
      </c>
      <c r="R150">
        <v>0</v>
      </c>
    </row>
    <row r="151" spans="1:18" x14ac:dyDescent="0.25">
      <c r="A151">
        <v>8</v>
      </c>
      <c r="B151">
        <v>346.46269999999998</v>
      </c>
      <c r="C151">
        <v>94.999719999999996</v>
      </c>
      <c r="D151" s="6">
        <v>12.055260000000001</v>
      </c>
      <c r="E151" s="6">
        <v>2.354365</v>
      </c>
      <c r="F151">
        <v>7.0178580000000001E-3</v>
      </c>
      <c r="G151">
        <v>0.19529769999999999</v>
      </c>
      <c r="H151" s="2">
        <v>0.32</v>
      </c>
      <c r="I151">
        <v>3.029944E-2</v>
      </c>
      <c r="J151">
        <v>19.983149999999998</v>
      </c>
      <c r="K151">
        <v>5.8214059999999998E-2</v>
      </c>
      <c r="L151">
        <v>-4098.0479999999998</v>
      </c>
      <c r="M151" s="1">
        <v>1.6300000000000001E-6</v>
      </c>
      <c r="N151">
        <v>13.15605</v>
      </c>
      <c r="O151">
        <v>0</v>
      </c>
      <c r="P151">
        <v>2.9618430000000001E-2</v>
      </c>
      <c r="Q151">
        <v>1482.17</v>
      </c>
      <c r="R151">
        <v>0</v>
      </c>
    </row>
    <row r="152" spans="1:18" x14ac:dyDescent="0.25">
      <c r="A152">
        <v>8</v>
      </c>
      <c r="B152">
        <v>354.83850000000001</v>
      </c>
      <c r="C152">
        <v>94.99991</v>
      </c>
      <c r="D152" s="6">
        <v>12.625249999999999</v>
      </c>
      <c r="E152" s="6">
        <v>2.6566179999999999</v>
      </c>
      <c r="F152">
        <v>7.3485900000000003E-3</v>
      </c>
      <c r="G152">
        <v>0.210421</v>
      </c>
      <c r="H152" s="2">
        <v>0.46</v>
      </c>
      <c r="I152">
        <v>3.1793639999999998E-2</v>
      </c>
      <c r="J152">
        <v>19.980219999999999</v>
      </c>
      <c r="K152">
        <v>5.8205510000000002E-2</v>
      </c>
      <c r="L152">
        <v>-4096.8379999999997</v>
      </c>
      <c r="M152" s="1">
        <v>1.2500000000000001E-6</v>
      </c>
      <c r="N152">
        <v>13.157260000000001</v>
      </c>
      <c r="O152">
        <v>0</v>
      </c>
      <c r="P152">
        <v>3.1014259999999998E-2</v>
      </c>
      <c r="Q152">
        <v>1552.249</v>
      </c>
      <c r="R152">
        <v>0</v>
      </c>
    </row>
    <row r="153" spans="1:18" x14ac:dyDescent="0.25">
      <c r="A153">
        <v>8</v>
      </c>
      <c r="B153">
        <v>363.21469999999999</v>
      </c>
      <c r="C153">
        <v>95.000150000000005</v>
      </c>
      <c r="D153" s="6">
        <v>13.29208</v>
      </c>
      <c r="E153" s="6">
        <v>3.0677319999999999</v>
      </c>
      <c r="F153">
        <v>7.7370240000000003E-3</v>
      </c>
      <c r="G153">
        <v>0.230794</v>
      </c>
      <c r="H153" s="2">
        <v>0.68</v>
      </c>
      <c r="I153">
        <v>3.3565280000000003E-2</v>
      </c>
      <c r="J153">
        <v>19.981000000000002</v>
      </c>
      <c r="K153">
        <v>5.8207799999999997E-2</v>
      </c>
      <c r="L153">
        <v>-4095.886</v>
      </c>
      <c r="M153" s="1">
        <v>2.2299999999999998E-6</v>
      </c>
      <c r="N153">
        <v>13.15821</v>
      </c>
      <c r="O153">
        <v>0</v>
      </c>
      <c r="P153">
        <v>3.2653620000000001E-2</v>
      </c>
      <c r="Q153">
        <v>1634.2339999999999</v>
      </c>
      <c r="R153">
        <v>0</v>
      </c>
    </row>
    <row r="154" spans="1:18" x14ac:dyDescent="0.25">
      <c r="A154">
        <v>8</v>
      </c>
      <c r="B154">
        <v>365.0575</v>
      </c>
      <c r="C154">
        <v>94.999080000000006</v>
      </c>
      <c r="D154" s="6">
        <v>13.949859999999999</v>
      </c>
      <c r="E154" s="6">
        <v>3.5743149999999999</v>
      </c>
      <c r="F154">
        <v>8.1277080000000008E-3</v>
      </c>
      <c r="G154">
        <v>0.25622600000000001</v>
      </c>
      <c r="H154" s="2">
        <v>1</v>
      </c>
      <c r="I154">
        <v>3.5365439999999998E-2</v>
      </c>
      <c r="J154">
        <v>20.000209999999999</v>
      </c>
      <c r="K154">
        <v>5.8263759999999998E-2</v>
      </c>
      <c r="L154">
        <v>-4095.7469999999998</v>
      </c>
      <c r="M154" s="1">
        <v>1.31E-6</v>
      </c>
      <c r="N154">
        <v>13.15835</v>
      </c>
      <c r="O154">
        <v>0</v>
      </c>
      <c r="P154">
        <v>3.4302480000000003E-2</v>
      </c>
      <c r="Q154">
        <v>1715.106</v>
      </c>
      <c r="R154">
        <v>0</v>
      </c>
    </row>
    <row r="155" spans="1:18" x14ac:dyDescent="0.25">
      <c r="A155">
        <v>8</v>
      </c>
      <c r="B155">
        <v>365.4006</v>
      </c>
      <c r="C155">
        <v>94.998909999999995</v>
      </c>
      <c r="D155" s="6">
        <v>14.71692</v>
      </c>
      <c r="E155" s="6">
        <v>4.2398660000000001</v>
      </c>
      <c r="F155">
        <v>8.5745189999999992E-3</v>
      </c>
      <c r="G155">
        <v>0.28809459999999998</v>
      </c>
      <c r="H155" s="2">
        <v>1.5</v>
      </c>
      <c r="I155">
        <v>3.7387900000000002E-2</v>
      </c>
      <c r="J155">
        <v>19.999949999999998</v>
      </c>
      <c r="K155">
        <v>5.8263000000000002E-2</v>
      </c>
      <c r="L155">
        <v>-4095.7249999999999</v>
      </c>
      <c r="M155" s="1">
        <v>1.1400000000000001E-6</v>
      </c>
      <c r="N155">
        <v>13.15837</v>
      </c>
      <c r="O155">
        <v>0</v>
      </c>
      <c r="P155">
        <v>3.618822E-2</v>
      </c>
      <c r="Q155">
        <v>1809.4159999999999</v>
      </c>
      <c r="R155">
        <v>0</v>
      </c>
    </row>
    <row r="156" spans="1:18" x14ac:dyDescent="0.25">
      <c r="A156">
        <v>8</v>
      </c>
      <c r="B156">
        <v>366.84480000000002</v>
      </c>
      <c r="C156">
        <v>95.000659999999996</v>
      </c>
      <c r="D156" s="6">
        <v>15.57686</v>
      </c>
      <c r="E156" s="6">
        <v>5.0601560000000001</v>
      </c>
      <c r="F156">
        <v>9.0721780000000002E-3</v>
      </c>
      <c r="G156">
        <v>0.324851</v>
      </c>
      <c r="H156" s="2">
        <v>2.2000000000000002</v>
      </c>
      <c r="I156">
        <v>3.9519890000000002E-2</v>
      </c>
      <c r="J156">
        <v>19.992529999999999</v>
      </c>
      <c r="K156">
        <v>5.8241389999999997E-2</v>
      </c>
      <c r="L156">
        <v>-4095.4830000000002</v>
      </c>
      <c r="M156" s="1">
        <v>2.83E-6</v>
      </c>
      <c r="N156">
        <v>13.158609999999999</v>
      </c>
      <c r="O156">
        <v>0</v>
      </c>
      <c r="P156">
        <v>3.8288549999999998E-2</v>
      </c>
      <c r="Q156">
        <v>1915.143</v>
      </c>
      <c r="R156">
        <v>0</v>
      </c>
    </row>
    <row r="157" spans="1:18" x14ac:dyDescent="0.25">
      <c r="A157">
        <v>8</v>
      </c>
      <c r="B157">
        <v>368.38799999999998</v>
      </c>
      <c r="C157">
        <v>95.000309999999999</v>
      </c>
      <c r="D157" s="6">
        <v>16.568660000000001</v>
      </c>
      <c r="E157" s="6">
        <v>6.0814950000000003</v>
      </c>
      <c r="F157">
        <v>9.6517570000000004E-3</v>
      </c>
      <c r="G157">
        <v>0.36704819999999999</v>
      </c>
      <c r="H157" s="2">
        <v>3.2</v>
      </c>
      <c r="I157">
        <v>4.1694019999999998E-2</v>
      </c>
      <c r="J157">
        <v>19.996559999999999</v>
      </c>
      <c r="K157">
        <v>5.8253119999999999E-2</v>
      </c>
      <c r="L157">
        <v>-4095.36</v>
      </c>
      <c r="M157" s="1">
        <v>1.7999999999999999E-6</v>
      </c>
      <c r="N157">
        <v>13.15874</v>
      </c>
      <c r="O157">
        <v>0</v>
      </c>
      <c r="P157">
        <v>4.0734630000000001E-2</v>
      </c>
      <c r="Q157">
        <v>2037.0830000000001</v>
      </c>
      <c r="R157">
        <v>0</v>
      </c>
    </row>
    <row r="158" spans="1:18" x14ac:dyDescent="0.25">
      <c r="A158">
        <v>8</v>
      </c>
      <c r="B158">
        <v>370.10070000000002</v>
      </c>
      <c r="C158">
        <v>94.999619999999993</v>
      </c>
      <c r="D158" s="6">
        <v>17.71621</v>
      </c>
      <c r="E158" s="6">
        <v>7.343286</v>
      </c>
      <c r="F158">
        <v>1.0318570000000001E-2</v>
      </c>
      <c r="G158">
        <v>0.41449530000000001</v>
      </c>
      <c r="H158" s="2">
        <v>4.5999999999999996</v>
      </c>
      <c r="I158">
        <v>4.3546410000000001E-2</v>
      </c>
      <c r="J158">
        <v>19.993320000000001</v>
      </c>
      <c r="K158">
        <v>5.8243700000000002E-2</v>
      </c>
      <c r="L158">
        <v>-4095.143</v>
      </c>
      <c r="M158" s="1">
        <v>8.71E-7</v>
      </c>
      <c r="N158">
        <v>13.158950000000001</v>
      </c>
      <c r="O158">
        <v>0</v>
      </c>
      <c r="P158">
        <v>4.354889E-2</v>
      </c>
      <c r="Q158">
        <v>2178.172</v>
      </c>
      <c r="R158">
        <v>0</v>
      </c>
    </row>
    <row r="159" spans="1:18" x14ac:dyDescent="0.25">
      <c r="A159">
        <v>8</v>
      </c>
      <c r="B159">
        <v>371.81599999999997</v>
      </c>
      <c r="C159">
        <v>94.999989999999997</v>
      </c>
      <c r="D159" s="6">
        <v>19.217590000000001</v>
      </c>
      <c r="E159" s="6">
        <v>9.065042</v>
      </c>
      <c r="F159">
        <v>1.1193170000000001E-2</v>
      </c>
      <c r="G159">
        <v>0.4717054</v>
      </c>
      <c r="H159" s="2">
        <v>6.8</v>
      </c>
      <c r="I159">
        <v>4.4454420000000001E-2</v>
      </c>
      <c r="J159">
        <v>19.993559999999999</v>
      </c>
      <c r="K159">
        <v>5.8244410000000003E-2</v>
      </c>
      <c r="L159">
        <v>-4094.1860000000001</v>
      </c>
      <c r="M159" s="1">
        <v>3.1E-6</v>
      </c>
      <c r="N159">
        <v>13.15991</v>
      </c>
      <c r="O159">
        <v>0</v>
      </c>
      <c r="P159">
        <v>4.7240070000000002E-2</v>
      </c>
      <c r="Q159">
        <v>2362.7640000000001</v>
      </c>
      <c r="R159">
        <v>0</v>
      </c>
    </row>
    <row r="160" spans="1:18" x14ac:dyDescent="0.25">
      <c r="A160">
        <v>8</v>
      </c>
      <c r="B160">
        <v>372.33519999999999</v>
      </c>
      <c r="C160">
        <v>95.00009</v>
      </c>
      <c r="D160" s="6">
        <v>21.028659999999999</v>
      </c>
      <c r="E160" s="6">
        <v>11.242470000000001</v>
      </c>
      <c r="F160">
        <v>1.224896E-2</v>
      </c>
      <c r="G160">
        <v>0.53462600000000005</v>
      </c>
      <c r="H160" s="2">
        <v>10</v>
      </c>
      <c r="I160">
        <v>4.2686719999999997E-2</v>
      </c>
      <c r="J160">
        <v>19.99511</v>
      </c>
      <c r="K160">
        <v>5.8248899999999999E-2</v>
      </c>
      <c r="L160">
        <v>-4093.7350000000001</v>
      </c>
      <c r="M160" s="1">
        <v>2.83E-6</v>
      </c>
      <c r="N160">
        <v>13.160360000000001</v>
      </c>
      <c r="O160">
        <v>0</v>
      </c>
      <c r="P160">
        <v>5.1695970000000001E-2</v>
      </c>
      <c r="Q160">
        <v>2585.4299999999998</v>
      </c>
      <c r="R160">
        <v>0</v>
      </c>
    </row>
    <row r="161" spans="1:18" x14ac:dyDescent="0.25">
      <c r="A161">
        <v>8</v>
      </c>
      <c r="B161">
        <v>373.08800000000002</v>
      </c>
      <c r="C161">
        <v>94.999880000000005</v>
      </c>
      <c r="D161" s="6">
        <v>23.16968</v>
      </c>
      <c r="E161" s="6">
        <v>13.97002</v>
      </c>
      <c r="F161">
        <v>1.3495689999999999E-2</v>
      </c>
      <c r="G161">
        <v>0.60294420000000004</v>
      </c>
      <c r="H161" s="2">
        <v>14.6</v>
      </c>
      <c r="I161">
        <v>3.8122780000000002E-2</v>
      </c>
      <c r="J161">
        <v>19.994520000000001</v>
      </c>
      <c r="K161">
        <v>5.8247199999999999E-2</v>
      </c>
      <c r="L161">
        <v>-4092.2260000000001</v>
      </c>
      <c r="M161" s="1">
        <v>1.2500000000000001E-6</v>
      </c>
      <c r="N161">
        <v>13.16187</v>
      </c>
      <c r="O161">
        <v>0</v>
      </c>
      <c r="P161">
        <v>5.69577E-2</v>
      </c>
      <c r="Q161">
        <v>2848.665</v>
      </c>
      <c r="R161">
        <v>0</v>
      </c>
    </row>
    <row r="162" spans="1:18" x14ac:dyDescent="0.25">
      <c r="A162">
        <v>8</v>
      </c>
      <c r="B162">
        <v>373.53300000000002</v>
      </c>
      <c r="C162">
        <v>95.000119999999995</v>
      </c>
      <c r="D162" s="6">
        <v>26.229649999999999</v>
      </c>
      <c r="E162" s="6">
        <v>17.68216</v>
      </c>
      <c r="F162">
        <v>1.528741E-2</v>
      </c>
      <c r="G162">
        <v>0.67412850000000002</v>
      </c>
      <c r="H162" s="2">
        <v>21.5</v>
      </c>
      <c r="I162">
        <v>5.1728740000000002E-2</v>
      </c>
      <c r="J162">
        <v>20.006799999999998</v>
      </c>
      <c r="K162">
        <v>5.828295E-2</v>
      </c>
      <c r="L162">
        <v>-4092.1410000000001</v>
      </c>
      <c r="M162" s="1">
        <v>4.3599999999999999E-7</v>
      </c>
      <c r="N162">
        <v>13.161949999999999</v>
      </c>
      <c r="O162">
        <v>0</v>
      </c>
      <c r="P162">
        <v>6.4519560000000004E-2</v>
      </c>
      <c r="Q162">
        <v>3224.8820000000001</v>
      </c>
      <c r="R162">
        <v>0</v>
      </c>
    </row>
    <row r="163" spans="1:18" x14ac:dyDescent="0.25">
      <c r="A163">
        <v>8</v>
      </c>
      <c r="B163">
        <v>374.13499999999999</v>
      </c>
      <c r="C163">
        <v>94.999989999999997</v>
      </c>
      <c r="D163" s="6">
        <v>30.73208</v>
      </c>
      <c r="E163" s="6">
        <v>22.280259999999998</v>
      </c>
      <c r="F163">
        <v>1.7907409999999999E-2</v>
      </c>
      <c r="G163">
        <v>0.72498390000000001</v>
      </c>
      <c r="H163" s="2">
        <v>31.6</v>
      </c>
      <c r="I163">
        <v>0.13255749999999999</v>
      </c>
      <c r="J163">
        <v>20.00216</v>
      </c>
      <c r="K163">
        <v>5.8269439999999999E-2</v>
      </c>
      <c r="L163">
        <v>-4092.002</v>
      </c>
      <c r="M163" s="1">
        <v>2.9399999999999998E-6</v>
      </c>
      <c r="N163">
        <v>13.162089999999999</v>
      </c>
      <c r="O163">
        <v>0</v>
      </c>
      <c r="P163">
        <v>7.5577099999999994E-2</v>
      </c>
      <c r="Q163">
        <v>3778.4459999999999</v>
      </c>
      <c r="R163">
        <v>0</v>
      </c>
    </row>
    <row r="164" spans="1:18" x14ac:dyDescent="0.25">
      <c r="A164">
        <v>8</v>
      </c>
      <c r="B164">
        <v>375.00900000000001</v>
      </c>
      <c r="C164">
        <v>95.000360000000001</v>
      </c>
      <c r="D164" s="6">
        <v>33.46902</v>
      </c>
      <c r="E164" s="6">
        <v>26.675319999999999</v>
      </c>
      <c r="F164">
        <v>1.9500030000000002E-2</v>
      </c>
      <c r="G164">
        <v>0.79701520000000003</v>
      </c>
      <c r="H164" s="2">
        <v>46.4</v>
      </c>
      <c r="I164">
        <v>0.34407470000000001</v>
      </c>
      <c r="J164">
        <v>19.999919999999999</v>
      </c>
      <c r="K164">
        <v>5.8262939999999999E-2</v>
      </c>
      <c r="L164">
        <v>-4091.7530000000002</v>
      </c>
      <c r="M164" s="1">
        <v>9.7999999999999993E-7</v>
      </c>
      <c r="N164">
        <v>13.16234</v>
      </c>
      <c r="O164">
        <v>0</v>
      </c>
      <c r="P164">
        <v>8.2298640000000006E-2</v>
      </c>
      <c r="Q164">
        <v>4114.9470000000001</v>
      </c>
      <c r="R164">
        <v>0</v>
      </c>
    </row>
    <row r="165" spans="1:18" x14ac:dyDescent="0.25">
      <c r="A165">
        <v>8</v>
      </c>
      <c r="B165">
        <v>375.34949999999998</v>
      </c>
      <c r="C165">
        <v>95.000579999999999</v>
      </c>
      <c r="D165" s="6">
        <v>41.88494</v>
      </c>
      <c r="E165" s="6">
        <v>33.07141</v>
      </c>
      <c r="F165">
        <v>2.4403729999999998E-2</v>
      </c>
      <c r="G165">
        <v>0.78957759999999999</v>
      </c>
      <c r="H165" s="2">
        <v>68</v>
      </c>
      <c r="I165">
        <v>0.79957529999999999</v>
      </c>
      <c r="J165">
        <v>20.0002</v>
      </c>
      <c r="K165">
        <v>5.8263719999999998E-2</v>
      </c>
      <c r="L165">
        <v>-4091.43</v>
      </c>
      <c r="M165" s="1">
        <v>1.8500000000000001E-6</v>
      </c>
      <c r="N165">
        <v>13.162660000000001</v>
      </c>
      <c r="O165">
        <v>0</v>
      </c>
      <c r="P165">
        <v>0.1029944</v>
      </c>
      <c r="Q165">
        <v>5149.6679999999997</v>
      </c>
      <c r="R165">
        <v>0</v>
      </c>
    </row>
    <row r="166" spans="1:18" x14ac:dyDescent="0.25">
      <c r="A166">
        <v>8</v>
      </c>
      <c r="B166">
        <v>375.55500000000001</v>
      </c>
      <c r="C166">
        <v>95.000219999999999</v>
      </c>
      <c r="D166" s="6">
        <v>42.713520000000003</v>
      </c>
      <c r="E166" s="6">
        <v>41.69464</v>
      </c>
      <c r="F166">
        <v>2.4885239999999999E-2</v>
      </c>
      <c r="G166">
        <v>0.97614619999999996</v>
      </c>
      <c r="H166" s="2">
        <v>100</v>
      </c>
      <c r="I166">
        <v>1.8345530000000001</v>
      </c>
      <c r="J166">
        <v>19.999199999999998</v>
      </c>
      <c r="K166">
        <v>5.8260800000000001E-2</v>
      </c>
      <c r="L166">
        <v>-4090.96</v>
      </c>
      <c r="M166" s="1">
        <v>1.6899999999999999E-6</v>
      </c>
      <c r="N166">
        <v>13.16314</v>
      </c>
      <c r="O166">
        <v>0</v>
      </c>
      <c r="P166">
        <v>0.1050266</v>
      </c>
      <c r="Q166">
        <v>5251.54</v>
      </c>
      <c r="R166">
        <v>0</v>
      </c>
    </row>
    <row r="167" spans="1:18" x14ac:dyDescent="0.25">
      <c r="A167">
        <v>9</v>
      </c>
      <c r="B167">
        <v>388.01749999999998</v>
      </c>
      <c r="C167">
        <v>99.989620000000002</v>
      </c>
      <c r="D167" s="6">
        <v>9.2533480000000008</v>
      </c>
      <c r="E167" s="6">
        <v>1.373254</v>
      </c>
      <c r="F167">
        <v>5.3917039999999998E-3</v>
      </c>
      <c r="G167">
        <v>0.14840619999999999</v>
      </c>
      <c r="H167" s="2">
        <v>0.1</v>
      </c>
      <c r="I167">
        <v>2.315242E-2</v>
      </c>
      <c r="J167">
        <v>20.001529999999999</v>
      </c>
      <c r="K167">
        <v>5.8267619999999999E-2</v>
      </c>
      <c r="L167">
        <v>-4083.9479999999999</v>
      </c>
      <c r="M167" s="1">
        <v>2.12E-6</v>
      </c>
      <c r="N167">
        <v>13.17015</v>
      </c>
      <c r="O167">
        <v>0</v>
      </c>
      <c r="P167">
        <v>2.2755350000000001E-2</v>
      </c>
      <c r="Q167">
        <v>1137.68</v>
      </c>
      <c r="R167">
        <v>0</v>
      </c>
    </row>
    <row r="168" spans="1:18" x14ac:dyDescent="0.25">
      <c r="A168">
        <v>9</v>
      </c>
      <c r="B168">
        <v>391.05840000000001</v>
      </c>
      <c r="C168">
        <v>100.0003</v>
      </c>
      <c r="D168" s="6">
        <v>9.5517459999999996</v>
      </c>
      <c r="E168" s="6">
        <v>1.4501310000000001</v>
      </c>
      <c r="F168">
        <v>5.5683640000000001E-3</v>
      </c>
      <c r="G168">
        <v>0.15181839999999999</v>
      </c>
      <c r="H168" s="2">
        <v>0.15</v>
      </c>
      <c r="I168">
        <v>2.391538E-2</v>
      </c>
      <c r="J168">
        <v>20.011559999999999</v>
      </c>
      <c r="K168">
        <v>5.8296819999999999E-2</v>
      </c>
      <c r="L168">
        <v>-4082.2820000000002</v>
      </c>
      <c r="M168" s="1">
        <v>1.42E-6</v>
      </c>
      <c r="N168">
        <v>13.171810000000001</v>
      </c>
      <c r="O168">
        <v>0</v>
      </c>
      <c r="P168">
        <v>2.350093E-2</v>
      </c>
      <c r="Q168">
        <v>1174.3679999999999</v>
      </c>
      <c r="R168">
        <v>0</v>
      </c>
    </row>
    <row r="169" spans="1:18" x14ac:dyDescent="0.25">
      <c r="A169">
        <v>9</v>
      </c>
      <c r="B169">
        <v>397.59589999999997</v>
      </c>
      <c r="C169">
        <v>99.999679999999998</v>
      </c>
      <c r="D169" s="6">
        <v>9.8949809999999996</v>
      </c>
      <c r="E169" s="6">
        <v>1.54061</v>
      </c>
      <c r="F169">
        <v>5.7616200000000003E-3</v>
      </c>
      <c r="G169">
        <v>0.1556961</v>
      </c>
      <c r="H169" s="2">
        <v>0.22</v>
      </c>
      <c r="I169">
        <v>2.4749130000000001E-2</v>
      </c>
      <c r="J169">
        <v>19.987839999999998</v>
      </c>
      <c r="K169">
        <v>5.8227710000000002E-2</v>
      </c>
      <c r="L169">
        <v>-4080.0030000000002</v>
      </c>
      <c r="M169" s="1">
        <v>1.6300000000000001E-6</v>
      </c>
      <c r="N169">
        <v>13.17409</v>
      </c>
      <c r="O169">
        <v>0</v>
      </c>
      <c r="P169">
        <v>2.4316560000000001E-2</v>
      </c>
      <c r="Q169">
        <v>1216.568</v>
      </c>
      <c r="R169">
        <v>0</v>
      </c>
    </row>
    <row r="170" spans="1:18" x14ac:dyDescent="0.25">
      <c r="A170">
        <v>9</v>
      </c>
      <c r="B170">
        <v>405.97070000000002</v>
      </c>
      <c r="C170">
        <v>99.99991</v>
      </c>
      <c r="D170" s="6">
        <v>10.31288</v>
      </c>
      <c r="E170" s="6">
        <v>1.6575599999999999</v>
      </c>
      <c r="F170">
        <v>6.0029259999999996E-3</v>
      </c>
      <c r="G170">
        <v>0.16072719999999999</v>
      </c>
      <c r="H170" s="2">
        <v>0.32</v>
      </c>
      <c r="I170">
        <v>2.5788990000000001E-2</v>
      </c>
      <c r="J170">
        <v>19.981089999999998</v>
      </c>
      <c r="K170">
        <v>5.8208080000000002E-2</v>
      </c>
      <c r="L170">
        <v>-4078.0810000000001</v>
      </c>
      <c r="M170" s="1">
        <v>2.2299999999999998E-6</v>
      </c>
      <c r="N170">
        <v>13.17601</v>
      </c>
      <c r="O170">
        <v>0</v>
      </c>
      <c r="P170">
        <v>2.5334969999999998E-2</v>
      </c>
      <c r="Q170">
        <v>1267.9469999999999</v>
      </c>
      <c r="R170">
        <v>0</v>
      </c>
    </row>
    <row r="171" spans="1:18" x14ac:dyDescent="0.25">
      <c r="A171">
        <v>9</v>
      </c>
      <c r="B171">
        <v>414.34559999999999</v>
      </c>
      <c r="C171">
        <v>99.99991</v>
      </c>
      <c r="D171" s="6">
        <v>10.75249</v>
      </c>
      <c r="E171" s="6">
        <v>1.7984899999999999</v>
      </c>
      <c r="F171">
        <v>6.2590359999999999E-3</v>
      </c>
      <c r="G171">
        <v>0.16726260000000001</v>
      </c>
      <c r="H171" s="2">
        <v>0.46</v>
      </c>
      <c r="I171">
        <v>2.6890790000000001E-2</v>
      </c>
      <c r="J171">
        <v>19.98179</v>
      </c>
      <c r="K171">
        <v>5.8210100000000001E-2</v>
      </c>
      <c r="L171">
        <v>-4076.72</v>
      </c>
      <c r="M171" s="1">
        <v>1.3599999999999999E-6</v>
      </c>
      <c r="N171">
        <v>13.17737</v>
      </c>
      <c r="O171">
        <v>0</v>
      </c>
      <c r="P171">
        <v>2.6415859999999999E-2</v>
      </c>
      <c r="Q171">
        <v>1321.9970000000001</v>
      </c>
      <c r="R171">
        <v>0</v>
      </c>
    </row>
    <row r="172" spans="1:18" x14ac:dyDescent="0.25">
      <c r="A172">
        <v>9</v>
      </c>
      <c r="B172">
        <v>422.72059999999999</v>
      </c>
      <c r="C172">
        <v>100.0003</v>
      </c>
      <c r="D172" s="6">
        <v>11.24316</v>
      </c>
      <c r="E172" s="6">
        <v>1.9846079999999999</v>
      </c>
      <c r="F172">
        <v>6.5454320000000003E-3</v>
      </c>
      <c r="G172">
        <v>0.1765169</v>
      </c>
      <c r="H172" s="2">
        <v>0.68</v>
      </c>
      <c r="I172">
        <v>2.8112379999999999E-2</v>
      </c>
      <c r="J172">
        <v>19.984159999999999</v>
      </c>
      <c r="K172">
        <v>5.8216999999999998E-2</v>
      </c>
      <c r="L172">
        <v>-4075.7310000000002</v>
      </c>
      <c r="M172" s="1">
        <v>1.9599999999999999E-6</v>
      </c>
      <c r="N172">
        <v>13.17836</v>
      </c>
      <c r="O172">
        <v>0</v>
      </c>
      <c r="P172">
        <v>2.7624590000000001E-2</v>
      </c>
      <c r="Q172">
        <v>1382.3240000000001</v>
      </c>
      <c r="R172">
        <v>0</v>
      </c>
    </row>
    <row r="173" spans="1:18" x14ac:dyDescent="0.25">
      <c r="A173">
        <v>9</v>
      </c>
      <c r="B173">
        <v>424.56180000000001</v>
      </c>
      <c r="C173">
        <v>99.99991</v>
      </c>
      <c r="D173" s="6">
        <v>11.70074</v>
      </c>
      <c r="E173" s="6">
        <v>2.202979</v>
      </c>
      <c r="F173">
        <v>6.817264E-3</v>
      </c>
      <c r="G173">
        <v>0.1882769</v>
      </c>
      <c r="H173" s="2">
        <v>1</v>
      </c>
      <c r="I173">
        <v>2.92374E-2</v>
      </c>
      <c r="J173">
        <v>20.000129999999999</v>
      </c>
      <c r="K173">
        <v>5.8263519999999999E-2</v>
      </c>
      <c r="L173">
        <v>-4075.558</v>
      </c>
      <c r="M173" s="1">
        <v>8.1699999999999997E-7</v>
      </c>
      <c r="N173">
        <v>13.17854</v>
      </c>
      <c r="O173">
        <v>0</v>
      </c>
      <c r="P173">
        <v>2.8771830000000002E-2</v>
      </c>
      <c r="Q173">
        <v>1438.5820000000001</v>
      </c>
      <c r="R173">
        <v>0</v>
      </c>
    </row>
    <row r="174" spans="1:18" x14ac:dyDescent="0.25">
      <c r="A174">
        <v>9</v>
      </c>
      <c r="B174">
        <v>424.90320000000003</v>
      </c>
      <c r="C174">
        <v>99.999369999999999</v>
      </c>
      <c r="D174" s="6">
        <v>12.21129</v>
      </c>
      <c r="E174" s="6">
        <v>2.4912339999999999</v>
      </c>
      <c r="F174">
        <v>7.1144219999999996E-3</v>
      </c>
      <c r="G174">
        <v>0.20401079999999999</v>
      </c>
      <c r="H174" s="2">
        <v>1.5</v>
      </c>
      <c r="I174">
        <v>3.0370080000000001E-2</v>
      </c>
      <c r="J174">
        <v>19.999279999999999</v>
      </c>
      <c r="K174">
        <v>5.826104E-2</v>
      </c>
      <c r="L174">
        <v>-4075.491</v>
      </c>
      <c r="M174" s="1">
        <v>2.72E-7</v>
      </c>
      <c r="N174">
        <v>13.178599999999999</v>
      </c>
      <c r="O174">
        <v>0</v>
      </c>
      <c r="P174">
        <v>3.0025969999999999E-2</v>
      </c>
      <c r="Q174">
        <v>1501.3530000000001</v>
      </c>
      <c r="R174">
        <v>0</v>
      </c>
    </row>
    <row r="175" spans="1:18" x14ac:dyDescent="0.25">
      <c r="A175">
        <v>9</v>
      </c>
      <c r="B175">
        <v>426.34519999999998</v>
      </c>
      <c r="C175">
        <v>100.0001</v>
      </c>
      <c r="D175" s="6">
        <v>12.753500000000001</v>
      </c>
      <c r="E175" s="6">
        <v>2.8425980000000002</v>
      </c>
      <c r="F175">
        <v>7.4282180000000003E-3</v>
      </c>
      <c r="G175">
        <v>0.22288759999999999</v>
      </c>
      <c r="H175" s="2">
        <v>2.2000000000000002</v>
      </c>
      <c r="I175">
        <v>3.1359600000000001E-2</v>
      </c>
      <c r="J175">
        <v>19.99362</v>
      </c>
      <c r="K175">
        <v>5.8244539999999997E-2</v>
      </c>
      <c r="L175">
        <v>-4075.3519999999999</v>
      </c>
      <c r="M175" s="1">
        <v>2.6699999999999998E-6</v>
      </c>
      <c r="N175">
        <v>13.178739999999999</v>
      </c>
      <c r="O175">
        <v>0</v>
      </c>
      <c r="P175">
        <v>3.1350330000000003E-2</v>
      </c>
      <c r="Q175">
        <v>1568.0170000000001</v>
      </c>
      <c r="R175">
        <v>0</v>
      </c>
    </row>
    <row r="176" spans="1:18" x14ac:dyDescent="0.25">
      <c r="A176">
        <v>9</v>
      </c>
      <c r="B176">
        <v>428.05430000000001</v>
      </c>
      <c r="C176">
        <v>99.999989999999997</v>
      </c>
      <c r="D176" s="6">
        <v>13.34796</v>
      </c>
      <c r="E176" s="6">
        <v>3.2802159999999998</v>
      </c>
      <c r="F176">
        <v>7.7749389999999998E-3</v>
      </c>
      <c r="G176">
        <v>0.24574650000000001</v>
      </c>
      <c r="H176" s="2">
        <v>3.2</v>
      </c>
      <c r="I176">
        <v>3.2020630000000001E-2</v>
      </c>
      <c r="J176">
        <v>19.99485</v>
      </c>
      <c r="K176">
        <v>5.8248139999999997E-2</v>
      </c>
      <c r="L176">
        <v>-4075.1559999999999</v>
      </c>
      <c r="M176" s="1">
        <v>1.1999999999999999E-6</v>
      </c>
      <c r="N176">
        <v>13.178940000000001</v>
      </c>
      <c r="O176">
        <v>0</v>
      </c>
      <c r="P176">
        <v>3.2813639999999998E-2</v>
      </c>
      <c r="Q176">
        <v>1641.105</v>
      </c>
      <c r="R176">
        <v>0</v>
      </c>
    </row>
    <row r="177" spans="1:18" x14ac:dyDescent="0.25">
      <c r="A177">
        <v>9</v>
      </c>
      <c r="B177">
        <v>429.76400000000001</v>
      </c>
      <c r="C177">
        <v>100.00060000000001</v>
      </c>
      <c r="D177" s="6">
        <v>14.00217</v>
      </c>
      <c r="E177" s="6">
        <v>3.8197380000000001</v>
      </c>
      <c r="F177">
        <v>8.1556400000000005E-3</v>
      </c>
      <c r="G177">
        <v>0.27279609999999999</v>
      </c>
      <c r="H177" s="2">
        <v>4.5999999999999996</v>
      </c>
      <c r="I177">
        <v>3.1887619999999998E-2</v>
      </c>
      <c r="J177">
        <v>19.993960000000001</v>
      </c>
      <c r="K177">
        <v>5.8245539999999998E-2</v>
      </c>
      <c r="L177">
        <v>-4074.45</v>
      </c>
      <c r="M177" s="1">
        <v>2.7800000000000001E-6</v>
      </c>
      <c r="N177">
        <v>13.179639999999999</v>
      </c>
      <c r="O177">
        <v>0</v>
      </c>
      <c r="P177">
        <v>3.4420359999999997E-2</v>
      </c>
      <c r="Q177">
        <v>1721.538</v>
      </c>
      <c r="R177">
        <v>0</v>
      </c>
    </row>
    <row r="178" spans="1:18" x14ac:dyDescent="0.25">
      <c r="A178">
        <v>9</v>
      </c>
      <c r="B178">
        <v>431.47480000000002</v>
      </c>
      <c r="C178">
        <v>99.99982</v>
      </c>
      <c r="D178" s="6">
        <v>14.81527</v>
      </c>
      <c r="E178" s="6">
        <v>4.5681570000000002</v>
      </c>
      <c r="F178">
        <v>8.6289450000000007E-3</v>
      </c>
      <c r="G178">
        <v>0.30834099999999998</v>
      </c>
      <c r="H178" s="2">
        <v>6.8</v>
      </c>
      <c r="I178">
        <v>2.9792909999999999E-2</v>
      </c>
      <c r="J178">
        <v>19.993279999999999</v>
      </c>
      <c r="K178">
        <v>5.8243580000000003E-2</v>
      </c>
      <c r="L178">
        <v>-4073.9450000000002</v>
      </c>
      <c r="M178" s="1">
        <v>2.12E-6</v>
      </c>
      <c r="N178">
        <v>13.180149999999999</v>
      </c>
      <c r="O178">
        <v>0</v>
      </c>
      <c r="P178">
        <v>3.6417909999999998E-2</v>
      </c>
      <c r="Q178">
        <v>1821.508</v>
      </c>
      <c r="R178">
        <v>0</v>
      </c>
    </row>
    <row r="179" spans="1:18" x14ac:dyDescent="0.25">
      <c r="A179">
        <v>9</v>
      </c>
      <c r="B179">
        <v>431.98779999999999</v>
      </c>
      <c r="C179">
        <v>99.999719999999996</v>
      </c>
      <c r="D179" s="6">
        <v>15.74677</v>
      </c>
      <c r="E179" s="6">
        <v>5.5310600000000001</v>
      </c>
      <c r="F179">
        <v>9.1730800000000001E-3</v>
      </c>
      <c r="G179">
        <v>0.35125050000000002</v>
      </c>
      <c r="H179" s="2">
        <v>10</v>
      </c>
      <c r="I179">
        <v>2.3786499999999999E-2</v>
      </c>
      <c r="J179">
        <v>19.996759999999998</v>
      </c>
      <c r="K179">
        <v>5.8253729999999997E-2</v>
      </c>
      <c r="L179">
        <v>-4073.7779999999998</v>
      </c>
      <c r="M179" s="1">
        <v>6.5300000000000004E-7</v>
      </c>
      <c r="N179">
        <v>13.18032</v>
      </c>
      <c r="O179">
        <v>0</v>
      </c>
      <c r="P179">
        <v>3.8714400000000003E-2</v>
      </c>
      <c r="Q179">
        <v>1936.0329999999999</v>
      </c>
      <c r="R179">
        <v>0</v>
      </c>
    </row>
    <row r="180" spans="1:18" x14ac:dyDescent="0.25">
      <c r="A180">
        <v>9</v>
      </c>
      <c r="B180">
        <v>432.90600000000001</v>
      </c>
      <c r="C180">
        <v>99.999920000000003</v>
      </c>
      <c r="D180" s="6">
        <v>16.791910000000001</v>
      </c>
      <c r="E180" s="6">
        <v>6.8060790000000004</v>
      </c>
      <c r="F180">
        <v>9.7846840000000001E-3</v>
      </c>
      <c r="G180">
        <v>0.40531899999999998</v>
      </c>
      <c r="H180" s="2">
        <v>14.6</v>
      </c>
      <c r="I180">
        <v>1.7612659999999999E-2</v>
      </c>
      <c r="J180">
        <v>20.00243</v>
      </c>
      <c r="K180">
        <v>5.8270240000000001E-2</v>
      </c>
      <c r="L180">
        <v>-4072.348</v>
      </c>
      <c r="M180" s="1">
        <v>2.3999999999999999E-6</v>
      </c>
      <c r="N180">
        <v>13.181749999999999</v>
      </c>
      <c r="O180">
        <v>0</v>
      </c>
      <c r="P180">
        <v>4.129563E-2</v>
      </c>
      <c r="Q180">
        <v>2064.5309999999999</v>
      </c>
      <c r="R180">
        <v>0</v>
      </c>
    </row>
    <row r="181" spans="1:18" x14ac:dyDescent="0.25">
      <c r="A181">
        <v>9</v>
      </c>
      <c r="B181">
        <v>433.30799999999999</v>
      </c>
      <c r="C181">
        <v>100.00020000000001</v>
      </c>
      <c r="D181" s="6">
        <v>18.40692</v>
      </c>
      <c r="E181" s="6">
        <v>8.6757179999999998</v>
      </c>
      <c r="F181">
        <v>1.07294E-2</v>
      </c>
      <c r="G181">
        <v>0.4713291</v>
      </c>
      <c r="H181" s="2">
        <v>21.5</v>
      </c>
      <c r="I181">
        <v>5.1086880000000001E-2</v>
      </c>
      <c r="J181">
        <v>20.009239999999998</v>
      </c>
      <c r="K181">
        <v>5.8290080000000001E-2</v>
      </c>
      <c r="L181">
        <v>-4072.2539999999999</v>
      </c>
      <c r="M181" s="1">
        <v>2.4499999999999998E-6</v>
      </c>
      <c r="N181">
        <v>13.181839999999999</v>
      </c>
      <c r="O181">
        <v>0</v>
      </c>
      <c r="P181">
        <v>4.5282780000000002E-2</v>
      </c>
      <c r="Q181">
        <v>2263.0929999999998</v>
      </c>
      <c r="R181">
        <v>0</v>
      </c>
    </row>
    <row r="182" spans="1:18" x14ac:dyDescent="0.25">
      <c r="A182">
        <v>9</v>
      </c>
      <c r="B182">
        <v>434.08179999999999</v>
      </c>
      <c r="C182">
        <v>99.999970000000005</v>
      </c>
      <c r="D182" s="6">
        <v>21.012599999999999</v>
      </c>
      <c r="E182" s="6">
        <v>11.0222</v>
      </c>
      <c r="F182">
        <v>1.2240940000000001E-2</v>
      </c>
      <c r="G182">
        <v>0.52455209999999997</v>
      </c>
      <c r="H182" s="2">
        <v>31.6</v>
      </c>
      <c r="I182">
        <v>0.1469017</v>
      </c>
      <c r="J182">
        <v>19.997299999999999</v>
      </c>
      <c r="K182">
        <v>5.825528E-2</v>
      </c>
      <c r="L182">
        <v>-4072.0720000000001</v>
      </c>
      <c r="M182" s="1">
        <v>1.0300000000000001E-6</v>
      </c>
      <c r="N182">
        <v>13.18202</v>
      </c>
      <c r="O182">
        <v>0</v>
      </c>
      <c r="P182">
        <v>5.1662140000000002E-2</v>
      </c>
      <c r="Q182">
        <v>2583.4560000000001</v>
      </c>
      <c r="R182">
        <v>0</v>
      </c>
    </row>
    <row r="183" spans="1:18" x14ac:dyDescent="0.25">
      <c r="A183">
        <v>9</v>
      </c>
      <c r="B183">
        <v>434.9556</v>
      </c>
      <c r="C183">
        <v>100.0004</v>
      </c>
      <c r="D183" s="6">
        <v>21.310020000000002</v>
      </c>
      <c r="E183" s="6">
        <v>12.69904</v>
      </c>
      <c r="F183">
        <v>1.2415030000000001E-2</v>
      </c>
      <c r="G183">
        <v>0.59591890000000003</v>
      </c>
      <c r="H183" s="2">
        <v>46.4</v>
      </c>
      <c r="I183">
        <v>0.36860660000000001</v>
      </c>
      <c r="J183">
        <v>19.998619999999999</v>
      </c>
      <c r="K183">
        <v>5.8259119999999998E-2</v>
      </c>
      <c r="L183">
        <v>-4071.7890000000002</v>
      </c>
      <c r="M183" s="1">
        <v>2.2299999999999998E-6</v>
      </c>
      <c r="N183">
        <v>13.182309999999999</v>
      </c>
      <c r="O183">
        <v>0</v>
      </c>
      <c r="P183">
        <v>5.2396829999999998E-2</v>
      </c>
      <c r="Q183">
        <v>2620.0230000000001</v>
      </c>
      <c r="R183">
        <v>0</v>
      </c>
    </row>
    <row r="184" spans="1:18" x14ac:dyDescent="0.25">
      <c r="A184">
        <v>9</v>
      </c>
      <c r="B184">
        <v>435.27620000000002</v>
      </c>
      <c r="C184">
        <v>100.0003</v>
      </c>
      <c r="D184" s="6">
        <v>26.674689999999998</v>
      </c>
      <c r="E184" s="6">
        <v>15.90512</v>
      </c>
      <c r="F184">
        <v>1.554124E-2</v>
      </c>
      <c r="G184">
        <v>0.59626239999999997</v>
      </c>
      <c r="H184" s="2">
        <v>68</v>
      </c>
      <c r="I184">
        <v>0.83322649999999998</v>
      </c>
      <c r="J184">
        <v>19.999639999999999</v>
      </c>
      <c r="K184">
        <v>5.8262099999999997E-2</v>
      </c>
      <c r="L184">
        <v>-4071.4679999999998</v>
      </c>
      <c r="M184" s="1">
        <v>3.05E-6</v>
      </c>
      <c r="N184">
        <v>13.18263</v>
      </c>
      <c r="O184">
        <v>0</v>
      </c>
      <c r="P184">
        <v>6.5590809999999999E-2</v>
      </c>
      <c r="Q184">
        <v>3279.6</v>
      </c>
      <c r="R184">
        <v>0</v>
      </c>
    </row>
    <row r="185" spans="1:18" x14ac:dyDescent="0.25">
      <c r="A185">
        <v>9</v>
      </c>
      <c r="B185">
        <v>435.46319999999997</v>
      </c>
      <c r="C185">
        <v>100.0005</v>
      </c>
      <c r="D185" s="6">
        <v>23.490760000000002</v>
      </c>
      <c r="E185" s="6">
        <v>20.726479999999999</v>
      </c>
      <c r="F185">
        <v>1.3685889999999999E-2</v>
      </c>
      <c r="G185">
        <v>0.88232509999999997</v>
      </c>
      <c r="H185" s="2">
        <v>100</v>
      </c>
      <c r="I185">
        <v>1.8793120000000001</v>
      </c>
      <c r="J185">
        <v>19.999179999999999</v>
      </c>
      <c r="K185">
        <v>5.8260739999999998E-2</v>
      </c>
      <c r="L185">
        <v>-4070.9870000000001</v>
      </c>
      <c r="M185" s="1">
        <v>2.9900000000000002E-6</v>
      </c>
      <c r="N185">
        <v>13.183109999999999</v>
      </c>
      <c r="O185">
        <v>0</v>
      </c>
      <c r="P185">
        <v>5.7760440000000003E-2</v>
      </c>
      <c r="Q185">
        <v>2888.14</v>
      </c>
      <c r="R185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01"/>
  <sheetViews>
    <sheetView zoomScale="90" zoomScaleNormal="90" workbookViewId="0">
      <selection activeCell="A25" sqref="A25"/>
    </sheetView>
  </sheetViews>
  <sheetFormatPr defaultRowHeight="15" x14ac:dyDescent="0.25"/>
  <cols>
    <col min="1" max="1" width="8.7109375" customWidth="1"/>
    <col min="2" max="2" width="2.7109375" customWidth="1"/>
    <col min="3" max="4" width="10.7109375" customWidth="1"/>
    <col min="5" max="5" width="1.7109375" customWidth="1"/>
    <col min="6" max="7" width="10.7109375" customWidth="1"/>
    <col min="8" max="8" width="1.7109375" customWidth="1"/>
    <col min="9" max="10" width="10.7109375" customWidth="1"/>
    <col min="11" max="11" width="1.7109375" customWidth="1"/>
    <col min="12" max="13" width="10.7109375" customWidth="1"/>
    <col min="14" max="14" width="1.7109375" customWidth="1"/>
    <col min="15" max="16" width="10.7109375" customWidth="1"/>
    <col min="17" max="17" width="1.7109375" customWidth="1"/>
    <col min="18" max="19" width="10.7109375" customWidth="1"/>
    <col min="20" max="20" width="1.7109375" customWidth="1"/>
    <col min="21" max="22" width="10.7109375" customWidth="1"/>
    <col min="23" max="23" width="1.7109375" customWidth="1"/>
    <col min="24" max="25" width="10.7109375" customWidth="1"/>
    <col min="26" max="26" width="1.7109375" customWidth="1"/>
    <col min="27" max="28" width="10.7109375" customWidth="1"/>
  </cols>
  <sheetData>
    <row r="1" spans="1:28" ht="342" customHeight="1" x14ac:dyDescent="0.25"/>
    <row r="2" spans="1:28" x14ac:dyDescent="0.25">
      <c r="C2" s="80" t="s">
        <v>197</v>
      </c>
      <c r="D2" s="81"/>
      <c r="F2" s="80" t="s">
        <v>200</v>
      </c>
      <c r="G2" s="81"/>
      <c r="I2" s="80" t="s">
        <v>201</v>
      </c>
      <c r="J2" s="81"/>
      <c r="L2" s="80" t="s">
        <v>202</v>
      </c>
      <c r="M2" s="81"/>
      <c r="O2" s="80" t="s">
        <v>203</v>
      </c>
      <c r="P2" s="81"/>
      <c r="R2" s="80" t="s">
        <v>204</v>
      </c>
      <c r="S2" s="81"/>
      <c r="U2" s="80" t="s">
        <v>205</v>
      </c>
      <c r="V2" s="81"/>
      <c r="X2" s="80" t="s">
        <v>206</v>
      </c>
      <c r="Y2" s="81"/>
      <c r="AA2" s="80" t="s">
        <v>207</v>
      </c>
      <c r="AB2" s="81"/>
    </row>
    <row r="3" spans="1:28" x14ac:dyDescent="0.25">
      <c r="A3" s="58" t="s">
        <v>45</v>
      </c>
      <c r="C3" s="60" t="s">
        <v>46</v>
      </c>
      <c r="D3" s="61" t="s">
        <v>3</v>
      </c>
      <c r="F3" s="66" t="s">
        <v>46</v>
      </c>
      <c r="G3" s="67" t="s">
        <v>3</v>
      </c>
      <c r="I3" s="66" t="s">
        <v>46</v>
      </c>
      <c r="J3" s="67" t="s">
        <v>3</v>
      </c>
      <c r="L3" s="66" t="s">
        <v>46</v>
      </c>
      <c r="M3" s="67" t="s">
        <v>3</v>
      </c>
      <c r="O3" s="66" t="s">
        <v>46</v>
      </c>
      <c r="P3" s="67" t="s">
        <v>3</v>
      </c>
      <c r="R3" s="66" t="s">
        <v>46</v>
      </c>
      <c r="S3" s="67" t="s">
        <v>3</v>
      </c>
      <c r="U3" s="66" t="s">
        <v>46</v>
      </c>
      <c r="V3" s="67" t="s">
        <v>3</v>
      </c>
      <c r="X3" s="66" t="s">
        <v>46</v>
      </c>
      <c r="Y3" s="67" t="s">
        <v>3</v>
      </c>
      <c r="AA3" s="66" t="s">
        <v>46</v>
      </c>
      <c r="AB3" s="67" t="s">
        <v>3</v>
      </c>
    </row>
    <row r="4" spans="1:28" x14ac:dyDescent="0.25">
      <c r="A4" s="58" t="s">
        <v>208</v>
      </c>
      <c r="C4" s="60" t="s">
        <v>199</v>
      </c>
      <c r="D4" s="61" t="s">
        <v>198</v>
      </c>
      <c r="F4" s="66" t="s">
        <v>199</v>
      </c>
      <c r="G4" s="67" t="s">
        <v>198</v>
      </c>
      <c r="I4" s="66" t="s">
        <v>199</v>
      </c>
      <c r="J4" s="67" t="s">
        <v>198</v>
      </c>
      <c r="L4" s="66" t="s">
        <v>199</v>
      </c>
      <c r="M4" s="67" t="s">
        <v>198</v>
      </c>
      <c r="O4" s="66" t="s">
        <v>199</v>
      </c>
      <c r="P4" s="67" t="s">
        <v>198</v>
      </c>
      <c r="R4" s="66" t="s">
        <v>199</v>
      </c>
      <c r="S4" s="67" t="s">
        <v>198</v>
      </c>
      <c r="U4" s="66" t="s">
        <v>199</v>
      </c>
      <c r="V4" s="67" t="s">
        <v>198</v>
      </c>
      <c r="X4" s="66" t="s">
        <v>199</v>
      </c>
      <c r="Y4" s="67" t="s">
        <v>198</v>
      </c>
      <c r="AA4" s="66" t="s">
        <v>199</v>
      </c>
      <c r="AB4" s="67" t="s">
        <v>198</v>
      </c>
    </row>
    <row r="5" spans="1:28" x14ac:dyDescent="0.25">
      <c r="A5" s="2">
        <v>0.1</v>
      </c>
      <c r="B5" s="5"/>
      <c r="C5" s="62">
        <v>1625.829</v>
      </c>
      <c r="D5" s="63">
        <v>165.08750000000001</v>
      </c>
      <c r="F5" s="62">
        <v>1054.4970000000001</v>
      </c>
      <c r="G5" s="63">
        <v>219.5368</v>
      </c>
      <c r="I5" s="62">
        <v>493.78960000000001</v>
      </c>
      <c r="J5" s="63">
        <v>200.56100000000001</v>
      </c>
      <c r="L5" s="62">
        <v>93.074820000000003</v>
      </c>
      <c r="M5" s="63">
        <v>77.794880000000006</v>
      </c>
      <c r="N5" s="59"/>
      <c r="O5" s="62">
        <v>26.106940000000002</v>
      </c>
      <c r="P5" s="63">
        <v>19.190460000000002</v>
      </c>
      <c r="Q5" s="59"/>
      <c r="R5" s="62">
        <v>15.760260000000001</v>
      </c>
      <c r="S5" s="63">
        <v>5.8354929999999996</v>
      </c>
      <c r="T5" s="59"/>
      <c r="U5" s="62">
        <v>12.72977</v>
      </c>
      <c r="V5" s="63">
        <v>2.7742100000000001</v>
      </c>
      <c r="X5" s="62">
        <v>10.840529999999999</v>
      </c>
      <c r="Y5" s="63">
        <v>1.8038940000000001</v>
      </c>
      <c r="AA5" s="68">
        <v>9.2533480000000008</v>
      </c>
      <c r="AB5" s="69">
        <v>1.373254</v>
      </c>
    </row>
    <row r="6" spans="1:28" x14ac:dyDescent="0.25">
      <c r="A6" s="2">
        <v>0.15</v>
      </c>
      <c r="B6" s="5"/>
      <c r="C6" s="62">
        <v>1666.5039999999999</v>
      </c>
      <c r="D6" s="63">
        <v>156.98939999999999</v>
      </c>
      <c r="F6" s="62">
        <v>1110.02</v>
      </c>
      <c r="G6" s="63">
        <v>214.2122</v>
      </c>
      <c r="I6" s="62">
        <v>473.6807</v>
      </c>
      <c r="J6" s="63">
        <v>194.85659999999999</v>
      </c>
      <c r="L6" s="62">
        <v>109.4228</v>
      </c>
      <c r="M6" s="63">
        <v>88.576490000000007</v>
      </c>
      <c r="N6" s="59"/>
      <c r="O6" s="62">
        <v>29.332159999999998</v>
      </c>
      <c r="P6" s="63">
        <v>22.786760000000001</v>
      </c>
      <c r="Q6" s="59"/>
      <c r="R6" s="62">
        <v>16.85425</v>
      </c>
      <c r="S6" s="63">
        <v>6.9912520000000002</v>
      </c>
      <c r="T6" s="59"/>
      <c r="U6" s="62">
        <v>13.23512</v>
      </c>
      <c r="V6" s="63">
        <v>3.129928</v>
      </c>
      <c r="X6" s="62">
        <v>11.172079999999999</v>
      </c>
      <c r="Y6" s="63">
        <v>1.945776</v>
      </c>
      <c r="AA6" s="68">
        <v>9.5517459999999996</v>
      </c>
      <c r="AB6" s="69">
        <v>1.4501310000000001</v>
      </c>
    </row>
    <row r="7" spans="1:28" x14ac:dyDescent="0.25">
      <c r="A7" s="2">
        <v>0.22</v>
      </c>
      <c r="B7" s="5"/>
      <c r="C7" s="62">
        <v>1706.336</v>
      </c>
      <c r="D7" s="63">
        <v>150.10900000000001</v>
      </c>
      <c r="F7" s="62">
        <v>1160.9829999999999</v>
      </c>
      <c r="G7" s="63">
        <v>208.65209999999999</v>
      </c>
      <c r="I7" s="62">
        <v>489.50259999999997</v>
      </c>
      <c r="J7" s="63">
        <v>195.88669999999999</v>
      </c>
      <c r="L7" s="62">
        <v>128.88489999999999</v>
      </c>
      <c r="M7" s="63">
        <v>99.651840000000007</v>
      </c>
      <c r="N7" s="59"/>
      <c r="O7" s="62">
        <v>34.350360000000002</v>
      </c>
      <c r="P7" s="63">
        <v>27.979320000000001</v>
      </c>
      <c r="Q7" s="59"/>
      <c r="R7" s="62">
        <v>18.297920000000001</v>
      </c>
      <c r="S7" s="63">
        <v>8.4394159999999996</v>
      </c>
      <c r="T7" s="59"/>
      <c r="U7" s="62">
        <v>13.8683</v>
      </c>
      <c r="V7" s="63">
        <v>3.5810629999999999</v>
      </c>
      <c r="X7" s="62">
        <v>11.54082</v>
      </c>
      <c r="Y7" s="63">
        <v>2.1154069999999998</v>
      </c>
      <c r="AA7" s="68">
        <v>9.8949809999999996</v>
      </c>
      <c r="AB7" s="69">
        <v>1.54061</v>
      </c>
    </row>
    <row r="8" spans="1:28" x14ac:dyDescent="0.25">
      <c r="A8" s="2">
        <v>0.32</v>
      </c>
      <c r="B8" s="5"/>
      <c r="C8" s="62">
        <v>1742.52</v>
      </c>
      <c r="D8" s="63">
        <v>144.10390000000001</v>
      </c>
      <c r="F8" s="62">
        <v>1210.2940000000001</v>
      </c>
      <c r="G8" s="63">
        <v>203.24809999999999</v>
      </c>
      <c r="I8" s="62">
        <v>534.02890000000002</v>
      </c>
      <c r="J8" s="63">
        <v>198.8818</v>
      </c>
      <c r="L8" s="62">
        <v>154.1653</v>
      </c>
      <c r="M8" s="63">
        <v>112.31480000000001</v>
      </c>
      <c r="N8" s="59"/>
      <c r="O8" s="62">
        <v>41.194580000000002</v>
      </c>
      <c r="P8" s="63">
        <v>34.702199999999998</v>
      </c>
      <c r="Q8" s="59"/>
      <c r="R8" s="62">
        <v>20.205469999999998</v>
      </c>
      <c r="S8" s="63">
        <v>10.434699999999999</v>
      </c>
      <c r="T8" s="59"/>
      <c r="U8" s="62">
        <v>14.694319999999999</v>
      </c>
      <c r="V8" s="63">
        <v>4.2150499999999997</v>
      </c>
      <c r="X8" s="62">
        <v>12.055260000000001</v>
      </c>
      <c r="Y8" s="63">
        <v>2.354365</v>
      </c>
      <c r="AA8" s="68">
        <v>10.31288</v>
      </c>
      <c r="AB8" s="69">
        <v>1.6575599999999999</v>
      </c>
    </row>
    <row r="9" spans="1:28" x14ac:dyDescent="0.25">
      <c r="A9" s="2">
        <v>0.46</v>
      </c>
      <c r="B9" s="5"/>
      <c r="C9" s="62">
        <v>1776.425</v>
      </c>
      <c r="D9" s="63">
        <v>139.5181</v>
      </c>
      <c r="F9" s="62">
        <v>1256.43</v>
      </c>
      <c r="G9" s="63">
        <v>198.69669999999999</v>
      </c>
      <c r="I9" s="62">
        <v>577.97180000000003</v>
      </c>
      <c r="J9" s="63">
        <v>201.3202</v>
      </c>
      <c r="L9" s="62">
        <v>182.3681</v>
      </c>
      <c r="M9" s="63">
        <v>124.90009999999999</v>
      </c>
      <c r="N9" s="59"/>
      <c r="O9" s="62">
        <v>49.47898</v>
      </c>
      <c r="P9" s="63">
        <v>42.382539999999999</v>
      </c>
      <c r="Q9" s="59"/>
      <c r="R9" s="62">
        <v>22.499320000000001</v>
      </c>
      <c r="S9" s="63">
        <v>12.89852</v>
      </c>
      <c r="T9" s="59"/>
      <c r="U9" s="62">
        <v>15.627800000000001</v>
      </c>
      <c r="V9" s="63">
        <v>5.00739</v>
      </c>
      <c r="X9" s="62">
        <v>12.625249999999999</v>
      </c>
      <c r="Y9" s="63">
        <v>2.6566179999999999</v>
      </c>
      <c r="AA9" s="68">
        <v>10.75249</v>
      </c>
      <c r="AB9" s="69">
        <v>1.7984899999999999</v>
      </c>
    </row>
    <row r="10" spans="1:28" x14ac:dyDescent="0.25">
      <c r="A10" s="2">
        <v>0.68</v>
      </c>
      <c r="B10" s="5"/>
      <c r="C10" s="62">
        <v>1812.4</v>
      </c>
      <c r="D10" s="63">
        <v>135.33320000000001</v>
      </c>
      <c r="F10" s="62">
        <v>1304.481</v>
      </c>
      <c r="G10" s="63">
        <v>193.91489999999999</v>
      </c>
      <c r="I10" s="62">
        <v>625.17610000000002</v>
      </c>
      <c r="J10" s="63">
        <v>203.14150000000001</v>
      </c>
      <c r="L10" s="62">
        <v>215.51169999999999</v>
      </c>
      <c r="M10" s="63">
        <v>137.9513</v>
      </c>
      <c r="N10" s="59"/>
      <c r="O10" s="62">
        <v>60.372979999999998</v>
      </c>
      <c r="P10" s="63">
        <v>51.809249999999999</v>
      </c>
      <c r="Q10" s="59"/>
      <c r="R10" s="62">
        <v>25.484500000000001</v>
      </c>
      <c r="S10" s="63">
        <v>16.191189999999999</v>
      </c>
      <c r="T10" s="59"/>
      <c r="U10" s="62">
        <v>16.794060000000002</v>
      </c>
      <c r="V10" s="63">
        <v>6.0963240000000001</v>
      </c>
      <c r="X10" s="62">
        <v>13.29208</v>
      </c>
      <c r="Y10" s="63">
        <v>3.0677319999999999</v>
      </c>
      <c r="AA10" s="68">
        <v>11.24316</v>
      </c>
      <c r="AB10" s="69">
        <v>1.9846079999999999</v>
      </c>
    </row>
    <row r="11" spans="1:28" x14ac:dyDescent="0.25">
      <c r="A11" s="2">
        <v>1</v>
      </c>
      <c r="B11" s="5"/>
      <c r="C11" s="62">
        <v>1845.133</v>
      </c>
      <c r="D11" s="63">
        <v>132.15129999999999</v>
      </c>
      <c r="F11" s="62">
        <v>1348.5419999999999</v>
      </c>
      <c r="G11" s="63">
        <v>189.76089999999999</v>
      </c>
      <c r="I11" s="62">
        <v>673.65089999999998</v>
      </c>
      <c r="J11" s="63">
        <v>204.6474</v>
      </c>
      <c r="L11" s="62">
        <v>249.88120000000001</v>
      </c>
      <c r="M11" s="63">
        <v>149.97290000000001</v>
      </c>
      <c r="N11" s="59"/>
      <c r="O11" s="62">
        <v>72.675399999999996</v>
      </c>
      <c r="P11" s="63">
        <v>61.88288</v>
      </c>
      <c r="Q11" s="59"/>
      <c r="R11" s="62">
        <v>28.851299999999998</v>
      </c>
      <c r="S11" s="63">
        <v>20.04044</v>
      </c>
      <c r="T11" s="59"/>
      <c r="U11" s="62">
        <v>18.04196</v>
      </c>
      <c r="V11" s="63">
        <v>7.4197389999999999</v>
      </c>
      <c r="X11" s="62">
        <v>13.949859999999999</v>
      </c>
      <c r="Y11" s="63">
        <v>3.5743149999999999</v>
      </c>
      <c r="AA11" s="68">
        <v>11.70074</v>
      </c>
      <c r="AB11" s="69">
        <v>2.202979</v>
      </c>
    </row>
    <row r="12" spans="1:28" x14ac:dyDescent="0.25">
      <c r="A12" s="2">
        <v>1.5</v>
      </c>
      <c r="B12" s="5"/>
      <c r="C12" s="62">
        <v>1877.809</v>
      </c>
      <c r="D12" s="63">
        <v>129.7192</v>
      </c>
      <c r="F12" s="62">
        <v>1395.328</v>
      </c>
      <c r="G12" s="63">
        <v>186.58260000000001</v>
      </c>
      <c r="I12" s="62">
        <v>723.61030000000005</v>
      </c>
      <c r="J12" s="63">
        <v>205.49760000000001</v>
      </c>
      <c r="L12" s="62">
        <v>288.8802</v>
      </c>
      <c r="M12" s="63">
        <v>162.28559999999999</v>
      </c>
      <c r="N12" s="59"/>
      <c r="O12" s="62">
        <v>88.307119999999998</v>
      </c>
      <c r="P12" s="63">
        <v>73.680109999999999</v>
      </c>
      <c r="Q12" s="59"/>
      <c r="R12" s="62">
        <v>33.267859999999999</v>
      </c>
      <c r="S12" s="63">
        <v>25.031140000000001</v>
      </c>
      <c r="T12" s="59"/>
      <c r="U12" s="62">
        <v>19.574839999999998</v>
      </c>
      <c r="V12" s="63">
        <v>9.1727740000000004</v>
      </c>
      <c r="X12" s="62">
        <v>14.71692</v>
      </c>
      <c r="Y12" s="63">
        <v>4.2398660000000001</v>
      </c>
      <c r="AA12" s="68">
        <v>12.21129</v>
      </c>
      <c r="AB12" s="69">
        <v>2.4912339999999999</v>
      </c>
    </row>
    <row r="13" spans="1:28" x14ac:dyDescent="0.25">
      <c r="A13" s="2">
        <v>2.2000000000000002</v>
      </c>
      <c r="B13" s="5"/>
      <c r="C13" s="62">
        <v>1908.6690000000001</v>
      </c>
      <c r="D13" s="63">
        <v>127.6752</v>
      </c>
      <c r="F13" s="62">
        <v>1438.5450000000001</v>
      </c>
      <c r="G13" s="63">
        <v>183.15180000000001</v>
      </c>
      <c r="I13" s="62">
        <v>768.02189999999996</v>
      </c>
      <c r="J13" s="63">
        <v>205.53380000000001</v>
      </c>
      <c r="L13" s="62">
        <v>328.45100000000002</v>
      </c>
      <c r="M13" s="63">
        <v>172.8466</v>
      </c>
      <c r="N13" s="59"/>
      <c r="O13" s="62">
        <v>106.28270000000001</v>
      </c>
      <c r="P13" s="63">
        <v>85.75788</v>
      </c>
      <c r="Q13" s="59"/>
      <c r="R13" s="62">
        <v>38.645040000000002</v>
      </c>
      <c r="S13" s="63">
        <v>30.78668</v>
      </c>
      <c r="T13" s="59"/>
      <c r="U13" s="62">
        <v>21.40222</v>
      </c>
      <c r="V13" s="63">
        <v>11.299189999999999</v>
      </c>
      <c r="X13" s="62">
        <v>15.57686</v>
      </c>
      <c r="Y13" s="63">
        <v>5.0601560000000001</v>
      </c>
      <c r="AA13" s="68">
        <v>12.753500000000001</v>
      </c>
      <c r="AB13" s="69">
        <v>2.8425980000000002</v>
      </c>
    </row>
    <row r="14" spans="1:28" x14ac:dyDescent="0.25">
      <c r="A14" s="2">
        <v>3.2</v>
      </c>
      <c r="B14" s="5"/>
      <c r="C14" s="62">
        <v>1938.134</v>
      </c>
      <c r="D14" s="63">
        <v>126.1464</v>
      </c>
      <c r="F14" s="62">
        <v>1480.018</v>
      </c>
      <c r="G14" s="63">
        <v>179.56540000000001</v>
      </c>
      <c r="I14" s="62">
        <v>811.76710000000003</v>
      </c>
      <c r="J14" s="63">
        <v>205.13499999999999</v>
      </c>
      <c r="L14" s="62">
        <v>369.19830000000002</v>
      </c>
      <c r="M14" s="63">
        <v>182.34350000000001</v>
      </c>
      <c r="N14" s="59"/>
      <c r="O14" s="62">
        <v>126.8644</v>
      </c>
      <c r="P14" s="63">
        <v>98.420450000000002</v>
      </c>
      <c r="Q14" s="59"/>
      <c r="R14" s="62">
        <v>45.243940000000002</v>
      </c>
      <c r="S14" s="63">
        <v>37.539099999999998</v>
      </c>
      <c r="T14" s="59"/>
      <c r="U14" s="62">
        <v>23.618490000000001</v>
      </c>
      <c r="V14" s="63">
        <v>13.912470000000001</v>
      </c>
      <c r="X14" s="62">
        <v>16.568660000000001</v>
      </c>
      <c r="Y14" s="63">
        <v>6.0814950000000003</v>
      </c>
      <c r="AA14" s="68">
        <v>13.34796</v>
      </c>
      <c r="AB14" s="69">
        <v>3.2802159999999998</v>
      </c>
    </row>
    <row r="15" spans="1:28" x14ac:dyDescent="0.25">
      <c r="A15" s="2">
        <v>4.5999999999999996</v>
      </c>
      <c r="B15" s="5"/>
      <c r="C15" s="62">
        <v>1966.98</v>
      </c>
      <c r="D15" s="63">
        <v>125.2085</v>
      </c>
      <c r="F15" s="62">
        <v>1520.3389999999999</v>
      </c>
      <c r="G15" s="63">
        <v>177.8973</v>
      </c>
      <c r="I15" s="62">
        <v>854.01580000000001</v>
      </c>
      <c r="J15" s="63">
        <v>204.43870000000001</v>
      </c>
      <c r="L15" s="62">
        <v>410.37830000000002</v>
      </c>
      <c r="M15" s="63">
        <v>190.55709999999999</v>
      </c>
      <c r="N15" s="59"/>
      <c r="O15" s="62">
        <v>149.83449999999999</v>
      </c>
      <c r="P15" s="63">
        <v>111.2137</v>
      </c>
      <c r="Q15" s="59"/>
      <c r="R15" s="62">
        <v>53.181100000000001</v>
      </c>
      <c r="S15" s="63">
        <v>45.205889999999997</v>
      </c>
      <c r="T15" s="59"/>
      <c r="U15" s="62">
        <v>26.281099999999999</v>
      </c>
      <c r="V15" s="63">
        <v>17.0487</v>
      </c>
      <c r="X15" s="62">
        <v>17.71621</v>
      </c>
      <c r="Y15" s="63">
        <v>7.343286</v>
      </c>
      <c r="AA15" s="68">
        <v>14.00217</v>
      </c>
      <c r="AB15" s="69">
        <v>3.8197380000000001</v>
      </c>
    </row>
    <row r="16" spans="1:28" x14ac:dyDescent="0.25">
      <c r="A16" s="2">
        <v>6.8</v>
      </c>
      <c r="B16" s="5"/>
      <c r="C16" s="62">
        <v>1997.537</v>
      </c>
      <c r="D16" s="63">
        <v>124.25830000000001</v>
      </c>
      <c r="F16" s="62">
        <v>1562.296</v>
      </c>
      <c r="G16" s="63">
        <v>175.7621</v>
      </c>
      <c r="I16" s="62">
        <v>898.55489999999998</v>
      </c>
      <c r="J16" s="63">
        <v>203.3218</v>
      </c>
      <c r="L16" s="62">
        <v>456.12299999999999</v>
      </c>
      <c r="M16" s="63">
        <v>198.3502</v>
      </c>
      <c r="N16" s="59"/>
      <c r="O16" s="62">
        <v>178.0198</v>
      </c>
      <c r="P16" s="63">
        <v>125.3484</v>
      </c>
      <c r="Q16" s="59"/>
      <c r="R16" s="62">
        <v>71.378810000000001</v>
      </c>
      <c r="S16" s="63">
        <v>60.91469</v>
      </c>
      <c r="T16" s="59"/>
      <c r="U16" s="62">
        <v>29.867999999999999</v>
      </c>
      <c r="V16" s="63">
        <v>21.229299999999999</v>
      </c>
      <c r="X16" s="62">
        <v>19.217590000000001</v>
      </c>
      <c r="Y16" s="63">
        <v>9.065042</v>
      </c>
      <c r="AA16" s="68">
        <v>14.81527</v>
      </c>
      <c r="AB16" s="69">
        <v>4.5681570000000002</v>
      </c>
    </row>
    <row r="17" spans="1:28" x14ac:dyDescent="0.25">
      <c r="A17" s="2">
        <v>10</v>
      </c>
      <c r="B17" s="5"/>
      <c r="C17" s="62">
        <v>2027.748</v>
      </c>
      <c r="D17" s="63">
        <v>123.883</v>
      </c>
      <c r="F17" s="62">
        <v>1603.7</v>
      </c>
      <c r="G17" s="63">
        <v>174.24879999999999</v>
      </c>
      <c r="I17" s="62">
        <v>944.40710000000001</v>
      </c>
      <c r="J17" s="63">
        <v>202.2379</v>
      </c>
      <c r="L17" s="62">
        <v>502.37459999999999</v>
      </c>
      <c r="M17" s="63">
        <v>205.17660000000001</v>
      </c>
      <c r="N17" s="59"/>
      <c r="O17" s="62">
        <v>209.11369999999999</v>
      </c>
      <c r="P17" s="63">
        <v>139.40629999999999</v>
      </c>
      <c r="Q17" s="59"/>
      <c r="R17" s="62">
        <v>83.854939999999999</v>
      </c>
      <c r="S17" s="63">
        <v>70.977429999999998</v>
      </c>
      <c r="T17" s="59"/>
      <c r="U17" s="62">
        <v>34.3065</v>
      </c>
      <c r="V17" s="63">
        <v>26.311520000000002</v>
      </c>
      <c r="X17" s="62">
        <v>21.028659999999999</v>
      </c>
      <c r="Y17" s="63">
        <v>11.242470000000001</v>
      </c>
      <c r="AA17" s="68">
        <v>15.74677</v>
      </c>
      <c r="AB17" s="69">
        <v>5.5310600000000001</v>
      </c>
    </row>
    <row r="18" spans="1:28" x14ac:dyDescent="0.25">
      <c r="A18" s="2">
        <v>14.6</v>
      </c>
      <c r="B18" s="5"/>
      <c r="C18" s="62">
        <v>2056.576</v>
      </c>
      <c r="D18" s="63">
        <v>124.0275</v>
      </c>
      <c r="F18" s="62">
        <v>1643.249</v>
      </c>
      <c r="G18" s="63">
        <v>172.90360000000001</v>
      </c>
      <c r="I18" s="62">
        <v>985.64469999999994</v>
      </c>
      <c r="J18" s="63">
        <v>201.18299999999999</v>
      </c>
      <c r="L18" s="62">
        <v>548.73760000000004</v>
      </c>
      <c r="M18" s="63">
        <v>210.61160000000001</v>
      </c>
      <c r="N18" s="59"/>
      <c r="O18" s="62">
        <v>242.95</v>
      </c>
      <c r="P18" s="63">
        <v>153.0369</v>
      </c>
      <c r="Q18" s="59"/>
      <c r="R18" s="62">
        <v>97.681889999999996</v>
      </c>
      <c r="S18" s="63">
        <v>81.462389999999999</v>
      </c>
      <c r="T18" s="59"/>
      <c r="U18" s="62">
        <v>39.740299999999998</v>
      </c>
      <c r="V18" s="63">
        <v>32.428939999999997</v>
      </c>
      <c r="X18" s="62">
        <v>23.16968</v>
      </c>
      <c r="Y18" s="63">
        <v>13.97002</v>
      </c>
      <c r="AA18" s="68">
        <v>16.791910000000001</v>
      </c>
      <c r="AB18" s="69">
        <v>6.8060790000000004</v>
      </c>
    </row>
    <row r="19" spans="1:28" x14ac:dyDescent="0.25">
      <c r="A19" s="2">
        <v>21.5</v>
      </c>
      <c r="B19" s="5"/>
      <c r="C19" s="62">
        <v>2086.8580000000002</v>
      </c>
      <c r="D19" s="63">
        <v>124.8627</v>
      </c>
      <c r="F19" s="62">
        <v>1684.2809999999999</v>
      </c>
      <c r="G19" s="63">
        <v>172.41560000000001</v>
      </c>
      <c r="I19" s="62">
        <v>1029.2239999999999</v>
      </c>
      <c r="J19" s="63">
        <v>200.12530000000001</v>
      </c>
      <c r="L19" s="62">
        <v>596.5068</v>
      </c>
      <c r="M19" s="63">
        <v>215.63839999999999</v>
      </c>
      <c r="N19" s="59"/>
      <c r="O19" s="62">
        <v>280.86399999999998</v>
      </c>
      <c r="P19" s="63">
        <v>166.86959999999999</v>
      </c>
      <c r="Q19" s="59"/>
      <c r="R19" s="62">
        <v>116.0951</v>
      </c>
      <c r="S19" s="63">
        <v>94.334119999999999</v>
      </c>
      <c r="T19" s="59"/>
      <c r="U19" s="62">
        <v>47.036020000000001</v>
      </c>
      <c r="V19" s="63">
        <v>40.149410000000003</v>
      </c>
      <c r="X19" s="62">
        <v>26.229649999999999</v>
      </c>
      <c r="Y19" s="63">
        <v>17.68216</v>
      </c>
      <c r="AA19" s="68">
        <v>18.40692</v>
      </c>
      <c r="AB19" s="69">
        <v>8.6757179999999998</v>
      </c>
    </row>
    <row r="20" spans="1:28" x14ac:dyDescent="0.25">
      <c r="A20" s="2">
        <v>31.6</v>
      </c>
      <c r="B20" s="5"/>
      <c r="C20" s="62">
        <v>2117.4920000000002</v>
      </c>
      <c r="D20" s="63">
        <v>125.6211</v>
      </c>
      <c r="F20" s="62">
        <v>1724.9110000000001</v>
      </c>
      <c r="G20" s="63">
        <v>171.94540000000001</v>
      </c>
      <c r="I20" s="62">
        <v>1069.7850000000001</v>
      </c>
      <c r="J20" s="63">
        <v>199.3049</v>
      </c>
      <c r="L20" s="62">
        <v>643.90800000000002</v>
      </c>
      <c r="M20" s="63">
        <v>219.5342</v>
      </c>
      <c r="N20" s="59"/>
      <c r="O20" s="62">
        <v>322.17790000000002</v>
      </c>
      <c r="P20" s="63">
        <v>179.84540000000001</v>
      </c>
      <c r="Q20" s="59"/>
      <c r="R20" s="62">
        <v>137.6859</v>
      </c>
      <c r="S20" s="63">
        <v>107.71680000000001</v>
      </c>
      <c r="T20" s="59"/>
      <c r="U20" s="62">
        <v>56.865499999999997</v>
      </c>
      <c r="V20" s="63">
        <v>49.295020000000001</v>
      </c>
      <c r="X20" s="62">
        <v>30.73208</v>
      </c>
      <c r="Y20" s="63">
        <v>22.280259999999998</v>
      </c>
      <c r="AA20" s="68">
        <v>21.012599999999999</v>
      </c>
      <c r="AB20" s="69">
        <v>11.0222</v>
      </c>
    </row>
    <row r="21" spans="1:28" x14ac:dyDescent="0.25">
      <c r="A21" s="2">
        <v>46.4</v>
      </c>
      <c r="B21" s="5"/>
      <c r="C21" s="62">
        <v>2145.627</v>
      </c>
      <c r="D21" s="63">
        <v>124.6859</v>
      </c>
      <c r="F21" s="62">
        <v>1761.61</v>
      </c>
      <c r="G21" s="63">
        <v>170.9248</v>
      </c>
      <c r="I21" s="62">
        <v>1106.345</v>
      </c>
      <c r="J21" s="63">
        <v>197.4299</v>
      </c>
      <c r="L21" s="62">
        <v>687.67489999999998</v>
      </c>
      <c r="M21" s="63">
        <v>220.78319999999999</v>
      </c>
      <c r="N21" s="59"/>
      <c r="O21" s="62">
        <v>362.35820000000001</v>
      </c>
      <c r="P21" s="63">
        <v>190.33090000000001</v>
      </c>
      <c r="Q21" s="59"/>
      <c r="R21" s="62">
        <v>159.84639999999999</v>
      </c>
      <c r="S21" s="63">
        <v>120.6722</v>
      </c>
      <c r="T21" s="59"/>
      <c r="U21" s="62">
        <v>66.214699999999993</v>
      </c>
      <c r="V21" s="63">
        <v>58.72251</v>
      </c>
      <c r="X21" s="62">
        <v>33.46902</v>
      </c>
      <c r="Y21" s="63">
        <v>26.675319999999999</v>
      </c>
      <c r="AA21" s="68">
        <v>21.310020000000002</v>
      </c>
      <c r="AB21" s="69">
        <v>12.69904</v>
      </c>
    </row>
    <row r="22" spans="1:28" x14ac:dyDescent="0.25">
      <c r="A22" s="2">
        <v>68</v>
      </c>
      <c r="B22" s="5"/>
      <c r="C22" s="62">
        <v>2173.4160000000002</v>
      </c>
      <c r="D22" s="63">
        <v>125.4066</v>
      </c>
      <c r="F22" s="62">
        <v>1801.5840000000001</v>
      </c>
      <c r="G22" s="63">
        <v>169.36510000000001</v>
      </c>
      <c r="I22" s="62">
        <v>1149.43</v>
      </c>
      <c r="J22" s="63">
        <v>195.29759999999999</v>
      </c>
      <c r="L22" s="62">
        <v>732.81979999999999</v>
      </c>
      <c r="M22" s="63">
        <v>222.10560000000001</v>
      </c>
      <c r="N22" s="59"/>
      <c r="O22" s="62">
        <v>408.33089999999999</v>
      </c>
      <c r="P22" s="63">
        <v>200.553</v>
      </c>
      <c r="Q22" s="59"/>
      <c r="R22" s="62">
        <v>192.13980000000001</v>
      </c>
      <c r="S22" s="63">
        <v>135.83459999999999</v>
      </c>
      <c r="T22" s="59"/>
      <c r="U22" s="62">
        <v>82.694180000000003</v>
      </c>
      <c r="V22" s="63">
        <v>70.440939999999998</v>
      </c>
      <c r="X22" s="62">
        <v>41.88494</v>
      </c>
      <c r="Y22" s="63">
        <v>33.07141</v>
      </c>
      <c r="AA22" s="68">
        <v>26.674689999999998</v>
      </c>
      <c r="AB22" s="69">
        <v>15.90512</v>
      </c>
    </row>
    <row r="23" spans="1:28" x14ac:dyDescent="0.25">
      <c r="A23" s="2">
        <v>100</v>
      </c>
      <c r="B23" s="5"/>
      <c r="C23" s="64">
        <v>2180.3760000000002</v>
      </c>
      <c r="D23" s="65">
        <v>128.73769999999999</v>
      </c>
      <c r="F23" s="64">
        <v>1822.0229999999999</v>
      </c>
      <c r="G23" s="65">
        <v>171.3306</v>
      </c>
      <c r="I23" s="64">
        <v>1178.6010000000001</v>
      </c>
      <c r="J23" s="65">
        <v>195.6062</v>
      </c>
      <c r="L23" s="64">
        <v>768.28710000000001</v>
      </c>
      <c r="M23" s="65">
        <v>224.6848</v>
      </c>
      <c r="N23" s="59"/>
      <c r="O23" s="64">
        <v>450.32170000000002</v>
      </c>
      <c r="P23" s="65">
        <v>211.7791</v>
      </c>
      <c r="Q23" s="59"/>
      <c r="R23" s="64">
        <v>219.71180000000001</v>
      </c>
      <c r="S23" s="65">
        <v>152.72120000000001</v>
      </c>
      <c r="T23" s="59"/>
      <c r="U23" s="64">
        <v>93.186419999999998</v>
      </c>
      <c r="V23" s="65">
        <v>84.691739999999996</v>
      </c>
      <c r="X23" s="64">
        <v>42.713520000000003</v>
      </c>
      <c r="Y23" s="65">
        <v>41.69464</v>
      </c>
      <c r="AA23" s="70">
        <v>23.490760000000002</v>
      </c>
      <c r="AB23" s="71">
        <v>20.726479999999999</v>
      </c>
    </row>
    <row r="24" spans="1:28" x14ac:dyDescent="0.25">
      <c r="A24" s="2"/>
      <c r="C24" s="45"/>
      <c r="D24" s="45"/>
      <c r="K24" s="1"/>
    </row>
    <row r="25" spans="1:28" x14ac:dyDescent="0.25">
      <c r="K25" s="1"/>
    </row>
    <row r="26" spans="1:28" x14ac:dyDescent="0.25">
      <c r="K26" s="1"/>
    </row>
    <row r="27" spans="1:28" x14ac:dyDescent="0.25">
      <c r="K27" s="1"/>
    </row>
    <row r="28" spans="1:28" x14ac:dyDescent="0.25">
      <c r="K28" s="1"/>
    </row>
    <row r="29" spans="1:28" x14ac:dyDescent="0.25">
      <c r="K29" s="1"/>
    </row>
    <row r="30" spans="1:28" x14ac:dyDescent="0.25">
      <c r="K30" s="1"/>
    </row>
    <row r="31" spans="1:28" x14ac:dyDescent="0.25">
      <c r="K31" s="1"/>
    </row>
    <row r="32" spans="1:28" x14ac:dyDescent="0.25">
      <c r="K32" s="1"/>
    </row>
    <row r="33" spans="11:11" x14ac:dyDescent="0.25">
      <c r="K33" s="1"/>
    </row>
    <row r="34" spans="11:11" x14ac:dyDescent="0.25">
      <c r="K34" s="1"/>
    </row>
    <row r="35" spans="11:11" x14ac:dyDescent="0.25">
      <c r="K35" s="1"/>
    </row>
    <row r="36" spans="11:11" x14ac:dyDescent="0.25">
      <c r="K36" s="1"/>
    </row>
    <row r="37" spans="11:11" x14ac:dyDescent="0.25">
      <c r="K37" s="1"/>
    </row>
    <row r="38" spans="11:11" x14ac:dyDescent="0.25">
      <c r="K38" s="1"/>
    </row>
    <row r="39" spans="11:11" x14ac:dyDescent="0.25">
      <c r="K39" s="1"/>
    </row>
    <row r="40" spans="11:11" x14ac:dyDescent="0.25">
      <c r="K40" s="1"/>
    </row>
    <row r="41" spans="11:11" x14ac:dyDescent="0.25">
      <c r="K41" s="1"/>
    </row>
    <row r="42" spans="11:11" x14ac:dyDescent="0.25">
      <c r="K42" s="1"/>
    </row>
    <row r="43" spans="11:11" x14ac:dyDescent="0.25">
      <c r="K43" s="1"/>
    </row>
    <row r="44" spans="11:11" x14ac:dyDescent="0.25">
      <c r="K44" s="1"/>
    </row>
    <row r="45" spans="11:11" x14ac:dyDescent="0.25">
      <c r="K45" s="1"/>
    </row>
    <row r="46" spans="11:11" x14ac:dyDescent="0.25">
      <c r="K46" s="1"/>
    </row>
    <row r="47" spans="11:11" x14ac:dyDescent="0.25">
      <c r="K47" s="1"/>
    </row>
    <row r="48" spans="11:11" x14ac:dyDescent="0.25">
      <c r="K48" s="1"/>
    </row>
    <row r="49" spans="11:11" x14ac:dyDescent="0.25">
      <c r="K49" s="1"/>
    </row>
    <row r="50" spans="11:11" x14ac:dyDescent="0.25">
      <c r="K50" s="1"/>
    </row>
    <row r="51" spans="11:11" x14ac:dyDescent="0.25">
      <c r="K51" s="1"/>
    </row>
    <row r="52" spans="11:11" x14ac:dyDescent="0.25">
      <c r="K52" s="1"/>
    </row>
    <row r="53" spans="11:11" x14ac:dyDescent="0.25">
      <c r="K53" s="1"/>
    </row>
    <row r="54" spans="11:11" x14ac:dyDescent="0.25">
      <c r="K54" s="1"/>
    </row>
    <row r="55" spans="11:11" x14ac:dyDescent="0.25">
      <c r="K55" s="1"/>
    </row>
    <row r="56" spans="11:11" x14ac:dyDescent="0.25">
      <c r="K56" s="1"/>
    </row>
    <row r="57" spans="11:11" x14ac:dyDescent="0.25">
      <c r="K57" s="1"/>
    </row>
    <row r="58" spans="11:11" x14ac:dyDescent="0.25">
      <c r="K58" s="1"/>
    </row>
    <row r="59" spans="11:11" x14ac:dyDescent="0.25">
      <c r="K59" s="1"/>
    </row>
    <row r="60" spans="11:11" x14ac:dyDescent="0.25">
      <c r="K60" s="1"/>
    </row>
    <row r="61" spans="11:11" x14ac:dyDescent="0.25">
      <c r="K61" s="1"/>
    </row>
    <row r="63" spans="11:11" x14ac:dyDescent="0.25">
      <c r="K63" s="1"/>
    </row>
    <row r="64" spans="11:11" x14ac:dyDescent="0.25">
      <c r="K64" s="1"/>
    </row>
    <row r="65" spans="11:11" x14ac:dyDescent="0.25">
      <c r="K65" s="1"/>
    </row>
    <row r="66" spans="11:11" x14ac:dyDescent="0.25">
      <c r="K66" s="1"/>
    </row>
    <row r="67" spans="11:11" x14ac:dyDescent="0.25">
      <c r="K67" s="1"/>
    </row>
    <row r="68" spans="11:11" x14ac:dyDescent="0.25">
      <c r="K68" s="1"/>
    </row>
    <row r="69" spans="11:11" x14ac:dyDescent="0.25">
      <c r="K69" s="1"/>
    </row>
    <row r="70" spans="11:11" x14ac:dyDescent="0.25">
      <c r="K70" s="1"/>
    </row>
    <row r="71" spans="11:11" x14ac:dyDescent="0.25">
      <c r="K71" s="1"/>
    </row>
    <row r="72" spans="11:11" x14ac:dyDescent="0.25">
      <c r="K72" s="1"/>
    </row>
    <row r="73" spans="11:11" x14ac:dyDescent="0.25">
      <c r="K73" s="1"/>
    </row>
    <row r="74" spans="11:11" x14ac:dyDescent="0.25">
      <c r="K74" s="1"/>
    </row>
    <row r="75" spans="11:11" x14ac:dyDescent="0.25">
      <c r="K75" s="1"/>
    </row>
    <row r="76" spans="11:11" x14ac:dyDescent="0.25">
      <c r="K76" s="1"/>
    </row>
    <row r="77" spans="11:11" x14ac:dyDescent="0.25">
      <c r="K77" s="1"/>
    </row>
    <row r="78" spans="11:11" x14ac:dyDescent="0.25">
      <c r="K78" s="1"/>
    </row>
    <row r="79" spans="11:11" x14ac:dyDescent="0.25">
      <c r="K79" s="1"/>
    </row>
    <row r="80" spans="11:11" x14ac:dyDescent="0.25">
      <c r="K80" s="1"/>
    </row>
    <row r="81" spans="11:11" x14ac:dyDescent="0.25">
      <c r="K81" s="1"/>
    </row>
    <row r="82" spans="11:11" x14ac:dyDescent="0.25">
      <c r="K82" s="1"/>
    </row>
    <row r="83" spans="11:11" x14ac:dyDescent="0.25">
      <c r="K83" s="1"/>
    </row>
    <row r="84" spans="11:11" x14ac:dyDescent="0.25">
      <c r="K84" s="1"/>
    </row>
    <row r="85" spans="11:11" x14ac:dyDescent="0.25">
      <c r="K85" s="1"/>
    </row>
    <row r="86" spans="11:11" x14ac:dyDescent="0.25">
      <c r="K86" s="1"/>
    </row>
    <row r="87" spans="11:11" x14ac:dyDescent="0.25">
      <c r="K87" s="1"/>
    </row>
    <row r="88" spans="11:11" x14ac:dyDescent="0.25">
      <c r="K88" s="1"/>
    </row>
    <row r="89" spans="11:11" x14ac:dyDescent="0.25">
      <c r="K89" s="1"/>
    </row>
    <row r="90" spans="11:11" x14ac:dyDescent="0.25">
      <c r="K90" s="1"/>
    </row>
    <row r="91" spans="11:11" x14ac:dyDescent="0.25">
      <c r="K91" s="1"/>
    </row>
    <row r="92" spans="11:11" x14ac:dyDescent="0.25">
      <c r="K92" s="1"/>
    </row>
    <row r="93" spans="11:11" x14ac:dyDescent="0.25">
      <c r="K93" s="1"/>
    </row>
    <row r="94" spans="11:11" x14ac:dyDescent="0.25">
      <c r="K94" s="1"/>
    </row>
    <row r="95" spans="11:11" x14ac:dyDescent="0.25">
      <c r="K95" s="1"/>
    </row>
    <row r="96" spans="11:11" x14ac:dyDescent="0.25">
      <c r="K96" s="1"/>
    </row>
    <row r="97" spans="11:11" x14ac:dyDescent="0.25">
      <c r="K97" s="1"/>
    </row>
    <row r="98" spans="11:11" x14ac:dyDescent="0.25">
      <c r="K98" s="1"/>
    </row>
    <row r="99" spans="11:11" x14ac:dyDescent="0.25">
      <c r="K99" s="1"/>
    </row>
    <row r="100" spans="11:11" x14ac:dyDescent="0.25">
      <c r="K100" s="1"/>
    </row>
    <row r="101" spans="11:11" x14ac:dyDescent="0.25">
      <c r="K101" s="1"/>
    </row>
  </sheetData>
  <mergeCells count="9">
    <mergeCell ref="U2:V2"/>
    <mergeCell ref="X2:Y2"/>
    <mergeCell ref="AA2:AB2"/>
    <mergeCell ref="C2:D2"/>
    <mergeCell ref="F2:G2"/>
    <mergeCell ref="I2:J2"/>
    <mergeCell ref="L2:M2"/>
    <mergeCell ref="O2:P2"/>
    <mergeCell ref="R2:S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83"/>
  <sheetViews>
    <sheetView tabSelected="1" topLeftCell="B1" zoomScale="90" zoomScaleNormal="90" workbookViewId="0">
      <selection activeCell="Z43" sqref="Z43"/>
    </sheetView>
  </sheetViews>
  <sheetFormatPr defaultRowHeight="15" x14ac:dyDescent="0.25"/>
  <cols>
    <col min="1" max="1" width="9.7109375" customWidth="1"/>
    <col min="2" max="2" width="10.7109375" customWidth="1"/>
    <col min="3" max="3" width="9" bestFit="1" customWidth="1"/>
    <col min="4" max="4" width="11.7109375" customWidth="1"/>
    <col min="5" max="5" width="10.7109375" customWidth="1"/>
    <col min="6" max="6" width="3.7109375" customWidth="1"/>
    <col min="7" max="7" width="9.7109375" customWidth="1"/>
    <col min="8" max="8" width="10.7109375" customWidth="1"/>
    <col min="9" max="9" width="9.7109375" customWidth="1"/>
    <col min="10" max="10" width="8.7109375" customWidth="1"/>
    <col min="11" max="11" width="9.7109375" bestFit="1" customWidth="1"/>
    <col min="12" max="12" width="8.28515625" bestFit="1" customWidth="1"/>
    <col min="13" max="13" width="9" bestFit="1" customWidth="1"/>
    <col min="14" max="14" width="2" bestFit="1" customWidth="1"/>
    <col min="15" max="15" width="11" bestFit="1" customWidth="1"/>
    <col min="16" max="16" width="9" bestFit="1" customWidth="1"/>
    <col min="17" max="17" width="2" bestFit="1" customWidth="1"/>
    <col min="24" max="24" width="2.7109375" customWidth="1"/>
    <col min="25" max="26" width="8.7109375" customWidth="1"/>
  </cols>
  <sheetData>
    <row r="1" spans="1:12" x14ac:dyDescent="0.25">
      <c r="I1" s="74" t="s">
        <v>18</v>
      </c>
    </row>
    <row r="2" spans="1:12" x14ac:dyDescent="0.25">
      <c r="A2" s="74" t="s">
        <v>11</v>
      </c>
      <c r="B2" t="s">
        <v>0</v>
      </c>
      <c r="C2" t="s">
        <v>1</v>
      </c>
      <c r="D2" t="s">
        <v>2</v>
      </c>
      <c r="E2" t="s">
        <v>8</v>
      </c>
      <c r="G2" s="3" t="s">
        <v>7</v>
      </c>
      <c r="H2" t="s">
        <v>9</v>
      </c>
      <c r="I2" s="74" t="s">
        <v>9</v>
      </c>
    </row>
    <row r="3" spans="1:12" x14ac:dyDescent="0.25">
      <c r="A3" s="2">
        <f>Z31</f>
        <v>-6</v>
      </c>
      <c r="B3">
        <v>51.808790000000002</v>
      </c>
      <c r="C3">
        <v>60.000309999999999</v>
      </c>
      <c r="D3">
        <v>1296.5440000000001</v>
      </c>
      <c r="E3">
        <v>237.77119999999999</v>
      </c>
      <c r="G3" s="2">
        <v>9.9999990000000007E-3</v>
      </c>
      <c r="H3" s="2">
        <f>LOG(G3)</f>
        <v>-2.0000000434294503</v>
      </c>
      <c r="I3" s="2">
        <f>H3-$A$3</f>
        <v>3.9999999565705497</v>
      </c>
      <c r="L3" s="1"/>
    </row>
    <row r="4" spans="1:12" x14ac:dyDescent="0.25">
      <c r="A4">
        <v>1</v>
      </c>
      <c r="B4">
        <v>65.201459999999997</v>
      </c>
      <c r="C4">
        <v>60.000019999999999</v>
      </c>
      <c r="D4">
        <v>1411.3869999999999</v>
      </c>
      <c r="E4">
        <v>210.5737</v>
      </c>
      <c r="G4" s="2">
        <v>0.02</v>
      </c>
      <c r="H4" s="2">
        <f t="shared" ref="H4:H67" si="0">LOG(G4)</f>
        <v>-1.6989700043360187</v>
      </c>
      <c r="I4" s="2">
        <f t="shared" ref="I4:I26" si="1">H4-$A$3</f>
        <v>4.3010299956639813</v>
      </c>
      <c r="L4" s="1"/>
    </row>
    <row r="5" spans="1:12" x14ac:dyDescent="0.25">
      <c r="A5">
        <v>1</v>
      </c>
      <c r="B5">
        <v>78.57405</v>
      </c>
      <c r="C5">
        <v>60.00018</v>
      </c>
      <c r="D5">
        <v>1475.1959999999999</v>
      </c>
      <c r="E5">
        <v>194.93559999999999</v>
      </c>
      <c r="G5" s="2">
        <v>0.03</v>
      </c>
      <c r="H5" s="2">
        <f t="shared" si="0"/>
        <v>-1.5228787452803376</v>
      </c>
      <c r="I5" s="2">
        <f t="shared" si="1"/>
        <v>4.4771212547196626</v>
      </c>
      <c r="L5" s="1"/>
    </row>
    <row r="6" spans="1:12" x14ac:dyDescent="0.25">
      <c r="A6">
        <v>1</v>
      </c>
      <c r="B6">
        <v>84.618840000000006</v>
      </c>
      <c r="C6">
        <v>59.999960000000002</v>
      </c>
      <c r="D6">
        <v>1538.9570000000001</v>
      </c>
      <c r="E6">
        <v>181.00720000000001</v>
      </c>
      <c r="G6" s="2">
        <v>0.05</v>
      </c>
      <c r="H6" s="2">
        <f t="shared" si="0"/>
        <v>-1.3010299956639813</v>
      </c>
      <c r="I6" s="2">
        <f t="shared" si="1"/>
        <v>4.6989700043360187</v>
      </c>
      <c r="L6" s="1"/>
    </row>
    <row r="7" spans="1:12" x14ac:dyDescent="0.25">
      <c r="A7">
        <v>1</v>
      </c>
      <c r="B7">
        <v>96.993870000000001</v>
      </c>
      <c r="C7">
        <v>60.0002</v>
      </c>
      <c r="D7">
        <v>1585.059</v>
      </c>
      <c r="E7">
        <v>171.678</v>
      </c>
      <c r="G7" s="2">
        <v>7.0000000000000007E-2</v>
      </c>
      <c r="H7" s="2">
        <f t="shared" si="0"/>
        <v>-1.1549019599857431</v>
      </c>
      <c r="I7" s="2">
        <f t="shared" si="1"/>
        <v>4.8450980400142569</v>
      </c>
      <c r="L7" s="1"/>
    </row>
    <row r="8" spans="1:12" x14ac:dyDescent="0.25">
      <c r="A8">
        <v>1</v>
      </c>
      <c r="B8">
        <v>101.5351</v>
      </c>
      <c r="C8">
        <v>59.999960000000002</v>
      </c>
      <c r="D8">
        <v>1625.829</v>
      </c>
      <c r="E8">
        <v>165.08750000000001</v>
      </c>
      <c r="G8" s="2">
        <v>0.1</v>
      </c>
      <c r="H8" s="2">
        <f t="shared" si="0"/>
        <v>-1</v>
      </c>
      <c r="I8" s="2">
        <f t="shared" si="1"/>
        <v>5</v>
      </c>
      <c r="L8" s="1"/>
    </row>
    <row r="9" spans="1:12" x14ac:dyDescent="0.25">
      <c r="A9">
        <v>1</v>
      </c>
      <c r="B9">
        <v>104.2428</v>
      </c>
      <c r="C9">
        <v>60</v>
      </c>
      <c r="D9">
        <v>1666.5039999999999</v>
      </c>
      <c r="E9">
        <v>156.98939999999999</v>
      </c>
      <c r="G9" s="2">
        <v>0.15</v>
      </c>
      <c r="H9" s="2">
        <f t="shared" si="0"/>
        <v>-0.82390874094431876</v>
      </c>
      <c r="I9" s="2">
        <f t="shared" si="1"/>
        <v>5.1760912590556813</v>
      </c>
      <c r="L9" s="1"/>
    </row>
    <row r="10" spans="1:12" x14ac:dyDescent="0.25">
      <c r="A10">
        <v>1</v>
      </c>
      <c r="B10">
        <v>110.7843</v>
      </c>
      <c r="C10">
        <v>59.999949999999998</v>
      </c>
      <c r="D10">
        <v>1706.336</v>
      </c>
      <c r="E10">
        <v>150.10900000000001</v>
      </c>
      <c r="G10" s="2">
        <v>0.22</v>
      </c>
      <c r="H10" s="2">
        <f t="shared" si="0"/>
        <v>-0.65757731917779372</v>
      </c>
      <c r="I10" s="2">
        <f t="shared" si="1"/>
        <v>5.3424226808222066</v>
      </c>
      <c r="L10" s="1"/>
    </row>
    <row r="11" spans="1:12" x14ac:dyDescent="0.25">
      <c r="A11">
        <v>1</v>
      </c>
      <c r="B11">
        <v>118.3248</v>
      </c>
      <c r="C11">
        <v>60.000100000000003</v>
      </c>
      <c r="D11">
        <v>1742.52</v>
      </c>
      <c r="E11">
        <v>144.10390000000001</v>
      </c>
      <c r="G11" s="2">
        <v>0.32</v>
      </c>
      <c r="H11" s="2">
        <f t="shared" si="0"/>
        <v>-0.49485002168009401</v>
      </c>
      <c r="I11" s="2">
        <f t="shared" si="1"/>
        <v>5.5051499783199063</v>
      </c>
      <c r="L11" s="1"/>
    </row>
    <row r="12" spans="1:12" x14ac:dyDescent="0.25">
      <c r="A12">
        <v>1</v>
      </c>
      <c r="B12">
        <v>125.8643</v>
      </c>
      <c r="C12">
        <v>59.999879999999997</v>
      </c>
      <c r="D12">
        <v>1776.425</v>
      </c>
      <c r="E12">
        <v>139.5181</v>
      </c>
      <c r="G12" s="2">
        <v>0.46</v>
      </c>
      <c r="H12" s="2">
        <f t="shared" si="0"/>
        <v>-0.33724216831842591</v>
      </c>
      <c r="I12" s="2">
        <f t="shared" si="1"/>
        <v>5.6627578316815743</v>
      </c>
      <c r="L12" s="1"/>
    </row>
    <row r="13" spans="1:12" x14ac:dyDescent="0.25">
      <c r="A13">
        <v>1</v>
      </c>
      <c r="B13">
        <v>133.40379999999999</v>
      </c>
      <c r="C13">
        <v>60</v>
      </c>
      <c r="D13">
        <v>1812.4</v>
      </c>
      <c r="E13">
        <v>135.33320000000001</v>
      </c>
      <c r="G13" s="2">
        <v>0.68</v>
      </c>
      <c r="H13" s="2">
        <f t="shared" si="0"/>
        <v>-0.16749108729376366</v>
      </c>
      <c r="I13" s="2">
        <f t="shared" si="1"/>
        <v>5.8325089127062366</v>
      </c>
      <c r="L13" s="1"/>
    </row>
    <row r="14" spans="1:12" x14ac:dyDescent="0.25">
      <c r="A14">
        <v>1</v>
      </c>
      <c r="B14">
        <v>135.22579999999999</v>
      </c>
      <c r="C14">
        <v>60.000100000000003</v>
      </c>
      <c r="D14">
        <v>1845.133</v>
      </c>
      <c r="E14">
        <v>132.15129999999999</v>
      </c>
      <c r="G14" s="2">
        <v>1</v>
      </c>
      <c r="H14" s="2">
        <f t="shared" si="0"/>
        <v>0</v>
      </c>
      <c r="I14" s="2">
        <f t="shared" si="1"/>
        <v>6</v>
      </c>
      <c r="L14" s="1"/>
    </row>
    <row r="15" spans="1:12" x14ac:dyDescent="0.25">
      <c r="A15">
        <v>1</v>
      </c>
      <c r="B15">
        <v>135.53020000000001</v>
      </c>
      <c r="C15">
        <v>60.000399999999999</v>
      </c>
      <c r="D15">
        <v>1877.809</v>
      </c>
      <c r="E15">
        <v>129.7192</v>
      </c>
      <c r="G15" s="2">
        <v>1.5</v>
      </c>
      <c r="H15" s="2">
        <f t="shared" si="0"/>
        <v>0.17609125905568124</v>
      </c>
      <c r="I15" s="2">
        <f t="shared" si="1"/>
        <v>6.1760912590556813</v>
      </c>
      <c r="L15" s="1"/>
    </row>
    <row r="16" spans="1:12" x14ac:dyDescent="0.25">
      <c r="A16">
        <v>1</v>
      </c>
      <c r="B16">
        <v>136.80199999999999</v>
      </c>
      <c r="C16">
        <v>60.000219999999999</v>
      </c>
      <c r="D16">
        <v>1908.6690000000001</v>
      </c>
      <c r="E16">
        <v>127.6752</v>
      </c>
      <c r="G16" s="2">
        <v>2.2000000000000002</v>
      </c>
      <c r="H16" s="2">
        <f t="shared" si="0"/>
        <v>0.34242268082220628</v>
      </c>
      <c r="I16" s="2">
        <f t="shared" si="1"/>
        <v>6.3424226808222066</v>
      </c>
      <c r="L16" s="1"/>
    </row>
    <row r="17" spans="1:26" x14ac:dyDescent="0.25">
      <c r="A17">
        <v>1</v>
      </c>
      <c r="B17">
        <v>138.33940000000001</v>
      </c>
      <c r="C17">
        <v>60.000120000000003</v>
      </c>
      <c r="D17">
        <v>1938.134</v>
      </c>
      <c r="E17">
        <v>126.1464</v>
      </c>
      <c r="G17" s="2">
        <v>3.2</v>
      </c>
      <c r="H17" s="2">
        <f t="shared" si="0"/>
        <v>0.50514997831990605</v>
      </c>
      <c r="I17" s="2">
        <f t="shared" si="1"/>
        <v>6.5051499783199063</v>
      </c>
      <c r="L17" s="1"/>
    </row>
    <row r="18" spans="1:26" x14ac:dyDescent="0.25">
      <c r="A18">
        <v>1</v>
      </c>
      <c r="B18">
        <v>139.8766</v>
      </c>
      <c r="C18">
        <v>60.000300000000003</v>
      </c>
      <c r="D18">
        <v>1966.98</v>
      </c>
      <c r="E18">
        <v>125.2085</v>
      </c>
      <c r="G18" s="2">
        <v>4.5999999999999996</v>
      </c>
      <c r="H18" s="2">
        <f t="shared" si="0"/>
        <v>0.66275783168157409</v>
      </c>
      <c r="I18" s="2">
        <f t="shared" si="1"/>
        <v>6.6627578316815743</v>
      </c>
      <c r="L18" s="1"/>
    </row>
    <row r="19" spans="1:26" x14ac:dyDescent="0.25">
      <c r="A19">
        <v>1</v>
      </c>
      <c r="B19">
        <v>141.41380000000001</v>
      </c>
      <c r="C19">
        <v>60.000329999999998</v>
      </c>
      <c r="D19">
        <v>1997.537</v>
      </c>
      <c r="E19">
        <v>124.25830000000001</v>
      </c>
      <c r="G19" s="2">
        <v>6.8</v>
      </c>
      <c r="H19" s="2">
        <f t="shared" si="0"/>
        <v>0.83250891270623628</v>
      </c>
      <c r="I19" s="2">
        <f t="shared" si="1"/>
        <v>6.8325089127062366</v>
      </c>
      <c r="L19" s="1"/>
    </row>
    <row r="20" spans="1:26" x14ac:dyDescent="0.25">
      <c r="A20">
        <v>1</v>
      </c>
      <c r="B20">
        <v>141.90100000000001</v>
      </c>
      <c r="C20">
        <v>59.999980000000001</v>
      </c>
      <c r="D20">
        <v>2027.748</v>
      </c>
      <c r="E20">
        <v>123.883</v>
      </c>
      <c r="G20" s="2">
        <v>10</v>
      </c>
      <c r="H20" s="2">
        <f t="shared" si="0"/>
        <v>1</v>
      </c>
      <c r="I20" s="2">
        <f t="shared" si="1"/>
        <v>7</v>
      </c>
    </row>
    <row r="21" spans="1:26" x14ac:dyDescent="0.25">
      <c r="A21">
        <v>1</v>
      </c>
      <c r="B21">
        <v>142.5547</v>
      </c>
      <c r="C21">
        <v>60.000309999999999</v>
      </c>
      <c r="D21">
        <v>2056.576</v>
      </c>
      <c r="E21">
        <v>124.0275</v>
      </c>
      <c r="G21" s="2">
        <v>14.6</v>
      </c>
      <c r="H21" s="2">
        <f t="shared" si="0"/>
        <v>1.1643528557844371</v>
      </c>
      <c r="I21" s="2">
        <f t="shared" si="1"/>
        <v>7.1643528557844371</v>
      </c>
      <c r="L21" s="1"/>
    </row>
    <row r="22" spans="1:26" x14ac:dyDescent="0.25">
      <c r="A22">
        <v>1</v>
      </c>
      <c r="B22">
        <v>142.99180000000001</v>
      </c>
      <c r="C22">
        <v>59.999879999999997</v>
      </c>
      <c r="D22">
        <v>2086.8580000000002</v>
      </c>
      <c r="E22">
        <v>124.8627</v>
      </c>
      <c r="G22" s="2">
        <v>21.5</v>
      </c>
      <c r="H22" s="2">
        <f t="shared" si="0"/>
        <v>1.3324384599156054</v>
      </c>
      <c r="I22" s="2">
        <f t="shared" si="1"/>
        <v>7.3324384599156058</v>
      </c>
      <c r="L22" s="1"/>
    </row>
    <row r="23" spans="1:26" x14ac:dyDescent="0.25">
      <c r="A23">
        <v>1</v>
      </c>
      <c r="B23">
        <v>143.679</v>
      </c>
      <c r="C23">
        <v>59.999670000000002</v>
      </c>
      <c r="D23">
        <v>2117.4920000000002</v>
      </c>
      <c r="E23">
        <v>125.6211</v>
      </c>
      <c r="G23" s="2">
        <v>31.6</v>
      </c>
      <c r="H23" s="2">
        <f t="shared" si="0"/>
        <v>1.4996870826184039</v>
      </c>
      <c r="I23" s="2">
        <f t="shared" si="1"/>
        <v>7.4996870826184043</v>
      </c>
      <c r="L23" s="1"/>
    </row>
    <row r="24" spans="1:26" x14ac:dyDescent="0.25">
      <c r="A24">
        <v>1</v>
      </c>
      <c r="B24">
        <v>144.46619999999999</v>
      </c>
      <c r="C24">
        <v>59.999459999999999</v>
      </c>
      <c r="D24">
        <v>2145.627</v>
      </c>
      <c r="E24">
        <v>124.6859</v>
      </c>
      <c r="G24" s="2">
        <v>46.4</v>
      </c>
      <c r="H24" s="2">
        <f t="shared" si="0"/>
        <v>1.6665179805548809</v>
      </c>
      <c r="I24" s="2">
        <f t="shared" si="1"/>
        <v>7.6665179805548807</v>
      </c>
      <c r="L24" s="1"/>
    </row>
    <row r="25" spans="1:26" x14ac:dyDescent="0.25">
      <c r="A25">
        <v>1</v>
      </c>
      <c r="B25">
        <v>144.7867</v>
      </c>
      <c r="C25">
        <v>59.999580000000002</v>
      </c>
      <c r="D25">
        <v>2173.4160000000002</v>
      </c>
      <c r="E25">
        <v>125.4066</v>
      </c>
      <c r="G25" s="2">
        <v>68</v>
      </c>
      <c r="H25" s="2">
        <f t="shared" si="0"/>
        <v>1.8325089127062364</v>
      </c>
      <c r="I25" s="2">
        <f t="shared" si="1"/>
        <v>7.8325089127062366</v>
      </c>
      <c r="L25" s="1"/>
    </row>
    <row r="26" spans="1:26" x14ac:dyDescent="0.25">
      <c r="A26">
        <v>1</v>
      </c>
      <c r="B26">
        <v>144.9736</v>
      </c>
      <c r="C26">
        <v>59.999510000000001</v>
      </c>
      <c r="D26">
        <v>2180.3760000000002</v>
      </c>
      <c r="E26">
        <v>128.73769999999999</v>
      </c>
      <c r="G26" s="2">
        <v>100</v>
      </c>
      <c r="H26" s="2">
        <f t="shared" si="0"/>
        <v>2</v>
      </c>
      <c r="I26" s="2">
        <f t="shared" si="1"/>
        <v>8</v>
      </c>
      <c r="L26" s="1"/>
    </row>
    <row r="27" spans="1:26" x14ac:dyDescent="0.25">
      <c r="A27" s="2">
        <f>Z32</f>
        <v>-4</v>
      </c>
      <c r="B27">
        <v>195.71559999999999</v>
      </c>
      <c r="C27">
        <v>65.000240000000005</v>
      </c>
      <c r="D27">
        <v>691.05809999999997</v>
      </c>
      <c r="E27">
        <v>247.21360000000001</v>
      </c>
      <c r="G27" s="2">
        <v>9.9999990000000007E-3</v>
      </c>
      <c r="H27" s="2">
        <f t="shared" si="0"/>
        <v>-2.0000000434294503</v>
      </c>
      <c r="I27" s="2">
        <f>H27-$A$27</f>
        <v>1.9999999565705497</v>
      </c>
      <c r="L27" s="1"/>
    </row>
    <row r="28" spans="1:26" x14ac:dyDescent="0.25">
      <c r="A28">
        <v>2</v>
      </c>
      <c r="B28">
        <v>208.28129999999999</v>
      </c>
      <c r="C28">
        <v>64.999960000000002</v>
      </c>
      <c r="D28">
        <v>807.14599999999996</v>
      </c>
      <c r="E28">
        <v>243.7028</v>
      </c>
      <c r="G28" s="2">
        <v>0.02</v>
      </c>
      <c r="H28" s="2">
        <f t="shared" si="0"/>
        <v>-1.6989700043360187</v>
      </c>
      <c r="I28" s="2">
        <f t="shared" ref="I28:I50" si="2">H28-$A$27</f>
        <v>2.3010299956639813</v>
      </c>
      <c r="L28" s="1"/>
    </row>
    <row r="29" spans="1:26" x14ac:dyDescent="0.25">
      <c r="A29">
        <v>2</v>
      </c>
      <c r="B29">
        <v>230.01320000000001</v>
      </c>
      <c r="C29">
        <v>65.000219999999999</v>
      </c>
      <c r="D29">
        <v>874.48</v>
      </c>
      <c r="E29">
        <v>236.19890000000001</v>
      </c>
      <c r="G29" s="2">
        <v>0.03</v>
      </c>
      <c r="H29" s="2">
        <f t="shared" si="0"/>
        <v>-1.5228787452803376</v>
      </c>
      <c r="I29" s="2">
        <f t="shared" si="2"/>
        <v>2.4771212547196626</v>
      </c>
      <c r="L29" s="1"/>
    </row>
    <row r="30" spans="1:26" x14ac:dyDescent="0.25">
      <c r="A30">
        <v>2</v>
      </c>
      <c r="B30">
        <v>237.40950000000001</v>
      </c>
      <c r="C30">
        <v>64.999629999999996</v>
      </c>
      <c r="D30">
        <v>952.33579999999995</v>
      </c>
      <c r="E30">
        <v>230.1482</v>
      </c>
      <c r="G30" s="2">
        <v>0.05</v>
      </c>
      <c r="H30" s="2">
        <f t="shared" si="0"/>
        <v>-1.3010299956639813</v>
      </c>
      <c r="I30" s="2">
        <f t="shared" si="2"/>
        <v>2.6989700043360187</v>
      </c>
      <c r="L30" s="1"/>
      <c r="Y30" s="3" t="s">
        <v>10</v>
      </c>
      <c r="Z30" s="3" t="s">
        <v>11</v>
      </c>
    </row>
    <row r="31" spans="1:26" x14ac:dyDescent="0.25">
      <c r="A31">
        <v>2</v>
      </c>
      <c r="B31">
        <v>258.1386</v>
      </c>
      <c r="C31">
        <v>65</v>
      </c>
      <c r="D31">
        <v>1003.414</v>
      </c>
      <c r="E31">
        <v>224.62479999999999</v>
      </c>
      <c r="G31" s="2">
        <v>7.0000000000000007E-2</v>
      </c>
      <c r="H31" s="2">
        <f t="shared" si="0"/>
        <v>-1.1549019599857431</v>
      </c>
      <c r="I31" s="2">
        <f t="shared" si="2"/>
        <v>2.8450980400142569</v>
      </c>
      <c r="L31" s="1"/>
      <c r="Y31" s="3">
        <v>60</v>
      </c>
      <c r="Z31" s="3">
        <v>-6</v>
      </c>
    </row>
    <row r="32" spans="1:26" x14ac:dyDescent="0.25">
      <c r="A32">
        <v>2</v>
      </c>
      <c r="B32">
        <v>263.69869999999997</v>
      </c>
      <c r="C32">
        <v>65.000100000000003</v>
      </c>
      <c r="D32">
        <v>1054.4970000000001</v>
      </c>
      <c r="E32">
        <v>219.5368</v>
      </c>
      <c r="G32" s="2">
        <v>0.1</v>
      </c>
      <c r="H32" s="2">
        <f t="shared" si="0"/>
        <v>-1</v>
      </c>
      <c r="I32" s="2">
        <f t="shared" si="2"/>
        <v>3</v>
      </c>
      <c r="L32" s="1"/>
      <c r="Y32" s="3">
        <v>65</v>
      </c>
      <c r="Z32" s="3">
        <v>-4</v>
      </c>
    </row>
    <row r="33" spans="1:26" x14ac:dyDescent="0.25">
      <c r="A33">
        <v>2</v>
      </c>
      <c r="B33">
        <v>268.42349999999999</v>
      </c>
      <c r="C33">
        <v>64.999889999999994</v>
      </c>
      <c r="D33">
        <v>1110.02</v>
      </c>
      <c r="E33">
        <v>214.2122</v>
      </c>
      <c r="G33" s="2">
        <v>0.15</v>
      </c>
      <c r="H33" s="2">
        <f t="shared" si="0"/>
        <v>-0.82390874094431876</v>
      </c>
      <c r="I33" s="2">
        <f t="shared" si="2"/>
        <v>3.1760912590556813</v>
      </c>
      <c r="L33" s="1"/>
      <c r="Y33" s="3">
        <v>70</v>
      </c>
      <c r="Z33" s="3">
        <v>-1.7</v>
      </c>
    </row>
    <row r="34" spans="1:26" x14ac:dyDescent="0.25">
      <c r="A34">
        <v>2</v>
      </c>
      <c r="B34">
        <v>279.14839999999998</v>
      </c>
      <c r="C34">
        <v>65.000029999999995</v>
      </c>
      <c r="D34">
        <v>1160.9829999999999</v>
      </c>
      <c r="E34">
        <v>208.65209999999999</v>
      </c>
      <c r="G34" s="2">
        <v>0.22</v>
      </c>
      <c r="H34" s="2">
        <f t="shared" si="0"/>
        <v>-0.65757731917779372</v>
      </c>
      <c r="I34" s="2">
        <f t="shared" si="2"/>
        <v>3.3424226808222062</v>
      </c>
      <c r="L34" s="1"/>
      <c r="Y34" s="3">
        <v>75</v>
      </c>
      <c r="Z34" s="3">
        <v>0</v>
      </c>
    </row>
    <row r="35" spans="1:26" x14ac:dyDescent="0.25">
      <c r="A35">
        <v>2</v>
      </c>
      <c r="B35">
        <v>290.8732</v>
      </c>
      <c r="C35">
        <v>64.99991</v>
      </c>
      <c r="D35">
        <v>1210.2940000000001</v>
      </c>
      <c r="E35">
        <v>203.24809999999999</v>
      </c>
      <c r="G35" s="2">
        <v>0.32</v>
      </c>
      <c r="H35" s="2">
        <f t="shared" si="0"/>
        <v>-0.49485002168009401</v>
      </c>
      <c r="I35" s="2">
        <f t="shared" si="2"/>
        <v>3.5051499783199058</v>
      </c>
      <c r="L35" s="1"/>
      <c r="Y35" s="3">
        <v>80</v>
      </c>
      <c r="Z35" s="3">
        <v>1</v>
      </c>
    </row>
    <row r="36" spans="1:26" x14ac:dyDescent="0.25">
      <c r="A36">
        <v>2</v>
      </c>
      <c r="B36">
        <v>302.5949</v>
      </c>
      <c r="C36">
        <v>64.999939999999995</v>
      </c>
      <c r="D36">
        <v>1256.43</v>
      </c>
      <c r="E36">
        <v>198.69669999999999</v>
      </c>
      <c r="G36" s="2">
        <v>0.46</v>
      </c>
      <c r="H36" s="2">
        <f t="shared" si="0"/>
        <v>-0.33724216831842591</v>
      </c>
      <c r="I36" s="2">
        <f t="shared" si="2"/>
        <v>3.6627578316815743</v>
      </c>
      <c r="L36" s="1"/>
      <c r="Y36" s="3">
        <v>85</v>
      </c>
      <c r="Z36" s="3">
        <v>2</v>
      </c>
    </row>
    <row r="37" spans="1:26" x14ac:dyDescent="0.25">
      <c r="A37">
        <v>2</v>
      </c>
      <c r="B37">
        <v>314.31599999999997</v>
      </c>
      <c r="C37">
        <v>65.000240000000005</v>
      </c>
      <c r="D37">
        <v>1304.481</v>
      </c>
      <c r="E37">
        <v>193.91489999999999</v>
      </c>
      <c r="G37" s="2">
        <v>0.68</v>
      </c>
      <c r="H37" s="2">
        <f t="shared" si="0"/>
        <v>-0.16749108729376366</v>
      </c>
      <c r="I37" s="2">
        <f t="shared" si="2"/>
        <v>3.8325089127062362</v>
      </c>
      <c r="L37" s="1"/>
      <c r="Y37" s="3">
        <v>90</v>
      </c>
      <c r="Z37" s="3">
        <v>3</v>
      </c>
    </row>
    <row r="38" spans="1:26" x14ac:dyDescent="0.25">
      <c r="A38">
        <v>2</v>
      </c>
      <c r="B38">
        <v>316.23570000000001</v>
      </c>
      <c r="C38">
        <v>64.999459999999999</v>
      </c>
      <c r="D38">
        <v>1348.5419999999999</v>
      </c>
      <c r="E38">
        <v>189.76089999999999</v>
      </c>
      <c r="G38" s="2">
        <v>1</v>
      </c>
      <c r="H38" s="2">
        <f t="shared" si="0"/>
        <v>0</v>
      </c>
      <c r="I38" s="2">
        <f t="shared" si="2"/>
        <v>4</v>
      </c>
      <c r="L38" s="1"/>
      <c r="Y38" s="3">
        <v>95</v>
      </c>
      <c r="Z38" s="3">
        <v>4</v>
      </c>
    </row>
    <row r="39" spans="1:26" x14ac:dyDescent="0.25">
      <c r="A39">
        <v>2</v>
      </c>
      <c r="B39">
        <v>316.72149999999999</v>
      </c>
      <c r="C39">
        <v>64.999459999999999</v>
      </c>
      <c r="D39">
        <v>1395.328</v>
      </c>
      <c r="E39">
        <v>186.58260000000001</v>
      </c>
      <c r="G39" s="2">
        <v>1.5</v>
      </c>
      <c r="H39" s="2">
        <f t="shared" si="0"/>
        <v>0.17609125905568124</v>
      </c>
      <c r="I39" s="2">
        <f t="shared" si="2"/>
        <v>4.1760912590556813</v>
      </c>
      <c r="L39" s="1"/>
      <c r="Y39" s="3">
        <v>100</v>
      </c>
      <c r="Z39" s="3">
        <v>5</v>
      </c>
    </row>
    <row r="40" spans="1:26" x14ac:dyDescent="0.25">
      <c r="A40">
        <v>2</v>
      </c>
      <c r="B40">
        <v>318.84050000000002</v>
      </c>
      <c r="C40">
        <v>65.000399999999999</v>
      </c>
      <c r="D40">
        <v>1438.5450000000001</v>
      </c>
      <c r="E40">
        <v>183.15180000000001</v>
      </c>
      <c r="G40" s="2">
        <v>2.2000000000000002</v>
      </c>
      <c r="H40" s="2">
        <f t="shared" si="0"/>
        <v>0.34242268082220628</v>
      </c>
      <c r="I40" s="2">
        <f t="shared" si="2"/>
        <v>4.3424226808222066</v>
      </c>
      <c r="L40" s="1"/>
    </row>
    <row r="41" spans="1:26" x14ac:dyDescent="0.25">
      <c r="A41">
        <v>2</v>
      </c>
      <c r="B41">
        <v>321.226</v>
      </c>
      <c r="C41">
        <v>64.999939999999995</v>
      </c>
      <c r="D41">
        <v>1480.018</v>
      </c>
      <c r="E41">
        <v>179.56540000000001</v>
      </c>
      <c r="G41" s="2">
        <v>3.2</v>
      </c>
      <c r="H41" s="2">
        <f t="shared" si="0"/>
        <v>0.50514997831990605</v>
      </c>
      <c r="I41" s="2">
        <f t="shared" si="2"/>
        <v>4.5051499783199063</v>
      </c>
      <c r="L41" s="1"/>
    </row>
    <row r="42" spans="1:26" x14ac:dyDescent="0.25">
      <c r="A42">
        <v>2</v>
      </c>
      <c r="B42">
        <v>323.61099999999999</v>
      </c>
      <c r="C42">
        <v>65.000079999999997</v>
      </c>
      <c r="D42">
        <v>1520.3389999999999</v>
      </c>
      <c r="E42">
        <v>177.8973</v>
      </c>
      <c r="G42" s="2">
        <v>4.5999999999999996</v>
      </c>
      <c r="H42" s="2">
        <f t="shared" si="0"/>
        <v>0.66275783168157409</v>
      </c>
      <c r="I42" s="2">
        <f t="shared" si="2"/>
        <v>4.6627578316815743</v>
      </c>
      <c r="L42" s="1"/>
    </row>
    <row r="43" spans="1:26" x14ac:dyDescent="0.25">
      <c r="A43">
        <v>2</v>
      </c>
      <c r="B43">
        <v>325.99560000000002</v>
      </c>
      <c r="C43">
        <v>64.999780000000001</v>
      </c>
      <c r="D43">
        <v>1562.296</v>
      </c>
      <c r="E43">
        <v>175.7621</v>
      </c>
      <c r="G43" s="2">
        <v>6.8</v>
      </c>
      <c r="H43" s="2">
        <f t="shared" si="0"/>
        <v>0.83250891270623628</v>
      </c>
      <c r="I43" s="2">
        <f t="shared" si="2"/>
        <v>4.8325089127062366</v>
      </c>
      <c r="L43" s="1"/>
    </row>
    <row r="44" spans="1:26" x14ac:dyDescent="0.25">
      <c r="A44">
        <v>2</v>
      </c>
      <c r="B44">
        <v>326.57819999999998</v>
      </c>
      <c r="C44">
        <v>65.000200000000007</v>
      </c>
      <c r="D44">
        <v>1603.7</v>
      </c>
      <c r="E44">
        <v>174.24879999999999</v>
      </c>
      <c r="G44" s="2">
        <v>10</v>
      </c>
      <c r="H44" s="2">
        <f t="shared" si="0"/>
        <v>1</v>
      </c>
      <c r="I44" s="2">
        <f t="shared" si="2"/>
        <v>5</v>
      </c>
    </row>
    <row r="45" spans="1:26" x14ac:dyDescent="0.25">
      <c r="A45">
        <v>2</v>
      </c>
      <c r="B45">
        <v>327.65980000000002</v>
      </c>
      <c r="C45">
        <v>65.000439999999998</v>
      </c>
      <c r="D45">
        <v>1643.249</v>
      </c>
      <c r="E45">
        <v>172.90360000000001</v>
      </c>
      <c r="G45" s="2">
        <v>14.6</v>
      </c>
      <c r="H45" s="2">
        <f t="shared" si="0"/>
        <v>1.1643528557844371</v>
      </c>
      <c r="I45" s="2">
        <f t="shared" si="2"/>
        <v>5.1643528557844371</v>
      </c>
      <c r="L45" s="1"/>
    </row>
    <row r="46" spans="1:26" x14ac:dyDescent="0.25">
      <c r="A46">
        <v>2</v>
      </c>
      <c r="B46">
        <v>328.27480000000003</v>
      </c>
      <c r="C46">
        <v>65.000219999999999</v>
      </c>
      <c r="D46">
        <v>1684.2809999999999</v>
      </c>
      <c r="E46">
        <v>172.41560000000001</v>
      </c>
      <c r="G46" s="2">
        <v>21.5</v>
      </c>
      <c r="H46" s="2">
        <f t="shared" si="0"/>
        <v>1.3324384599156054</v>
      </c>
      <c r="I46" s="2">
        <f t="shared" si="2"/>
        <v>5.3324384599156058</v>
      </c>
      <c r="L46" s="1"/>
    </row>
    <row r="47" spans="1:26" x14ac:dyDescent="0.25">
      <c r="A47">
        <v>2</v>
      </c>
      <c r="B47">
        <v>329.3895</v>
      </c>
      <c r="C47">
        <v>65.000510000000006</v>
      </c>
      <c r="D47">
        <v>1724.9110000000001</v>
      </c>
      <c r="E47">
        <v>171.94540000000001</v>
      </c>
      <c r="G47" s="2">
        <v>31.6</v>
      </c>
      <c r="H47" s="2">
        <f t="shared" si="0"/>
        <v>1.4996870826184039</v>
      </c>
      <c r="I47" s="2">
        <f t="shared" si="2"/>
        <v>5.4996870826184043</v>
      </c>
      <c r="L47" s="1"/>
    </row>
    <row r="48" spans="1:26" x14ac:dyDescent="0.25">
      <c r="A48">
        <v>2</v>
      </c>
      <c r="B48">
        <v>330.60410000000002</v>
      </c>
      <c r="C48">
        <v>65.000039999999998</v>
      </c>
      <c r="D48">
        <v>1761.61</v>
      </c>
      <c r="E48">
        <v>170.9248</v>
      </c>
      <c r="G48" s="2">
        <v>46.4</v>
      </c>
      <c r="H48" s="2">
        <f t="shared" si="0"/>
        <v>1.6665179805548809</v>
      </c>
      <c r="I48" s="2">
        <f t="shared" si="2"/>
        <v>5.6665179805548807</v>
      </c>
      <c r="L48" s="1"/>
    </row>
    <row r="49" spans="1:12" x14ac:dyDescent="0.25">
      <c r="A49">
        <v>2</v>
      </c>
      <c r="B49">
        <v>331.01870000000002</v>
      </c>
      <c r="C49">
        <v>65.000360000000001</v>
      </c>
      <c r="D49">
        <v>1801.5840000000001</v>
      </c>
      <c r="E49">
        <v>169.36510000000001</v>
      </c>
      <c r="G49" s="2">
        <v>68</v>
      </c>
      <c r="H49" s="2">
        <f t="shared" si="0"/>
        <v>1.8325089127062364</v>
      </c>
      <c r="I49" s="2">
        <f t="shared" si="2"/>
        <v>5.8325089127062366</v>
      </c>
      <c r="L49" s="1"/>
    </row>
    <row r="50" spans="1:12" x14ac:dyDescent="0.25">
      <c r="A50">
        <v>2</v>
      </c>
      <c r="B50">
        <v>331.3005</v>
      </c>
      <c r="C50">
        <v>64.999759999999995</v>
      </c>
      <c r="D50">
        <v>1822.0229999999999</v>
      </c>
      <c r="E50">
        <v>171.3306</v>
      </c>
      <c r="G50" s="2">
        <v>100</v>
      </c>
      <c r="H50" s="2">
        <f t="shared" si="0"/>
        <v>2</v>
      </c>
      <c r="I50" s="2">
        <f t="shared" si="2"/>
        <v>6</v>
      </c>
      <c r="L50" s="1"/>
    </row>
    <row r="51" spans="1:12" x14ac:dyDescent="0.25">
      <c r="A51" s="2">
        <f>Z33</f>
        <v>-1.7</v>
      </c>
      <c r="B51">
        <v>7.9569999999999999</v>
      </c>
      <c r="C51">
        <v>69.984780000000001</v>
      </c>
      <c r="D51">
        <v>493.78960000000001</v>
      </c>
      <c r="E51">
        <v>200.56100000000001</v>
      </c>
      <c r="G51" s="2">
        <v>0.1</v>
      </c>
      <c r="H51" s="2">
        <f t="shared" si="0"/>
        <v>-1</v>
      </c>
      <c r="I51" s="2">
        <f>H51-$A$51</f>
        <v>0.7</v>
      </c>
      <c r="L51" s="1"/>
    </row>
    <row r="52" spans="1:12" x14ac:dyDescent="0.25">
      <c r="A52">
        <v>3</v>
      </c>
      <c r="B52">
        <v>12.04025</v>
      </c>
      <c r="C52">
        <v>69.996499999999997</v>
      </c>
      <c r="D52">
        <v>473.6807</v>
      </c>
      <c r="E52">
        <v>194.85659999999999</v>
      </c>
      <c r="G52" s="2">
        <v>0.15</v>
      </c>
      <c r="H52" s="2">
        <f t="shared" si="0"/>
        <v>-0.82390874094431876</v>
      </c>
      <c r="I52" s="2">
        <f t="shared" ref="I52:I69" si="3">H52-$A$51</f>
        <v>0.87609125905568119</v>
      </c>
      <c r="L52" s="1"/>
    </row>
    <row r="53" spans="1:12" x14ac:dyDescent="0.25">
      <c r="A53">
        <v>3</v>
      </c>
      <c r="B53">
        <v>20.25638</v>
      </c>
      <c r="C53">
        <v>69.997380000000007</v>
      </c>
      <c r="D53">
        <v>489.50259999999997</v>
      </c>
      <c r="E53">
        <v>195.88669999999999</v>
      </c>
      <c r="G53" s="2">
        <v>0.22</v>
      </c>
      <c r="H53" s="2">
        <f t="shared" si="0"/>
        <v>-0.65757731917779372</v>
      </c>
      <c r="I53" s="2">
        <f t="shared" si="3"/>
        <v>1.0424226808222063</v>
      </c>
      <c r="L53" s="1"/>
    </row>
    <row r="54" spans="1:12" x14ac:dyDescent="0.25">
      <c r="A54">
        <v>3</v>
      </c>
      <c r="B54">
        <v>28.630710000000001</v>
      </c>
      <c r="C54">
        <v>70.000950000000003</v>
      </c>
      <c r="D54">
        <v>534.02890000000002</v>
      </c>
      <c r="E54">
        <v>198.8818</v>
      </c>
      <c r="G54" s="2">
        <v>0.32</v>
      </c>
      <c r="H54" s="2">
        <f t="shared" si="0"/>
        <v>-0.49485002168009401</v>
      </c>
      <c r="I54" s="2">
        <f t="shared" si="3"/>
        <v>1.205149978319906</v>
      </c>
      <c r="L54" s="1"/>
    </row>
    <row r="55" spans="1:12" x14ac:dyDescent="0.25">
      <c r="A55">
        <v>3</v>
      </c>
      <c r="B55">
        <v>37.005040000000001</v>
      </c>
      <c r="C55">
        <v>70.000919999999994</v>
      </c>
      <c r="D55">
        <v>577.97180000000003</v>
      </c>
      <c r="E55">
        <v>201.3202</v>
      </c>
      <c r="G55" s="2">
        <v>0.46</v>
      </c>
      <c r="H55" s="2">
        <f t="shared" si="0"/>
        <v>-0.33724216831842591</v>
      </c>
      <c r="I55" s="2">
        <f t="shared" si="3"/>
        <v>1.3627578316815741</v>
      </c>
      <c r="L55" s="1"/>
    </row>
    <row r="56" spans="1:12" x14ac:dyDescent="0.25">
      <c r="A56">
        <v>3</v>
      </c>
      <c r="B56">
        <v>45.379379999999998</v>
      </c>
      <c r="C56">
        <v>70.000690000000006</v>
      </c>
      <c r="D56">
        <v>625.17610000000002</v>
      </c>
      <c r="E56">
        <v>203.14150000000001</v>
      </c>
      <c r="G56" s="2">
        <v>0.68</v>
      </c>
      <c r="H56" s="2">
        <f t="shared" si="0"/>
        <v>-0.16749108729376366</v>
      </c>
      <c r="I56" s="2">
        <f t="shared" si="3"/>
        <v>1.5325089127062363</v>
      </c>
      <c r="L56" s="1"/>
    </row>
    <row r="57" spans="1:12" x14ac:dyDescent="0.25">
      <c r="A57">
        <v>3</v>
      </c>
      <c r="B57">
        <v>47.218339999999998</v>
      </c>
      <c r="C57">
        <v>70.000559999999993</v>
      </c>
      <c r="D57">
        <v>673.65089999999998</v>
      </c>
      <c r="E57">
        <v>204.6474</v>
      </c>
      <c r="G57" s="2">
        <v>1</v>
      </c>
      <c r="H57" s="2">
        <f t="shared" si="0"/>
        <v>0</v>
      </c>
      <c r="I57" s="2">
        <f t="shared" si="3"/>
        <v>1.7</v>
      </c>
      <c r="L57" s="1"/>
    </row>
    <row r="58" spans="1:12" x14ac:dyDescent="0.25">
      <c r="A58">
        <v>3</v>
      </c>
      <c r="B58">
        <v>47.557169999999999</v>
      </c>
      <c r="C58">
        <v>70.000399999999999</v>
      </c>
      <c r="D58">
        <v>723.61030000000005</v>
      </c>
      <c r="E58">
        <v>205.49760000000001</v>
      </c>
      <c r="G58" s="2">
        <v>1.5</v>
      </c>
      <c r="H58" s="2">
        <f t="shared" si="0"/>
        <v>0.17609125905568124</v>
      </c>
      <c r="I58" s="2">
        <f t="shared" si="3"/>
        <v>1.8760912590556811</v>
      </c>
      <c r="L58" s="1"/>
    </row>
    <row r="59" spans="1:12" x14ac:dyDescent="0.25">
      <c r="A59">
        <v>3</v>
      </c>
      <c r="B59">
        <v>48.996499999999997</v>
      </c>
      <c r="C59">
        <v>70.000410000000002</v>
      </c>
      <c r="D59">
        <v>768.02189999999996</v>
      </c>
      <c r="E59">
        <v>205.53380000000001</v>
      </c>
      <c r="G59" s="2">
        <v>2.2000000000000002</v>
      </c>
      <c r="H59" s="2">
        <f t="shared" si="0"/>
        <v>0.34242268082220628</v>
      </c>
      <c r="I59" s="2">
        <f t="shared" si="3"/>
        <v>2.0424226808222063</v>
      </c>
      <c r="L59" s="1"/>
    </row>
    <row r="60" spans="1:12" x14ac:dyDescent="0.25">
      <c r="A60">
        <v>3</v>
      </c>
      <c r="B60">
        <v>50.702500000000001</v>
      </c>
      <c r="C60">
        <v>70.001149999999996</v>
      </c>
      <c r="D60">
        <v>811.76710000000003</v>
      </c>
      <c r="E60">
        <v>205.13499999999999</v>
      </c>
      <c r="G60" s="2">
        <v>3.2</v>
      </c>
      <c r="H60" s="2">
        <f t="shared" si="0"/>
        <v>0.50514997831990605</v>
      </c>
      <c r="I60" s="2">
        <f t="shared" si="3"/>
        <v>2.205149978319906</v>
      </c>
      <c r="L60" s="1"/>
    </row>
    <row r="61" spans="1:12" x14ac:dyDescent="0.25">
      <c r="A61">
        <v>3</v>
      </c>
      <c r="B61">
        <v>52.239840000000001</v>
      </c>
      <c r="C61">
        <v>70.000630000000001</v>
      </c>
      <c r="D61">
        <v>854.01580000000001</v>
      </c>
      <c r="E61">
        <v>204.43870000000001</v>
      </c>
      <c r="G61" s="2">
        <v>4.5999999999999996</v>
      </c>
      <c r="H61" s="2">
        <f t="shared" si="0"/>
        <v>0.66275783168157409</v>
      </c>
      <c r="I61" s="2">
        <f t="shared" si="3"/>
        <v>2.3627578316815741</v>
      </c>
      <c r="L61" s="1"/>
    </row>
    <row r="62" spans="1:12" x14ac:dyDescent="0.25">
      <c r="A62">
        <v>3</v>
      </c>
      <c r="B62">
        <v>53.777169999999998</v>
      </c>
      <c r="C62">
        <v>70.000259999999997</v>
      </c>
      <c r="D62">
        <v>898.55489999999998</v>
      </c>
      <c r="E62">
        <v>203.3218</v>
      </c>
      <c r="G62" s="2">
        <v>6.8</v>
      </c>
      <c r="H62" s="2">
        <f t="shared" si="0"/>
        <v>0.83250891270623628</v>
      </c>
      <c r="I62" s="2">
        <f t="shared" si="3"/>
        <v>2.5325089127062363</v>
      </c>
      <c r="L62" s="1"/>
    </row>
    <row r="63" spans="1:12" x14ac:dyDescent="0.25">
      <c r="A63">
        <v>3</v>
      </c>
      <c r="B63">
        <v>54.264330000000001</v>
      </c>
      <c r="C63">
        <v>70.000380000000007</v>
      </c>
      <c r="D63">
        <v>944.40710000000001</v>
      </c>
      <c r="E63">
        <v>202.2379</v>
      </c>
      <c r="G63" s="2">
        <v>10</v>
      </c>
      <c r="H63" s="2">
        <f t="shared" si="0"/>
        <v>1</v>
      </c>
      <c r="I63" s="2">
        <f t="shared" si="3"/>
        <v>2.7</v>
      </c>
      <c r="L63" s="1"/>
    </row>
    <row r="64" spans="1:12" x14ac:dyDescent="0.25">
      <c r="A64">
        <v>3</v>
      </c>
      <c r="B64">
        <v>54.917999999999999</v>
      </c>
      <c r="C64">
        <v>70.000380000000007</v>
      </c>
      <c r="D64">
        <v>985.64469999999994</v>
      </c>
      <c r="E64">
        <v>201.18299999999999</v>
      </c>
      <c r="G64" s="2">
        <v>14.6</v>
      </c>
      <c r="H64" s="2">
        <f t="shared" si="0"/>
        <v>1.1643528557844371</v>
      </c>
      <c r="I64" s="2">
        <f t="shared" si="3"/>
        <v>2.8643528557844373</v>
      </c>
      <c r="L64" s="1"/>
    </row>
    <row r="65" spans="1:12" x14ac:dyDescent="0.25">
      <c r="A65">
        <v>3</v>
      </c>
      <c r="B65">
        <v>55.355179999999997</v>
      </c>
      <c r="C65">
        <v>70.000380000000007</v>
      </c>
      <c r="D65">
        <v>1029.2239999999999</v>
      </c>
      <c r="E65">
        <v>200.12530000000001</v>
      </c>
      <c r="G65" s="2">
        <v>21.5</v>
      </c>
      <c r="H65" s="2">
        <f t="shared" si="0"/>
        <v>1.3324384599156054</v>
      </c>
      <c r="I65" s="2">
        <f t="shared" si="3"/>
        <v>3.0324384599156051</v>
      </c>
      <c r="L65" s="1"/>
    </row>
    <row r="66" spans="1:12" x14ac:dyDescent="0.25">
      <c r="A66">
        <v>3</v>
      </c>
      <c r="B66">
        <v>56.042340000000003</v>
      </c>
      <c r="C66">
        <v>70.00018</v>
      </c>
      <c r="D66">
        <v>1069.7850000000001</v>
      </c>
      <c r="E66">
        <v>199.3049</v>
      </c>
      <c r="G66" s="2">
        <v>31.6</v>
      </c>
      <c r="H66" s="2">
        <f t="shared" si="0"/>
        <v>1.4996870826184039</v>
      </c>
      <c r="I66" s="2">
        <f t="shared" si="3"/>
        <v>3.1996870826184036</v>
      </c>
      <c r="L66" s="1"/>
    </row>
    <row r="67" spans="1:12" x14ac:dyDescent="0.25">
      <c r="A67">
        <v>3</v>
      </c>
      <c r="B67">
        <v>56.829500000000003</v>
      </c>
      <c r="C67">
        <v>70.000739999999993</v>
      </c>
      <c r="D67">
        <v>1106.345</v>
      </c>
      <c r="E67">
        <v>197.4299</v>
      </c>
      <c r="G67" s="2">
        <v>46.4</v>
      </c>
      <c r="H67" s="2">
        <f t="shared" si="0"/>
        <v>1.6665179805548809</v>
      </c>
      <c r="I67" s="2">
        <f t="shared" si="3"/>
        <v>3.3665179805548808</v>
      </c>
      <c r="L67" s="1"/>
    </row>
    <row r="68" spans="1:12" x14ac:dyDescent="0.25">
      <c r="A68">
        <v>3</v>
      </c>
      <c r="B68">
        <v>57.168500000000002</v>
      </c>
      <c r="C68">
        <v>70.001469999999998</v>
      </c>
      <c r="D68">
        <v>1149.43</v>
      </c>
      <c r="E68">
        <v>195.29759999999999</v>
      </c>
      <c r="G68" s="2">
        <v>68</v>
      </c>
      <c r="H68" s="2">
        <f t="shared" ref="H68:H131" si="4">LOG(G68)</f>
        <v>1.8325089127062364</v>
      </c>
      <c r="I68" s="2">
        <f t="shared" si="3"/>
        <v>3.5325089127062363</v>
      </c>
      <c r="L68" s="1"/>
    </row>
    <row r="69" spans="1:12" x14ac:dyDescent="0.25">
      <c r="A69">
        <v>3</v>
      </c>
      <c r="B69">
        <v>57.375500000000002</v>
      </c>
      <c r="C69">
        <v>70.000900000000001</v>
      </c>
      <c r="D69">
        <v>1178.6010000000001</v>
      </c>
      <c r="E69">
        <v>195.6062</v>
      </c>
      <c r="G69" s="2">
        <v>100</v>
      </c>
      <c r="H69" s="2">
        <f t="shared" si="4"/>
        <v>2</v>
      </c>
      <c r="I69" s="2">
        <f t="shared" si="3"/>
        <v>3.7</v>
      </c>
      <c r="L69" s="1"/>
    </row>
    <row r="70" spans="1:12" x14ac:dyDescent="0.25">
      <c r="A70" s="2">
        <f>Z34</f>
        <v>0</v>
      </c>
      <c r="B70">
        <v>69.103840000000005</v>
      </c>
      <c r="C70">
        <v>74.999750000000006</v>
      </c>
      <c r="D70">
        <v>93.074820000000003</v>
      </c>
      <c r="E70">
        <v>77.794880000000006</v>
      </c>
      <c r="G70" s="2">
        <v>0.1</v>
      </c>
      <c r="H70" s="2">
        <f t="shared" si="4"/>
        <v>-1</v>
      </c>
      <c r="I70" s="2">
        <f>H70-$A$70</f>
        <v>-1</v>
      </c>
      <c r="L70" s="1"/>
    </row>
    <row r="71" spans="1:12" x14ac:dyDescent="0.25">
      <c r="A71">
        <v>4</v>
      </c>
      <c r="B71">
        <v>72.144750000000002</v>
      </c>
      <c r="C71">
        <v>74.999030000000005</v>
      </c>
      <c r="D71">
        <v>109.4228</v>
      </c>
      <c r="E71">
        <v>88.576490000000007</v>
      </c>
      <c r="G71" s="2">
        <v>0.15</v>
      </c>
      <c r="H71" s="2">
        <f t="shared" si="4"/>
        <v>-0.82390874094431876</v>
      </c>
      <c r="I71" s="2">
        <f t="shared" ref="I71:I88" si="5">H71-$A$70</f>
        <v>-0.82390874094431876</v>
      </c>
      <c r="L71" s="1"/>
    </row>
    <row r="72" spans="1:12" x14ac:dyDescent="0.25">
      <c r="A72">
        <v>4</v>
      </c>
      <c r="B72">
        <v>80.388379999999998</v>
      </c>
      <c r="C72">
        <v>74.999700000000004</v>
      </c>
      <c r="D72">
        <v>128.88489999999999</v>
      </c>
      <c r="E72">
        <v>99.651840000000007</v>
      </c>
      <c r="G72" s="2">
        <v>0.22</v>
      </c>
      <c r="H72" s="2">
        <f t="shared" si="4"/>
        <v>-0.65757731917779372</v>
      </c>
      <c r="I72" s="2">
        <f t="shared" si="5"/>
        <v>-0.65757731917779372</v>
      </c>
      <c r="L72" s="1"/>
    </row>
    <row r="73" spans="1:12" x14ac:dyDescent="0.25">
      <c r="A73">
        <v>4</v>
      </c>
      <c r="B73">
        <v>90.470200000000006</v>
      </c>
      <c r="C73">
        <v>75.000299999999996</v>
      </c>
      <c r="D73">
        <v>154.1653</v>
      </c>
      <c r="E73">
        <v>112.31480000000001</v>
      </c>
      <c r="G73" s="2">
        <v>0.32</v>
      </c>
      <c r="H73" s="2">
        <f t="shared" si="4"/>
        <v>-0.49485002168009401</v>
      </c>
      <c r="I73" s="2">
        <f t="shared" si="5"/>
        <v>-0.49485002168009401</v>
      </c>
      <c r="L73" s="1"/>
    </row>
    <row r="74" spans="1:12" x14ac:dyDescent="0.25">
      <c r="A74">
        <v>4</v>
      </c>
      <c r="B74">
        <v>100.5472</v>
      </c>
      <c r="C74">
        <v>74.99991</v>
      </c>
      <c r="D74">
        <v>182.3681</v>
      </c>
      <c r="E74">
        <v>124.90009999999999</v>
      </c>
      <c r="G74" s="2">
        <v>0.46</v>
      </c>
      <c r="H74" s="2">
        <f t="shared" si="4"/>
        <v>-0.33724216831842591</v>
      </c>
      <c r="I74" s="2">
        <f t="shared" si="5"/>
        <v>-0.33724216831842591</v>
      </c>
      <c r="L74" s="1"/>
    </row>
    <row r="75" spans="1:12" x14ac:dyDescent="0.25">
      <c r="A75">
        <v>4</v>
      </c>
      <c r="B75">
        <v>109.7867</v>
      </c>
      <c r="C75">
        <v>75.00009</v>
      </c>
      <c r="D75">
        <v>215.51169999999999</v>
      </c>
      <c r="E75">
        <v>137.9513</v>
      </c>
      <c r="G75" s="2">
        <v>0.68</v>
      </c>
      <c r="H75" s="2">
        <f t="shared" si="4"/>
        <v>-0.16749108729376366</v>
      </c>
      <c r="I75" s="2">
        <f t="shared" si="5"/>
        <v>-0.16749108729376366</v>
      </c>
      <c r="L75" s="1"/>
    </row>
    <row r="76" spans="1:12" x14ac:dyDescent="0.25">
      <c r="A76">
        <v>4</v>
      </c>
      <c r="B76">
        <v>111.6658</v>
      </c>
      <c r="C76">
        <v>75.000489999999999</v>
      </c>
      <c r="D76">
        <v>249.88120000000001</v>
      </c>
      <c r="E76">
        <v>149.97290000000001</v>
      </c>
      <c r="G76" s="2">
        <v>1</v>
      </c>
      <c r="H76" s="2">
        <f t="shared" si="4"/>
        <v>0</v>
      </c>
      <c r="I76" s="2">
        <f t="shared" si="5"/>
        <v>0</v>
      </c>
      <c r="L76" s="1"/>
    </row>
    <row r="77" spans="1:12" x14ac:dyDescent="0.25">
      <c r="A77">
        <v>4</v>
      </c>
      <c r="B77">
        <v>112.057</v>
      </c>
      <c r="C77">
        <v>74.999899999999997</v>
      </c>
      <c r="D77">
        <v>288.8802</v>
      </c>
      <c r="E77">
        <v>162.28559999999999</v>
      </c>
      <c r="G77" s="2">
        <v>1.5</v>
      </c>
      <c r="H77" s="2">
        <f t="shared" si="4"/>
        <v>0.17609125905568124</v>
      </c>
      <c r="I77" s="2">
        <f t="shared" si="5"/>
        <v>0.17609125905568124</v>
      </c>
    </row>
    <row r="78" spans="1:12" x14ac:dyDescent="0.25">
      <c r="A78">
        <v>4</v>
      </c>
      <c r="B78">
        <v>113.511</v>
      </c>
      <c r="C78">
        <v>75</v>
      </c>
      <c r="D78">
        <v>328.45100000000002</v>
      </c>
      <c r="E78">
        <v>172.8466</v>
      </c>
      <c r="G78" s="2">
        <v>2.2000000000000002</v>
      </c>
      <c r="H78" s="2">
        <f t="shared" si="4"/>
        <v>0.34242268082220628</v>
      </c>
      <c r="I78" s="2">
        <f t="shared" si="5"/>
        <v>0.34242268082220628</v>
      </c>
      <c r="L78" s="1"/>
    </row>
    <row r="79" spans="1:12" x14ac:dyDescent="0.25">
      <c r="A79">
        <v>4</v>
      </c>
      <c r="B79">
        <v>115.22929999999999</v>
      </c>
      <c r="C79">
        <v>75.000410000000002</v>
      </c>
      <c r="D79">
        <v>369.19830000000002</v>
      </c>
      <c r="E79">
        <v>182.34350000000001</v>
      </c>
      <c r="G79" s="2">
        <v>3.2</v>
      </c>
      <c r="H79" s="2">
        <f t="shared" si="4"/>
        <v>0.50514997831990605</v>
      </c>
      <c r="I79" s="2">
        <f t="shared" si="5"/>
        <v>0.50514997831990605</v>
      </c>
      <c r="L79" s="1"/>
    </row>
    <row r="80" spans="1:12" x14ac:dyDescent="0.25">
      <c r="A80">
        <v>4</v>
      </c>
      <c r="B80">
        <v>116.9462</v>
      </c>
      <c r="C80">
        <v>74.999750000000006</v>
      </c>
      <c r="D80">
        <v>410.37830000000002</v>
      </c>
      <c r="E80">
        <v>190.55709999999999</v>
      </c>
      <c r="G80" s="2">
        <v>4.5999999999999996</v>
      </c>
      <c r="H80" s="2">
        <f t="shared" si="4"/>
        <v>0.66275783168157409</v>
      </c>
      <c r="I80" s="2">
        <f t="shared" si="5"/>
        <v>0.66275783168157409</v>
      </c>
      <c r="L80" s="1"/>
    </row>
    <row r="81" spans="1:12" x14ac:dyDescent="0.25">
      <c r="A81">
        <v>4</v>
      </c>
      <c r="B81">
        <v>118.6615</v>
      </c>
      <c r="C81">
        <v>75.00009</v>
      </c>
      <c r="D81">
        <v>456.12299999999999</v>
      </c>
      <c r="E81">
        <v>198.3502</v>
      </c>
      <c r="G81" s="2">
        <v>6.8</v>
      </c>
      <c r="H81" s="2">
        <f t="shared" si="4"/>
        <v>0.83250891270623628</v>
      </c>
      <c r="I81" s="2">
        <f t="shared" si="5"/>
        <v>0.83250891270623628</v>
      </c>
      <c r="L81" s="1"/>
    </row>
    <row r="82" spans="1:12" x14ac:dyDescent="0.25">
      <c r="A82">
        <v>4</v>
      </c>
      <c r="B82">
        <v>119.17449999999999</v>
      </c>
      <c r="C82">
        <v>75.000140000000002</v>
      </c>
      <c r="D82">
        <v>502.37459999999999</v>
      </c>
      <c r="E82">
        <v>205.17660000000001</v>
      </c>
      <c r="G82" s="2">
        <v>10</v>
      </c>
      <c r="H82" s="2">
        <f t="shared" si="4"/>
        <v>1</v>
      </c>
      <c r="I82" s="2">
        <f t="shared" si="5"/>
        <v>1</v>
      </c>
      <c r="L82" s="1"/>
    </row>
    <row r="83" spans="1:12" x14ac:dyDescent="0.25">
      <c r="A83">
        <v>4</v>
      </c>
      <c r="B83">
        <v>119.9203</v>
      </c>
      <c r="C83">
        <v>75.000380000000007</v>
      </c>
      <c r="D83">
        <v>548.73760000000004</v>
      </c>
      <c r="E83">
        <v>210.61160000000001</v>
      </c>
      <c r="G83" s="2">
        <v>14.6</v>
      </c>
      <c r="H83" s="2">
        <f t="shared" si="4"/>
        <v>1.1643528557844371</v>
      </c>
      <c r="I83" s="2">
        <f t="shared" si="5"/>
        <v>1.1643528557844371</v>
      </c>
      <c r="L83" s="1"/>
    </row>
    <row r="84" spans="1:12" x14ac:dyDescent="0.25">
      <c r="A84">
        <v>4</v>
      </c>
      <c r="B84">
        <v>120.3993</v>
      </c>
      <c r="C84">
        <v>75.000559999999993</v>
      </c>
      <c r="D84">
        <v>596.5068</v>
      </c>
      <c r="E84">
        <v>215.63839999999999</v>
      </c>
      <c r="G84" s="2">
        <v>21.5</v>
      </c>
      <c r="H84" s="2">
        <f t="shared" si="4"/>
        <v>1.3324384599156054</v>
      </c>
      <c r="I84" s="2">
        <f t="shared" si="5"/>
        <v>1.3324384599156054</v>
      </c>
      <c r="L84" s="1"/>
    </row>
    <row r="85" spans="1:12" x14ac:dyDescent="0.25">
      <c r="A85">
        <v>4</v>
      </c>
      <c r="B85">
        <v>121.17829999999999</v>
      </c>
      <c r="C85">
        <v>75.000410000000002</v>
      </c>
      <c r="D85">
        <v>643.90800000000002</v>
      </c>
      <c r="E85">
        <v>219.5342</v>
      </c>
      <c r="G85" s="2">
        <v>31.6</v>
      </c>
      <c r="H85" s="2">
        <f t="shared" si="4"/>
        <v>1.4996870826184039</v>
      </c>
      <c r="I85" s="2">
        <f t="shared" si="5"/>
        <v>1.4996870826184039</v>
      </c>
      <c r="L85" s="1"/>
    </row>
    <row r="86" spans="1:12" x14ac:dyDescent="0.25">
      <c r="A86">
        <v>4</v>
      </c>
      <c r="B86">
        <v>122.05929999999999</v>
      </c>
      <c r="C86">
        <v>75.000489999999999</v>
      </c>
      <c r="D86">
        <v>687.67489999999998</v>
      </c>
      <c r="E86">
        <v>220.78319999999999</v>
      </c>
      <c r="G86" s="2">
        <v>46.4</v>
      </c>
      <c r="H86" s="2">
        <f t="shared" si="4"/>
        <v>1.6665179805548809</v>
      </c>
      <c r="I86" s="2">
        <f t="shared" si="5"/>
        <v>1.6665179805548809</v>
      </c>
      <c r="L86" s="1"/>
    </row>
    <row r="87" spans="1:12" x14ac:dyDescent="0.25">
      <c r="A87">
        <v>4</v>
      </c>
      <c r="B87">
        <v>122.4118</v>
      </c>
      <c r="C87">
        <v>75.000609999999995</v>
      </c>
      <c r="D87">
        <v>732.81979999999999</v>
      </c>
      <c r="E87">
        <v>222.10560000000001</v>
      </c>
      <c r="G87" s="2">
        <v>68</v>
      </c>
      <c r="H87" s="2">
        <f t="shared" si="4"/>
        <v>1.8325089127062364</v>
      </c>
      <c r="I87" s="2">
        <f t="shared" si="5"/>
        <v>1.8325089127062364</v>
      </c>
      <c r="L87" s="1"/>
    </row>
    <row r="88" spans="1:12" x14ac:dyDescent="0.25">
      <c r="A88">
        <v>4</v>
      </c>
      <c r="B88">
        <v>122.642</v>
      </c>
      <c r="C88">
        <v>75.001130000000003</v>
      </c>
      <c r="D88">
        <v>768.28710000000001</v>
      </c>
      <c r="E88">
        <v>224.6848</v>
      </c>
      <c r="G88" s="2">
        <v>100</v>
      </c>
      <c r="H88" s="2">
        <f t="shared" si="4"/>
        <v>2</v>
      </c>
      <c r="I88" s="2">
        <f t="shared" si="5"/>
        <v>2</v>
      </c>
      <c r="L88" s="1"/>
    </row>
    <row r="89" spans="1:12" x14ac:dyDescent="0.25">
      <c r="A89" s="2">
        <f>Z35</f>
        <v>1</v>
      </c>
      <c r="B89">
        <v>132.79900000000001</v>
      </c>
      <c r="C89">
        <v>79.974890000000002</v>
      </c>
      <c r="D89">
        <v>26.106940000000002</v>
      </c>
      <c r="E89">
        <v>19.190460000000002</v>
      </c>
      <c r="G89" s="2">
        <v>0.1</v>
      </c>
      <c r="H89" s="2">
        <f t="shared" si="4"/>
        <v>-1</v>
      </c>
      <c r="I89" s="2">
        <f>H89-$A$89</f>
        <v>-2</v>
      </c>
      <c r="L89" s="1"/>
    </row>
    <row r="90" spans="1:12" x14ac:dyDescent="0.25">
      <c r="A90">
        <v>5</v>
      </c>
      <c r="B90">
        <v>137.23840000000001</v>
      </c>
      <c r="C90">
        <v>79.998469999999998</v>
      </c>
      <c r="D90">
        <v>29.332159999999998</v>
      </c>
      <c r="E90">
        <v>22.786760000000001</v>
      </c>
      <c r="G90" s="2">
        <v>0.15</v>
      </c>
      <c r="H90" s="2">
        <f t="shared" si="4"/>
        <v>-0.82390874094431876</v>
      </c>
      <c r="I90" s="2">
        <f t="shared" ref="I90:I107" si="6">H90-$A$89</f>
        <v>-1.8239087409443187</v>
      </c>
      <c r="L90" s="1"/>
    </row>
    <row r="91" spans="1:12" x14ac:dyDescent="0.25">
      <c r="A91">
        <v>5</v>
      </c>
      <c r="B91">
        <v>147.15770000000001</v>
      </c>
      <c r="C91">
        <v>79.999939999999995</v>
      </c>
      <c r="D91">
        <v>34.350360000000002</v>
      </c>
      <c r="E91">
        <v>27.979320000000001</v>
      </c>
      <c r="G91" s="2">
        <v>0.22</v>
      </c>
      <c r="H91" s="2">
        <f t="shared" si="4"/>
        <v>-0.65757731917779372</v>
      </c>
      <c r="I91" s="2">
        <f t="shared" si="6"/>
        <v>-1.6575773191777938</v>
      </c>
      <c r="L91" s="1"/>
    </row>
    <row r="92" spans="1:12" x14ac:dyDescent="0.25">
      <c r="A92">
        <v>5</v>
      </c>
      <c r="B92">
        <v>158.08019999999999</v>
      </c>
      <c r="C92">
        <v>80.000069999999994</v>
      </c>
      <c r="D92">
        <v>41.194580000000002</v>
      </c>
      <c r="E92">
        <v>34.702199999999998</v>
      </c>
      <c r="G92" s="2">
        <v>0.32</v>
      </c>
      <c r="H92" s="2">
        <f t="shared" si="4"/>
        <v>-0.49485002168009401</v>
      </c>
      <c r="I92" s="2">
        <f t="shared" si="6"/>
        <v>-1.494850021680094</v>
      </c>
      <c r="L92" s="1"/>
    </row>
    <row r="93" spans="1:12" x14ac:dyDescent="0.25">
      <c r="A93">
        <v>5</v>
      </c>
      <c r="B93">
        <v>168.9992</v>
      </c>
      <c r="C93">
        <v>80.000100000000003</v>
      </c>
      <c r="D93">
        <v>49.47898</v>
      </c>
      <c r="E93">
        <v>42.382539999999999</v>
      </c>
      <c r="G93" s="2">
        <v>0.46</v>
      </c>
      <c r="H93" s="2">
        <f t="shared" si="4"/>
        <v>-0.33724216831842591</v>
      </c>
      <c r="I93" s="2">
        <f t="shared" si="6"/>
        <v>-1.3372421683184259</v>
      </c>
      <c r="L93" s="1"/>
    </row>
    <row r="94" spans="1:12" x14ac:dyDescent="0.25">
      <c r="A94">
        <v>5</v>
      </c>
      <c r="B94">
        <v>179.92320000000001</v>
      </c>
      <c r="C94">
        <v>80</v>
      </c>
      <c r="D94">
        <v>60.372979999999998</v>
      </c>
      <c r="E94">
        <v>51.809249999999999</v>
      </c>
      <c r="G94" s="2">
        <v>0.68</v>
      </c>
      <c r="H94" s="2">
        <f t="shared" si="4"/>
        <v>-0.16749108729376366</v>
      </c>
      <c r="I94" s="2">
        <f t="shared" si="6"/>
        <v>-1.1674910872937636</v>
      </c>
      <c r="L94" s="1"/>
    </row>
    <row r="95" spans="1:12" x14ac:dyDescent="0.25">
      <c r="A95">
        <v>5</v>
      </c>
      <c r="B95">
        <v>181.83580000000001</v>
      </c>
      <c r="C95">
        <v>79.999840000000006</v>
      </c>
      <c r="D95">
        <v>72.675399999999996</v>
      </c>
      <c r="E95">
        <v>61.88288</v>
      </c>
      <c r="G95" s="2">
        <v>1</v>
      </c>
      <c r="H95" s="2">
        <f t="shared" si="4"/>
        <v>0</v>
      </c>
      <c r="I95" s="2">
        <f t="shared" si="6"/>
        <v>-1</v>
      </c>
      <c r="L95" s="1"/>
    </row>
    <row r="96" spans="1:12" x14ac:dyDescent="0.25">
      <c r="A96">
        <v>5</v>
      </c>
      <c r="B96">
        <v>182.27950000000001</v>
      </c>
      <c r="C96">
        <v>80.000240000000005</v>
      </c>
      <c r="D96">
        <v>88.307119999999998</v>
      </c>
      <c r="E96">
        <v>73.680109999999999</v>
      </c>
      <c r="G96" s="2">
        <v>1.5</v>
      </c>
      <c r="H96" s="2">
        <f t="shared" si="4"/>
        <v>0.17609125905568124</v>
      </c>
      <c r="I96" s="2">
        <f t="shared" si="6"/>
        <v>-0.82390874094431876</v>
      </c>
      <c r="L96" s="1"/>
    </row>
    <row r="97" spans="1:12" x14ac:dyDescent="0.25">
      <c r="A97">
        <v>5</v>
      </c>
      <c r="B97">
        <v>184.08850000000001</v>
      </c>
      <c r="C97">
        <v>80.000240000000005</v>
      </c>
      <c r="D97">
        <v>106.28270000000001</v>
      </c>
      <c r="E97">
        <v>85.75788</v>
      </c>
      <c r="G97" s="2">
        <v>2.2000000000000002</v>
      </c>
      <c r="H97" s="2">
        <f t="shared" si="4"/>
        <v>0.34242268082220628</v>
      </c>
      <c r="I97" s="2">
        <f t="shared" si="6"/>
        <v>-0.65757731917779372</v>
      </c>
      <c r="L97" s="1"/>
    </row>
    <row r="98" spans="1:12" x14ac:dyDescent="0.25">
      <c r="A98">
        <v>5</v>
      </c>
      <c r="B98">
        <v>185.99420000000001</v>
      </c>
      <c r="C98">
        <v>80.000349999999997</v>
      </c>
      <c r="D98">
        <v>126.8644</v>
      </c>
      <c r="E98">
        <v>98.420450000000002</v>
      </c>
      <c r="G98" s="2">
        <v>3.2</v>
      </c>
      <c r="H98" s="2">
        <f t="shared" si="4"/>
        <v>0.50514997831990605</v>
      </c>
      <c r="I98" s="2">
        <f t="shared" si="6"/>
        <v>-0.49485002168009395</v>
      </c>
      <c r="L98" s="1"/>
    </row>
    <row r="99" spans="1:12" x14ac:dyDescent="0.25">
      <c r="A99">
        <v>5</v>
      </c>
      <c r="B99">
        <v>187.8938</v>
      </c>
      <c r="C99">
        <v>79.999719999999996</v>
      </c>
      <c r="D99">
        <v>149.83449999999999</v>
      </c>
      <c r="E99">
        <v>111.2137</v>
      </c>
      <c r="G99" s="2">
        <v>4.5999999999999996</v>
      </c>
      <c r="H99" s="2">
        <f t="shared" si="4"/>
        <v>0.66275783168157409</v>
      </c>
      <c r="I99" s="2">
        <f t="shared" si="6"/>
        <v>-0.33724216831842591</v>
      </c>
      <c r="L99" s="1"/>
    </row>
    <row r="100" spans="1:12" x14ac:dyDescent="0.25">
      <c r="A100">
        <v>5</v>
      </c>
      <c r="B100">
        <v>189.7877</v>
      </c>
      <c r="C100">
        <v>79.999650000000003</v>
      </c>
      <c r="D100">
        <v>178.0198</v>
      </c>
      <c r="E100">
        <v>125.3484</v>
      </c>
      <c r="G100" s="2">
        <v>6.8</v>
      </c>
      <c r="H100" s="2">
        <f t="shared" si="4"/>
        <v>0.83250891270623628</v>
      </c>
      <c r="I100" s="2">
        <f t="shared" si="6"/>
        <v>-0.16749108729376372</v>
      </c>
      <c r="L100" s="1"/>
    </row>
    <row r="101" spans="1:12" x14ac:dyDescent="0.25">
      <c r="A101">
        <v>5</v>
      </c>
      <c r="B101">
        <v>190.327</v>
      </c>
      <c r="C101">
        <v>79.999880000000005</v>
      </c>
      <c r="D101">
        <v>209.11369999999999</v>
      </c>
      <c r="E101">
        <v>139.40629999999999</v>
      </c>
      <c r="G101" s="2">
        <v>10</v>
      </c>
      <c r="H101" s="2">
        <f t="shared" si="4"/>
        <v>1</v>
      </c>
      <c r="I101" s="2">
        <f t="shared" si="6"/>
        <v>0</v>
      </c>
      <c r="L101" s="1"/>
    </row>
    <row r="102" spans="1:12" x14ac:dyDescent="0.25">
      <c r="A102">
        <v>5</v>
      </c>
      <c r="B102">
        <v>191.0795</v>
      </c>
      <c r="C102">
        <v>80.000339999999994</v>
      </c>
      <c r="D102">
        <v>242.95</v>
      </c>
      <c r="E102">
        <v>153.0369</v>
      </c>
      <c r="G102" s="2">
        <v>14.6</v>
      </c>
      <c r="H102" s="2">
        <f t="shared" si="4"/>
        <v>1.1643528557844371</v>
      </c>
      <c r="I102" s="2">
        <f t="shared" si="6"/>
        <v>0.16435285578443715</v>
      </c>
      <c r="L102" s="1"/>
    </row>
    <row r="103" spans="1:12" x14ac:dyDescent="0.25">
      <c r="A103">
        <v>5</v>
      </c>
      <c r="B103">
        <v>191.56399999999999</v>
      </c>
      <c r="C103">
        <v>80.000299999999996</v>
      </c>
      <c r="D103">
        <v>280.86399999999998</v>
      </c>
      <c r="E103">
        <v>166.86959999999999</v>
      </c>
      <c r="G103" s="2">
        <v>21.5</v>
      </c>
      <c r="H103" s="2">
        <f t="shared" si="4"/>
        <v>1.3324384599156054</v>
      </c>
      <c r="I103" s="2">
        <f t="shared" si="6"/>
        <v>0.33243845991560539</v>
      </c>
      <c r="L103" s="1"/>
    </row>
    <row r="104" spans="1:12" x14ac:dyDescent="0.25">
      <c r="A104">
        <v>5</v>
      </c>
      <c r="B104">
        <v>192.3485</v>
      </c>
      <c r="C104">
        <v>79.999899999999997</v>
      </c>
      <c r="D104">
        <v>322.17790000000002</v>
      </c>
      <c r="E104">
        <v>179.84540000000001</v>
      </c>
      <c r="G104" s="2">
        <v>31.6</v>
      </c>
      <c r="H104" s="2">
        <f t="shared" si="4"/>
        <v>1.4996870826184039</v>
      </c>
      <c r="I104" s="2">
        <f t="shared" si="6"/>
        <v>0.49968708261840389</v>
      </c>
      <c r="L104" s="1"/>
    </row>
    <row r="105" spans="1:12" x14ac:dyDescent="0.25">
      <c r="A105">
        <v>5</v>
      </c>
      <c r="B105">
        <v>193.2345</v>
      </c>
      <c r="C105">
        <v>80.000640000000004</v>
      </c>
      <c r="D105">
        <v>362.35820000000001</v>
      </c>
      <c r="E105">
        <v>190.33090000000001</v>
      </c>
      <c r="G105" s="2">
        <v>46.4</v>
      </c>
      <c r="H105" s="2">
        <f t="shared" si="4"/>
        <v>1.6665179805548809</v>
      </c>
      <c r="I105" s="2">
        <f t="shared" si="6"/>
        <v>0.66651798055488087</v>
      </c>
      <c r="L105" s="1"/>
    </row>
    <row r="106" spans="1:12" x14ac:dyDescent="0.25">
      <c r="A106">
        <v>5</v>
      </c>
      <c r="B106">
        <v>193.6003</v>
      </c>
      <c r="C106">
        <v>80.001059999999995</v>
      </c>
      <c r="D106">
        <v>408.33089999999999</v>
      </c>
      <c r="E106">
        <v>200.553</v>
      </c>
      <c r="G106" s="2">
        <v>68</v>
      </c>
      <c r="H106" s="2">
        <f t="shared" si="4"/>
        <v>1.8325089127062364</v>
      </c>
      <c r="I106" s="2">
        <f t="shared" si="6"/>
        <v>0.83250891270623639</v>
      </c>
      <c r="L106" s="1"/>
    </row>
    <row r="107" spans="1:12" x14ac:dyDescent="0.25">
      <c r="A107">
        <v>5</v>
      </c>
      <c r="B107">
        <v>193.8545</v>
      </c>
      <c r="C107">
        <v>80.000709999999998</v>
      </c>
      <c r="D107">
        <v>450.32170000000002</v>
      </c>
      <c r="E107">
        <v>211.7791</v>
      </c>
      <c r="G107" s="2">
        <v>100</v>
      </c>
      <c r="H107" s="2">
        <f t="shared" si="4"/>
        <v>2</v>
      </c>
      <c r="I107" s="2">
        <f t="shared" si="6"/>
        <v>1</v>
      </c>
      <c r="L107" s="1"/>
    </row>
    <row r="108" spans="1:12" x14ac:dyDescent="0.25">
      <c r="A108" s="2">
        <f>Z36</f>
        <v>2</v>
      </c>
      <c r="B108">
        <v>205.0635</v>
      </c>
      <c r="C108">
        <v>84.99342</v>
      </c>
      <c r="D108">
        <v>15.760260000000001</v>
      </c>
      <c r="E108">
        <v>5.8354929999999996</v>
      </c>
      <c r="G108" s="2">
        <v>0.1</v>
      </c>
      <c r="H108" s="2">
        <f t="shared" si="4"/>
        <v>-1</v>
      </c>
      <c r="I108" s="2">
        <f>H108-$A$108</f>
        <v>-3</v>
      </c>
      <c r="L108" s="1"/>
    </row>
    <row r="109" spans="1:12" x14ac:dyDescent="0.25">
      <c r="A109">
        <v>6</v>
      </c>
      <c r="B109">
        <v>207.76759999999999</v>
      </c>
      <c r="C109">
        <v>85.000050000000002</v>
      </c>
      <c r="D109">
        <v>16.85425</v>
      </c>
      <c r="E109">
        <v>6.9912520000000002</v>
      </c>
      <c r="G109" s="2">
        <v>0.15</v>
      </c>
      <c r="H109" s="2">
        <f t="shared" si="4"/>
        <v>-0.82390874094431876</v>
      </c>
      <c r="I109" s="2">
        <f t="shared" ref="I109:I126" si="7">H109-$A$108</f>
        <v>-2.8239087409443187</v>
      </c>
      <c r="L109" s="1"/>
    </row>
    <row r="110" spans="1:12" x14ac:dyDescent="0.25">
      <c r="A110">
        <v>6</v>
      </c>
      <c r="B110">
        <v>215.99520000000001</v>
      </c>
      <c r="C110">
        <v>85.000010000000003</v>
      </c>
      <c r="D110">
        <v>18.297920000000001</v>
      </c>
      <c r="E110">
        <v>8.4394159999999996</v>
      </c>
      <c r="G110" s="2">
        <v>0.22</v>
      </c>
      <c r="H110" s="2">
        <f t="shared" si="4"/>
        <v>-0.65757731917779372</v>
      </c>
      <c r="I110" s="2">
        <f t="shared" si="7"/>
        <v>-2.6575773191777938</v>
      </c>
      <c r="L110" s="1"/>
    </row>
    <row r="111" spans="1:12" x14ac:dyDescent="0.25">
      <c r="A111">
        <v>6</v>
      </c>
      <c r="B111">
        <v>225.23320000000001</v>
      </c>
      <c r="C111">
        <v>84.999880000000005</v>
      </c>
      <c r="D111">
        <v>20.205469999999998</v>
      </c>
      <c r="E111">
        <v>10.434699999999999</v>
      </c>
      <c r="G111" s="2">
        <v>0.32</v>
      </c>
      <c r="H111" s="2">
        <f t="shared" si="4"/>
        <v>-0.49485002168009401</v>
      </c>
      <c r="I111" s="2">
        <f t="shared" si="7"/>
        <v>-2.4948500216800942</v>
      </c>
      <c r="L111" s="1"/>
    </row>
    <row r="112" spans="1:12" x14ac:dyDescent="0.25">
      <c r="A112">
        <v>6</v>
      </c>
      <c r="B112">
        <v>235.30840000000001</v>
      </c>
      <c r="C112">
        <v>85.000010000000003</v>
      </c>
      <c r="D112">
        <v>22.499320000000001</v>
      </c>
      <c r="E112">
        <v>12.89852</v>
      </c>
      <c r="G112" s="2">
        <v>0.46</v>
      </c>
      <c r="H112" s="2">
        <f t="shared" si="4"/>
        <v>-0.33724216831842591</v>
      </c>
      <c r="I112" s="2">
        <f t="shared" si="7"/>
        <v>-2.3372421683184257</v>
      </c>
      <c r="L112" s="1"/>
    </row>
    <row r="113" spans="1:12" x14ac:dyDescent="0.25">
      <c r="A113">
        <v>6</v>
      </c>
      <c r="B113">
        <v>245.38480000000001</v>
      </c>
      <c r="C113">
        <v>85.000240000000005</v>
      </c>
      <c r="D113">
        <v>25.484500000000001</v>
      </c>
      <c r="E113">
        <v>16.191189999999999</v>
      </c>
      <c r="G113" s="2">
        <v>0.68</v>
      </c>
      <c r="H113" s="2">
        <f t="shared" si="4"/>
        <v>-0.16749108729376366</v>
      </c>
      <c r="I113" s="2">
        <f t="shared" si="7"/>
        <v>-2.1674910872937638</v>
      </c>
      <c r="L113" s="1"/>
    </row>
    <row r="114" spans="1:12" x14ac:dyDescent="0.25">
      <c r="A114">
        <v>6</v>
      </c>
      <c r="B114">
        <v>247.29400000000001</v>
      </c>
      <c r="C114">
        <v>85.000479999999996</v>
      </c>
      <c r="D114">
        <v>28.851299999999998</v>
      </c>
      <c r="E114">
        <v>20.04044</v>
      </c>
      <c r="G114" s="2">
        <v>1</v>
      </c>
      <c r="H114" s="2">
        <f t="shared" si="4"/>
        <v>0</v>
      </c>
      <c r="I114" s="2">
        <f t="shared" si="7"/>
        <v>-2</v>
      </c>
      <c r="L114" s="1"/>
    </row>
    <row r="115" spans="1:12" x14ac:dyDescent="0.25">
      <c r="A115">
        <v>6</v>
      </c>
      <c r="B115">
        <v>247.73679999999999</v>
      </c>
      <c r="C115">
        <v>84.999260000000007</v>
      </c>
      <c r="D115">
        <v>33.267859999999999</v>
      </c>
      <c r="E115">
        <v>25.031140000000001</v>
      </c>
      <c r="G115" s="2">
        <v>1.5</v>
      </c>
      <c r="H115" s="2">
        <f t="shared" si="4"/>
        <v>0.17609125905568124</v>
      </c>
      <c r="I115" s="2">
        <f t="shared" si="7"/>
        <v>-1.8239087409443187</v>
      </c>
      <c r="L115" s="1"/>
    </row>
    <row r="116" spans="1:12" x14ac:dyDescent="0.25">
      <c r="A116">
        <v>6</v>
      </c>
      <c r="B116">
        <v>249.54650000000001</v>
      </c>
      <c r="C116">
        <v>85.000739999999993</v>
      </c>
      <c r="D116">
        <v>38.645040000000002</v>
      </c>
      <c r="E116">
        <v>30.78668</v>
      </c>
      <c r="G116" s="2">
        <v>2.2000000000000002</v>
      </c>
      <c r="H116" s="2">
        <f t="shared" si="4"/>
        <v>0.34242268082220628</v>
      </c>
      <c r="I116" s="2">
        <f t="shared" si="7"/>
        <v>-1.6575773191777938</v>
      </c>
      <c r="L116" s="1"/>
    </row>
    <row r="117" spans="1:12" x14ac:dyDescent="0.25">
      <c r="A117">
        <v>6</v>
      </c>
      <c r="B117">
        <v>251.62219999999999</v>
      </c>
      <c r="C117">
        <v>84.99991</v>
      </c>
      <c r="D117">
        <v>45.243940000000002</v>
      </c>
      <c r="E117">
        <v>37.539099999999998</v>
      </c>
      <c r="G117" s="2">
        <v>3.2</v>
      </c>
      <c r="H117" s="2">
        <f t="shared" si="4"/>
        <v>0.50514997831990605</v>
      </c>
      <c r="I117" s="2">
        <f t="shared" si="7"/>
        <v>-1.494850021680094</v>
      </c>
      <c r="L117" s="1"/>
    </row>
    <row r="118" spans="1:12" x14ac:dyDescent="0.25">
      <c r="A118">
        <v>6</v>
      </c>
      <c r="B118">
        <v>253.52869999999999</v>
      </c>
      <c r="C118">
        <v>84.999619999999993</v>
      </c>
      <c r="D118">
        <v>53.181100000000001</v>
      </c>
      <c r="E118">
        <v>45.205889999999997</v>
      </c>
      <c r="G118" s="2">
        <v>4.5999999999999996</v>
      </c>
      <c r="H118" s="2">
        <f t="shared" si="4"/>
        <v>0.66275783168157409</v>
      </c>
      <c r="I118" s="2">
        <f t="shared" si="7"/>
        <v>-1.3372421683184259</v>
      </c>
      <c r="L118" s="1"/>
    </row>
    <row r="119" spans="1:12" x14ac:dyDescent="0.25">
      <c r="A119">
        <v>6</v>
      </c>
      <c r="B119">
        <v>257.79939999999999</v>
      </c>
      <c r="C119">
        <v>84.842420000000004</v>
      </c>
      <c r="D119">
        <v>71.378810000000001</v>
      </c>
      <c r="E119">
        <v>60.91469</v>
      </c>
      <c r="G119" s="2">
        <v>6.8</v>
      </c>
      <c r="H119" s="2">
        <f t="shared" si="4"/>
        <v>0.83250891270623628</v>
      </c>
      <c r="I119" s="2">
        <f t="shared" si="7"/>
        <v>-1.1674910872937638</v>
      </c>
      <c r="L119" s="1"/>
    </row>
    <row r="120" spans="1:12" x14ac:dyDescent="0.25">
      <c r="A120">
        <v>6</v>
      </c>
      <c r="B120">
        <v>258.3408</v>
      </c>
      <c r="C120">
        <v>84.929959999999994</v>
      </c>
      <c r="D120">
        <v>83.854939999999999</v>
      </c>
      <c r="E120">
        <v>70.977429999999998</v>
      </c>
      <c r="G120" s="2">
        <v>10</v>
      </c>
      <c r="H120" s="2">
        <f t="shared" si="4"/>
        <v>1</v>
      </c>
      <c r="I120" s="2">
        <f t="shared" si="7"/>
        <v>-1</v>
      </c>
      <c r="L120" s="1"/>
    </row>
    <row r="121" spans="1:12" x14ac:dyDescent="0.25">
      <c r="A121">
        <v>6</v>
      </c>
      <c r="B121">
        <v>259.1816</v>
      </c>
      <c r="C121">
        <v>84.993610000000004</v>
      </c>
      <c r="D121">
        <v>97.681889999999996</v>
      </c>
      <c r="E121">
        <v>81.462389999999999</v>
      </c>
      <c r="G121" s="2">
        <v>14.6</v>
      </c>
      <c r="H121" s="2">
        <f t="shared" si="4"/>
        <v>1.1643528557844371</v>
      </c>
      <c r="I121" s="2">
        <f t="shared" si="7"/>
        <v>-0.83564714421556285</v>
      </c>
      <c r="L121" s="1"/>
    </row>
    <row r="122" spans="1:12" x14ac:dyDescent="0.25">
      <c r="A122">
        <v>6</v>
      </c>
      <c r="B122">
        <v>259.70580000000001</v>
      </c>
      <c r="C122">
        <v>85.009190000000004</v>
      </c>
      <c r="D122">
        <v>116.0951</v>
      </c>
      <c r="E122">
        <v>94.334119999999999</v>
      </c>
      <c r="G122" s="2">
        <v>21.5</v>
      </c>
      <c r="H122" s="2">
        <f t="shared" si="4"/>
        <v>1.3324384599156054</v>
      </c>
      <c r="I122" s="2">
        <f t="shared" si="7"/>
        <v>-0.66756154008439461</v>
      </c>
      <c r="L122" s="1"/>
    </row>
    <row r="123" spans="1:12" x14ac:dyDescent="0.25">
      <c r="A123">
        <v>6</v>
      </c>
      <c r="B123">
        <v>260.49200000000002</v>
      </c>
      <c r="C123">
        <v>85.01549</v>
      </c>
      <c r="D123">
        <v>137.6859</v>
      </c>
      <c r="E123">
        <v>107.71680000000001</v>
      </c>
      <c r="G123" s="2">
        <v>31.6</v>
      </c>
      <c r="H123" s="2">
        <f t="shared" si="4"/>
        <v>1.4996870826184039</v>
      </c>
      <c r="I123" s="2">
        <f t="shared" si="7"/>
        <v>-0.50031291738159611</v>
      </c>
      <c r="L123" s="1"/>
    </row>
    <row r="124" spans="1:12" x14ac:dyDescent="0.25">
      <c r="A124">
        <v>6</v>
      </c>
      <c r="B124">
        <v>261.45839999999998</v>
      </c>
      <c r="C124">
        <v>85.007819999999995</v>
      </c>
      <c r="D124">
        <v>159.84639999999999</v>
      </c>
      <c r="E124">
        <v>120.6722</v>
      </c>
      <c r="G124" s="2">
        <v>46.4</v>
      </c>
      <c r="H124" s="2">
        <f t="shared" si="4"/>
        <v>1.6665179805548809</v>
      </c>
      <c r="I124" s="2">
        <f t="shared" si="7"/>
        <v>-0.33348201944511913</v>
      </c>
      <c r="L124" s="1"/>
    </row>
    <row r="125" spans="1:12" x14ac:dyDescent="0.25">
      <c r="A125">
        <v>6</v>
      </c>
      <c r="B125">
        <v>261.79880000000003</v>
      </c>
      <c r="C125">
        <v>85.004589999999993</v>
      </c>
      <c r="D125">
        <v>192.13980000000001</v>
      </c>
      <c r="E125">
        <v>135.83459999999999</v>
      </c>
      <c r="G125" s="2">
        <v>68</v>
      </c>
      <c r="H125" s="2">
        <f t="shared" si="4"/>
        <v>1.8325089127062364</v>
      </c>
      <c r="I125" s="2">
        <f t="shared" si="7"/>
        <v>-0.16749108729376361</v>
      </c>
      <c r="L125" s="1"/>
    </row>
    <row r="126" spans="1:12" x14ac:dyDescent="0.25">
      <c r="A126">
        <v>6</v>
      </c>
      <c r="B126">
        <v>262.029</v>
      </c>
      <c r="C126">
        <v>85.002430000000004</v>
      </c>
      <c r="D126">
        <v>219.71180000000001</v>
      </c>
      <c r="E126">
        <v>152.72120000000001</v>
      </c>
      <c r="G126" s="2">
        <v>100</v>
      </c>
      <c r="H126" s="2">
        <f t="shared" si="4"/>
        <v>2</v>
      </c>
      <c r="I126" s="2">
        <f t="shared" si="7"/>
        <v>0</v>
      </c>
      <c r="L126" s="1"/>
    </row>
    <row r="127" spans="1:12" x14ac:dyDescent="0.25">
      <c r="A127" s="2">
        <f>Z37</f>
        <v>3</v>
      </c>
      <c r="B127">
        <v>271.67660000000001</v>
      </c>
      <c r="C127">
        <v>89.966549999999998</v>
      </c>
      <c r="D127">
        <v>12.72977</v>
      </c>
      <c r="E127">
        <v>2.7742100000000001</v>
      </c>
      <c r="G127" s="2">
        <v>0.1</v>
      </c>
      <c r="H127" s="2">
        <f t="shared" si="4"/>
        <v>-1</v>
      </c>
      <c r="I127" s="2">
        <f>H127-$A$127</f>
        <v>-4</v>
      </c>
      <c r="L127" s="1"/>
    </row>
    <row r="128" spans="1:12" x14ac:dyDescent="0.25">
      <c r="A128">
        <v>7</v>
      </c>
      <c r="B128">
        <v>274.38080000000002</v>
      </c>
      <c r="C128">
        <v>89.999679999999998</v>
      </c>
      <c r="D128">
        <v>13.23512</v>
      </c>
      <c r="E128">
        <v>3.129928</v>
      </c>
      <c r="G128" s="2">
        <v>0.15</v>
      </c>
      <c r="H128" s="2">
        <f t="shared" si="4"/>
        <v>-0.82390874094431876</v>
      </c>
      <c r="I128" s="2">
        <f t="shared" ref="I128:I145" si="8">H128-$A$127</f>
        <v>-3.8239087409443187</v>
      </c>
      <c r="L128" s="1"/>
    </row>
    <row r="129" spans="1:12" x14ac:dyDescent="0.25">
      <c r="A129">
        <v>7</v>
      </c>
      <c r="B129">
        <v>281.75779999999997</v>
      </c>
      <c r="C129">
        <v>89.99991</v>
      </c>
      <c r="D129">
        <v>13.8683</v>
      </c>
      <c r="E129">
        <v>3.5810629999999999</v>
      </c>
      <c r="G129" s="2">
        <v>0.22</v>
      </c>
      <c r="H129" s="2">
        <f t="shared" si="4"/>
        <v>-0.65757731917779372</v>
      </c>
      <c r="I129" s="2">
        <f t="shared" si="8"/>
        <v>-3.6575773191777938</v>
      </c>
      <c r="L129" s="1"/>
    </row>
    <row r="130" spans="1:12" x14ac:dyDescent="0.25">
      <c r="A130">
        <v>7</v>
      </c>
      <c r="B130">
        <v>289.30059999999997</v>
      </c>
      <c r="C130">
        <v>89.999750000000006</v>
      </c>
      <c r="D130">
        <v>14.694319999999999</v>
      </c>
      <c r="E130">
        <v>4.2150499999999997</v>
      </c>
      <c r="G130" s="2">
        <v>0.32</v>
      </c>
      <c r="H130" s="2">
        <f t="shared" si="4"/>
        <v>-0.49485002168009401</v>
      </c>
      <c r="I130" s="2">
        <f t="shared" si="8"/>
        <v>-3.4948500216800942</v>
      </c>
      <c r="L130" s="1"/>
    </row>
    <row r="131" spans="1:12" x14ac:dyDescent="0.25">
      <c r="A131">
        <v>7</v>
      </c>
      <c r="B131">
        <v>296.84399999999999</v>
      </c>
      <c r="C131">
        <v>89.999719999999996</v>
      </c>
      <c r="D131">
        <v>15.627800000000001</v>
      </c>
      <c r="E131">
        <v>5.00739</v>
      </c>
      <c r="G131" s="2">
        <v>0.46</v>
      </c>
      <c r="H131" s="2">
        <f t="shared" si="4"/>
        <v>-0.33724216831842591</v>
      </c>
      <c r="I131" s="2">
        <f t="shared" si="8"/>
        <v>-3.3372421683184257</v>
      </c>
      <c r="L131" s="1"/>
    </row>
    <row r="132" spans="1:12" x14ac:dyDescent="0.25">
      <c r="A132">
        <v>7</v>
      </c>
      <c r="B132">
        <v>305.22390000000001</v>
      </c>
      <c r="C132">
        <v>89.999880000000005</v>
      </c>
      <c r="D132">
        <v>16.794060000000002</v>
      </c>
      <c r="E132">
        <v>6.0963240000000001</v>
      </c>
      <c r="G132" s="2">
        <v>0.68</v>
      </c>
      <c r="H132" s="2">
        <f t="shared" ref="H132:H183" si="9">LOG(G132)</f>
        <v>-0.16749108729376366</v>
      </c>
      <c r="I132" s="2">
        <f t="shared" si="8"/>
        <v>-3.1674910872937638</v>
      </c>
      <c r="L132" s="1"/>
    </row>
    <row r="133" spans="1:12" x14ac:dyDescent="0.25">
      <c r="A133">
        <v>7</v>
      </c>
      <c r="B133">
        <v>307.07220000000001</v>
      </c>
      <c r="C133">
        <v>89.999660000000006</v>
      </c>
      <c r="D133">
        <v>18.04196</v>
      </c>
      <c r="E133">
        <v>7.4197389999999999</v>
      </c>
      <c r="G133" s="2">
        <v>1</v>
      </c>
      <c r="H133" s="2">
        <f t="shared" si="9"/>
        <v>0</v>
      </c>
      <c r="I133" s="2">
        <f t="shared" si="8"/>
        <v>-3</v>
      </c>
      <c r="L133" s="1"/>
    </row>
    <row r="134" spans="1:12" x14ac:dyDescent="0.25">
      <c r="A134">
        <v>7</v>
      </c>
      <c r="B134">
        <v>307.42200000000003</v>
      </c>
      <c r="C134">
        <v>89.999920000000003</v>
      </c>
      <c r="D134">
        <v>19.574839999999998</v>
      </c>
      <c r="E134">
        <v>9.1727740000000004</v>
      </c>
      <c r="G134" s="2">
        <v>1.5</v>
      </c>
      <c r="H134" s="2">
        <f t="shared" si="9"/>
        <v>0.17609125905568124</v>
      </c>
      <c r="I134" s="2">
        <f t="shared" si="8"/>
        <v>-2.8239087409443187</v>
      </c>
      <c r="L134" s="1"/>
    </row>
    <row r="135" spans="1:12" x14ac:dyDescent="0.25">
      <c r="A135">
        <v>7</v>
      </c>
      <c r="B135">
        <v>309.04340000000002</v>
      </c>
      <c r="C135">
        <v>89.999840000000006</v>
      </c>
      <c r="D135">
        <v>21.40222</v>
      </c>
      <c r="E135">
        <v>11.299189999999999</v>
      </c>
      <c r="G135" s="2">
        <v>2.2000000000000002</v>
      </c>
      <c r="H135" s="2">
        <f t="shared" si="9"/>
        <v>0.34242268082220628</v>
      </c>
      <c r="I135" s="2">
        <f t="shared" si="8"/>
        <v>-2.6575773191777938</v>
      </c>
      <c r="L135" s="1"/>
    </row>
    <row r="136" spans="1:12" x14ac:dyDescent="0.25">
      <c r="A136">
        <v>7</v>
      </c>
      <c r="B136">
        <v>310.93360000000001</v>
      </c>
      <c r="C136">
        <v>90.000309999999999</v>
      </c>
      <c r="D136">
        <v>23.618490000000001</v>
      </c>
      <c r="E136">
        <v>13.912470000000001</v>
      </c>
      <c r="G136" s="2">
        <v>3.2</v>
      </c>
      <c r="H136" s="2">
        <f t="shared" si="9"/>
        <v>0.50514997831990605</v>
      </c>
      <c r="I136" s="2">
        <f t="shared" si="8"/>
        <v>-2.4948500216800937</v>
      </c>
      <c r="L136" s="1"/>
    </row>
    <row r="137" spans="1:12" x14ac:dyDescent="0.25">
      <c r="A137">
        <v>7</v>
      </c>
      <c r="B137">
        <v>312.82740000000001</v>
      </c>
      <c r="C137">
        <v>89.99991</v>
      </c>
      <c r="D137">
        <v>26.281099999999999</v>
      </c>
      <c r="E137">
        <v>17.0487</v>
      </c>
      <c r="G137" s="2">
        <v>4.5999999999999996</v>
      </c>
      <c r="H137" s="2">
        <f t="shared" si="9"/>
        <v>0.66275783168157409</v>
      </c>
      <c r="I137" s="2">
        <f t="shared" si="8"/>
        <v>-2.3372421683184257</v>
      </c>
      <c r="L137" s="1"/>
    </row>
    <row r="138" spans="1:12" x14ac:dyDescent="0.25">
      <c r="A138">
        <v>7</v>
      </c>
      <c r="B138">
        <v>314.73349999999999</v>
      </c>
      <c r="C138">
        <v>89.999880000000005</v>
      </c>
      <c r="D138">
        <v>29.867999999999999</v>
      </c>
      <c r="E138">
        <v>21.229299999999999</v>
      </c>
      <c r="G138" s="2">
        <v>6.8</v>
      </c>
      <c r="H138" s="2">
        <f t="shared" si="9"/>
        <v>0.83250891270623628</v>
      </c>
      <c r="I138" s="2">
        <f t="shared" si="8"/>
        <v>-2.1674910872937638</v>
      </c>
      <c r="L138" s="1"/>
    </row>
    <row r="139" spans="1:12" x14ac:dyDescent="0.25">
      <c r="A139">
        <v>7</v>
      </c>
      <c r="B139">
        <v>315.28980000000001</v>
      </c>
      <c r="C139">
        <v>90.000060000000005</v>
      </c>
      <c r="D139">
        <v>34.3065</v>
      </c>
      <c r="E139">
        <v>26.311520000000002</v>
      </c>
      <c r="G139" s="2">
        <v>10</v>
      </c>
      <c r="H139" s="2">
        <f t="shared" si="9"/>
        <v>1</v>
      </c>
      <c r="I139" s="2">
        <f t="shared" si="8"/>
        <v>-2</v>
      </c>
      <c r="L139" s="1"/>
    </row>
    <row r="140" spans="1:12" x14ac:dyDescent="0.25">
      <c r="A140">
        <v>7</v>
      </c>
      <c r="B140">
        <v>316.14589999999998</v>
      </c>
      <c r="C140">
        <v>90.000119999999995</v>
      </c>
      <c r="D140">
        <v>39.740299999999998</v>
      </c>
      <c r="E140">
        <v>32.428939999999997</v>
      </c>
      <c r="G140" s="2">
        <v>14.6</v>
      </c>
      <c r="H140" s="2">
        <f t="shared" si="9"/>
        <v>1.1643528557844371</v>
      </c>
      <c r="I140" s="2">
        <f t="shared" si="8"/>
        <v>-1.8356471442155629</v>
      </c>
      <c r="L140" s="1"/>
    </row>
    <row r="141" spans="1:12" x14ac:dyDescent="0.25">
      <c r="A141">
        <v>7</v>
      </c>
      <c r="B141">
        <v>316.6354</v>
      </c>
      <c r="C141">
        <v>90.000159999999994</v>
      </c>
      <c r="D141">
        <v>47.036020000000001</v>
      </c>
      <c r="E141">
        <v>40.149410000000003</v>
      </c>
      <c r="G141" s="2">
        <v>21.5</v>
      </c>
      <c r="H141" s="2">
        <f t="shared" si="9"/>
        <v>1.3324384599156054</v>
      </c>
      <c r="I141" s="2">
        <f t="shared" si="8"/>
        <v>-1.6675615400843946</v>
      </c>
      <c r="L141" s="1"/>
    </row>
    <row r="142" spans="1:12" x14ac:dyDescent="0.25">
      <c r="A142">
        <v>7</v>
      </c>
      <c r="B142">
        <v>317.41680000000002</v>
      </c>
      <c r="C142">
        <v>89.99991</v>
      </c>
      <c r="D142">
        <v>56.865499999999997</v>
      </c>
      <c r="E142">
        <v>49.295020000000001</v>
      </c>
      <c r="G142" s="2">
        <v>31.6</v>
      </c>
      <c r="H142" s="2">
        <f t="shared" si="9"/>
        <v>1.4996870826184039</v>
      </c>
      <c r="I142" s="2">
        <f t="shared" si="8"/>
        <v>-1.5003129173815961</v>
      </c>
      <c r="L142" s="1"/>
    </row>
    <row r="143" spans="1:12" x14ac:dyDescent="0.25">
      <c r="A143">
        <v>7</v>
      </c>
      <c r="B143">
        <v>318.11880000000002</v>
      </c>
      <c r="C143">
        <v>90.000200000000007</v>
      </c>
      <c r="D143">
        <v>66.214699999999993</v>
      </c>
      <c r="E143">
        <v>58.72251</v>
      </c>
      <c r="G143" s="2">
        <v>46.4</v>
      </c>
      <c r="H143" s="2">
        <f t="shared" si="9"/>
        <v>1.6665179805548809</v>
      </c>
      <c r="I143" s="2">
        <f t="shared" si="8"/>
        <v>-1.3334820194451191</v>
      </c>
      <c r="L143" s="1"/>
    </row>
    <row r="144" spans="1:12" x14ac:dyDescent="0.25">
      <c r="A144">
        <v>7</v>
      </c>
      <c r="B144">
        <v>318.4812</v>
      </c>
      <c r="C144">
        <v>90.000789999999995</v>
      </c>
      <c r="D144">
        <v>82.694180000000003</v>
      </c>
      <c r="E144">
        <v>70.440939999999998</v>
      </c>
      <c r="G144" s="2">
        <v>68</v>
      </c>
      <c r="H144" s="2">
        <f t="shared" si="9"/>
        <v>1.8325089127062364</v>
      </c>
      <c r="I144" s="2">
        <f t="shared" si="8"/>
        <v>-1.1674910872937636</v>
      </c>
    </row>
    <row r="145" spans="1:12" x14ac:dyDescent="0.25">
      <c r="A145">
        <v>7</v>
      </c>
      <c r="B145">
        <v>318.68869999999998</v>
      </c>
      <c r="C145">
        <v>90.000579999999999</v>
      </c>
      <c r="D145">
        <v>93.186419999999998</v>
      </c>
      <c r="E145">
        <v>84.691739999999996</v>
      </c>
      <c r="G145" s="2">
        <v>100</v>
      </c>
      <c r="H145" s="2">
        <f t="shared" si="9"/>
        <v>2</v>
      </c>
      <c r="I145" s="2">
        <f t="shared" si="8"/>
        <v>-1</v>
      </c>
      <c r="L145" s="1"/>
    </row>
    <row r="146" spans="1:12" x14ac:dyDescent="0.25">
      <c r="A146" s="2">
        <f>Z38</f>
        <v>4</v>
      </c>
      <c r="B146">
        <v>328.3433</v>
      </c>
      <c r="C146">
        <v>94.966130000000007</v>
      </c>
      <c r="D146">
        <v>10.840529999999999</v>
      </c>
      <c r="E146">
        <v>1.8038940000000001</v>
      </c>
      <c r="G146" s="2">
        <v>0.1</v>
      </c>
      <c r="H146" s="2">
        <f t="shared" si="9"/>
        <v>-1</v>
      </c>
      <c r="I146" s="2">
        <f>H146-$A$146</f>
        <v>-5</v>
      </c>
      <c r="L146" s="1"/>
    </row>
    <row r="147" spans="1:12" x14ac:dyDescent="0.25">
      <c r="A147">
        <v>8</v>
      </c>
      <c r="B147">
        <v>330.71210000000002</v>
      </c>
      <c r="C147">
        <v>94.997879999999995</v>
      </c>
      <c r="D147">
        <v>11.172079999999999</v>
      </c>
      <c r="E147">
        <v>1.945776</v>
      </c>
      <c r="G147" s="2">
        <v>0.15</v>
      </c>
      <c r="H147" s="2">
        <f t="shared" si="9"/>
        <v>-0.82390874094431876</v>
      </c>
      <c r="I147" s="2">
        <f t="shared" ref="I147:I164" si="10">H147-$A$146</f>
        <v>-4.8239087409443187</v>
      </c>
      <c r="L147" s="1"/>
    </row>
    <row r="148" spans="1:12" x14ac:dyDescent="0.25">
      <c r="A148">
        <v>8</v>
      </c>
      <c r="B148">
        <v>338.0872</v>
      </c>
      <c r="C148">
        <v>94.999750000000006</v>
      </c>
      <c r="D148">
        <v>11.54082</v>
      </c>
      <c r="E148">
        <v>2.1154069999999998</v>
      </c>
      <c r="G148" s="2">
        <v>0.22</v>
      </c>
      <c r="H148" s="2">
        <f t="shared" si="9"/>
        <v>-0.65757731917779372</v>
      </c>
      <c r="I148" s="2">
        <f t="shared" si="10"/>
        <v>-4.6575773191777934</v>
      </c>
      <c r="L148" s="1"/>
    </row>
    <row r="149" spans="1:12" x14ac:dyDescent="0.25">
      <c r="A149">
        <v>8</v>
      </c>
      <c r="B149">
        <v>346.46269999999998</v>
      </c>
      <c r="C149">
        <v>94.999719999999996</v>
      </c>
      <c r="D149">
        <v>12.055260000000001</v>
      </c>
      <c r="E149">
        <v>2.354365</v>
      </c>
      <c r="G149" s="2">
        <v>0.32</v>
      </c>
      <c r="H149" s="2">
        <f t="shared" si="9"/>
        <v>-0.49485002168009401</v>
      </c>
      <c r="I149" s="2">
        <f t="shared" si="10"/>
        <v>-4.4948500216800937</v>
      </c>
      <c r="L149" s="1"/>
    </row>
    <row r="150" spans="1:12" x14ac:dyDescent="0.25">
      <c r="A150">
        <v>8</v>
      </c>
      <c r="B150">
        <v>354.83850000000001</v>
      </c>
      <c r="C150">
        <v>94.99991</v>
      </c>
      <c r="D150">
        <v>12.625249999999999</v>
      </c>
      <c r="E150">
        <v>2.6566179999999999</v>
      </c>
      <c r="G150" s="2">
        <v>0.46</v>
      </c>
      <c r="H150" s="2">
        <f t="shared" si="9"/>
        <v>-0.33724216831842591</v>
      </c>
      <c r="I150" s="2">
        <f t="shared" si="10"/>
        <v>-4.3372421683184257</v>
      </c>
      <c r="L150" s="1"/>
    </row>
    <row r="151" spans="1:12" x14ac:dyDescent="0.25">
      <c r="A151">
        <v>8</v>
      </c>
      <c r="B151">
        <v>363.21469999999999</v>
      </c>
      <c r="C151">
        <v>95.000150000000005</v>
      </c>
      <c r="D151">
        <v>13.29208</v>
      </c>
      <c r="E151">
        <v>3.0677319999999999</v>
      </c>
      <c r="G151" s="2">
        <v>0.68</v>
      </c>
      <c r="H151" s="2">
        <f t="shared" si="9"/>
        <v>-0.16749108729376366</v>
      </c>
      <c r="I151" s="2">
        <f t="shared" si="10"/>
        <v>-4.1674910872937634</v>
      </c>
      <c r="L151" s="1"/>
    </row>
    <row r="152" spans="1:12" x14ac:dyDescent="0.25">
      <c r="A152">
        <v>8</v>
      </c>
      <c r="B152">
        <v>365.0575</v>
      </c>
      <c r="C152">
        <v>94.999080000000006</v>
      </c>
      <c r="D152">
        <v>13.949859999999999</v>
      </c>
      <c r="E152">
        <v>3.5743149999999999</v>
      </c>
      <c r="G152" s="2">
        <v>1</v>
      </c>
      <c r="H152" s="2">
        <f t="shared" si="9"/>
        <v>0</v>
      </c>
      <c r="I152" s="2">
        <f t="shared" si="10"/>
        <v>-4</v>
      </c>
      <c r="L152" s="1"/>
    </row>
    <row r="153" spans="1:12" x14ac:dyDescent="0.25">
      <c r="A153">
        <v>8</v>
      </c>
      <c r="B153">
        <v>365.4006</v>
      </c>
      <c r="C153">
        <v>94.998909999999995</v>
      </c>
      <c r="D153">
        <v>14.71692</v>
      </c>
      <c r="E153">
        <v>4.2398660000000001</v>
      </c>
      <c r="G153" s="2">
        <v>1.5</v>
      </c>
      <c r="H153" s="2">
        <f t="shared" si="9"/>
        <v>0.17609125905568124</v>
      </c>
      <c r="I153" s="2">
        <f t="shared" si="10"/>
        <v>-3.8239087409443187</v>
      </c>
      <c r="L153" s="1"/>
    </row>
    <row r="154" spans="1:12" x14ac:dyDescent="0.25">
      <c r="A154">
        <v>8</v>
      </c>
      <c r="B154">
        <v>366.84480000000002</v>
      </c>
      <c r="C154">
        <v>95.000659999999996</v>
      </c>
      <c r="D154">
        <v>15.57686</v>
      </c>
      <c r="E154">
        <v>5.0601560000000001</v>
      </c>
      <c r="G154" s="2">
        <v>2.2000000000000002</v>
      </c>
      <c r="H154" s="2">
        <f t="shared" si="9"/>
        <v>0.34242268082220628</v>
      </c>
      <c r="I154" s="2">
        <f t="shared" si="10"/>
        <v>-3.6575773191777938</v>
      </c>
      <c r="L154" s="1"/>
    </row>
    <row r="155" spans="1:12" x14ac:dyDescent="0.25">
      <c r="A155">
        <v>8</v>
      </c>
      <c r="B155">
        <v>368.38799999999998</v>
      </c>
      <c r="C155">
        <v>95.000309999999999</v>
      </c>
      <c r="D155">
        <v>16.568660000000001</v>
      </c>
      <c r="E155">
        <v>6.0814950000000003</v>
      </c>
      <c r="G155" s="2">
        <v>3.2</v>
      </c>
      <c r="H155" s="2">
        <f t="shared" si="9"/>
        <v>0.50514997831990605</v>
      </c>
      <c r="I155" s="2">
        <f t="shared" si="10"/>
        <v>-3.4948500216800937</v>
      </c>
      <c r="L155" s="1"/>
    </row>
    <row r="156" spans="1:12" x14ac:dyDescent="0.25">
      <c r="A156">
        <v>8</v>
      </c>
      <c r="B156">
        <v>370.10070000000002</v>
      </c>
      <c r="C156">
        <v>94.999619999999993</v>
      </c>
      <c r="D156">
        <v>17.71621</v>
      </c>
      <c r="E156">
        <v>7.343286</v>
      </c>
      <c r="G156" s="2">
        <v>4.5999999999999996</v>
      </c>
      <c r="H156" s="2">
        <f t="shared" si="9"/>
        <v>0.66275783168157409</v>
      </c>
      <c r="I156" s="2">
        <f t="shared" si="10"/>
        <v>-3.3372421683184257</v>
      </c>
      <c r="L156" s="1"/>
    </row>
    <row r="157" spans="1:12" x14ac:dyDescent="0.25">
      <c r="A157">
        <v>8</v>
      </c>
      <c r="B157">
        <v>371.81599999999997</v>
      </c>
      <c r="C157">
        <v>94.999989999999997</v>
      </c>
      <c r="D157">
        <v>19.217590000000001</v>
      </c>
      <c r="E157">
        <v>9.065042</v>
      </c>
      <c r="G157" s="2">
        <v>6.8</v>
      </c>
      <c r="H157" s="2">
        <f t="shared" si="9"/>
        <v>0.83250891270623628</v>
      </c>
      <c r="I157" s="2">
        <f t="shared" si="10"/>
        <v>-3.1674910872937638</v>
      </c>
      <c r="L157" s="1"/>
    </row>
    <row r="158" spans="1:12" x14ac:dyDescent="0.25">
      <c r="A158">
        <v>8</v>
      </c>
      <c r="B158">
        <v>372.33519999999999</v>
      </c>
      <c r="C158">
        <v>95.00009</v>
      </c>
      <c r="D158">
        <v>21.028659999999999</v>
      </c>
      <c r="E158">
        <v>11.242470000000001</v>
      </c>
      <c r="G158" s="2">
        <v>10</v>
      </c>
      <c r="H158" s="2">
        <f t="shared" si="9"/>
        <v>1</v>
      </c>
      <c r="I158" s="2">
        <f t="shared" si="10"/>
        <v>-3</v>
      </c>
      <c r="L158" s="1"/>
    </row>
    <row r="159" spans="1:12" x14ac:dyDescent="0.25">
      <c r="A159">
        <v>8</v>
      </c>
      <c r="B159">
        <v>373.08800000000002</v>
      </c>
      <c r="C159">
        <v>94.999880000000005</v>
      </c>
      <c r="D159">
        <v>23.16968</v>
      </c>
      <c r="E159">
        <v>13.97002</v>
      </c>
      <c r="G159" s="2">
        <v>14.6</v>
      </c>
      <c r="H159" s="2">
        <f t="shared" si="9"/>
        <v>1.1643528557844371</v>
      </c>
      <c r="I159" s="2">
        <f t="shared" si="10"/>
        <v>-2.8356471442155629</v>
      </c>
      <c r="L159" s="1"/>
    </row>
    <row r="160" spans="1:12" x14ac:dyDescent="0.25">
      <c r="A160">
        <v>8</v>
      </c>
      <c r="B160">
        <v>373.53300000000002</v>
      </c>
      <c r="C160">
        <v>95.000119999999995</v>
      </c>
      <c r="D160">
        <v>26.229649999999999</v>
      </c>
      <c r="E160">
        <v>17.68216</v>
      </c>
      <c r="G160" s="2">
        <v>21.5</v>
      </c>
      <c r="H160" s="2">
        <f t="shared" si="9"/>
        <v>1.3324384599156054</v>
      </c>
      <c r="I160" s="2">
        <f t="shared" si="10"/>
        <v>-2.6675615400843946</v>
      </c>
      <c r="L160" s="1"/>
    </row>
    <row r="161" spans="1:12" x14ac:dyDescent="0.25">
      <c r="A161">
        <v>8</v>
      </c>
      <c r="B161">
        <v>374.13499999999999</v>
      </c>
      <c r="C161">
        <v>94.999989999999997</v>
      </c>
      <c r="D161">
        <v>30.73208</v>
      </c>
      <c r="E161">
        <v>22.280259999999998</v>
      </c>
      <c r="G161" s="2">
        <v>31.6</v>
      </c>
      <c r="H161" s="2">
        <f t="shared" si="9"/>
        <v>1.4996870826184039</v>
      </c>
      <c r="I161" s="2">
        <f t="shared" si="10"/>
        <v>-2.5003129173815961</v>
      </c>
      <c r="L161" s="1"/>
    </row>
    <row r="162" spans="1:12" x14ac:dyDescent="0.25">
      <c r="A162">
        <v>8</v>
      </c>
      <c r="B162">
        <v>375.00900000000001</v>
      </c>
      <c r="C162">
        <v>95.000360000000001</v>
      </c>
      <c r="D162">
        <v>33.46902</v>
      </c>
      <c r="E162">
        <v>26.675319999999999</v>
      </c>
      <c r="G162" s="2">
        <v>46.4</v>
      </c>
      <c r="H162" s="2">
        <f t="shared" si="9"/>
        <v>1.6665179805548809</v>
      </c>
      <c r="I162" s="2">
        <f t="shared" si="10"/>
        <v>-2.3334820194451193</v>
      </c>
      <c r="L162" s="1"/>
    </row>
    <row r="163" spans="1:12" x14ac:dyDescent="0.25">
      <c r="A163">
        <v>8</v>
      </c>
      <c r="B163">
        <v>375.34949999999998</v>
      </c>
      <c r="C163">
        <v>95.000579999999999</v>
      </c>
      <c r="D163">
        <v>41.88494</v>
      </c>
      <c r="E163">
        <v>33.07141</v>
      </c>
      <c r="G163" s="2">
        <v>68</v>
      </c>
      <c r="H163" s="2">
        <f t="shared" si="9"/>
        <v>1.8325089127062364</v>
      </c>
      <c r="I163" s="2">
        <f t="shared" si="10"/>
        <v>-2.1674910872937634</v>
      </c>
      <c r="L163" s="1"/>
    </row>
    <row r="164" spans="1:12" x14ac:dyDescent="0.25">
      <c r="A164">
        <v>8</v>
      </c>
      <c r="B164">
        <v>375.55500000000001</v>
      </c>
      <c r="C164">
        <v>95.000219999999999</v>
      </c>
      <c r="D164">
        <v>42.713520000000003</v>
      </c>
      <c r="E164">
        <v>41.69464</v>
      </c>
      <c r="G164" s="2">
        <v>100</v>
      </c>
      <c r="H164" s="2">
        <f t="shared" si="9"/>
        <v>2</v>
      </c>
      <c r="I164" s="2">
        <f t="shared" si="10"/>
        <v>-2</v>
      </c>
      <c r="L164" s="1"/>
    </row>
    <row r="165" spans="1:12" x14ac:dyDescent="0.25">
      <c r="A165" s="2">
        <f>Z39</f>
        <v>5</v>
      </c>
      <c r="B165">
        <v>388.01749999999998</v>
      </c>
      <c r="C165">
        <v>99.989620000000002</v>
      </c>
      <c r="D165">
        <v>9.2533480000000008</v>
      </c>
      <c r="E165">
        <v>1.373254</v>
      </c>
      <c r="G165" s="2">
        <v>0.1</v>
      </c>
      <c r="H165" s="2">
        <f t="shared" si="9"/>
        <v>-1</v>
      </c>
      <c r="I165" s="2">
        <f>H165-$A$165</f>
        <v>-6</v>
      </c>
      <c r="L165" s="1"/>
    </row>
    <row r="166" spans="1:12" x14ac:dyDescent="0.25">
      <c r="A166">
        <v>9</v>
      </c>
      <c r="B166">
        <v>391.05840000000001</v>
      </c>
      <c r="C166">
        <v>100.0003</v>
      </c>
      <c r="D166">
        <v>9.5517459999999996</v>
      </c>
      <c r="E166">
        <v>1.4501310000000001</v>
      </c>
      <c r="G166" s="2">
        <v>0.15</v>
      </c>
      <c r="H166" s="2">
        <f t="shared" si="9"/>
        <v>-0.82390874094431876</v>
      </c>
      <c r="I166" s="2">
        <f t="shared" ref="I166:I183" si="11">H166-$A$165</f>
        <v>-5.8239087409443187</v>
      </c>
      <c r="L166" s="1"/>
    </row>
    <row r="167" spans="1:12" x14ac:dyDescent="0.25">
      <c r="A167">
        <v>9</v>
      </c>
      <c r="B167">
        <v>397.59589999999997</v>
      </c>
      <c r="C167">
        <v>99.999679999999998</v>
      </c>
      <c r="D167">
        <v>9.8949809999999996</v>
      </c>
      <c r="E167">
        <v>1.54061</v>
      </c>
      <c r="G167" s="2">
        <v>0.22</v>
      </c>
      <c r="H167" s="2">
        <f t="shared" si="9"/>
        <v>-0.65757731917779372</v>
      </c>
      <c r="I167" s="2">
        <f t="shared" si="11"/>
        <v>-5.6575773191777934</v>
      </c>
      <c r="L167" s="1"/>
    </row>
    <row r="168" spans="1:12" x14ac:dyDescent="0.25">
      <c r="A168">
        <v>9</v>
      </c>
      <c r="B168">
        <v>405.97070000000002</v>
      </c>
      <c r="C168">
        <v>99.99991</v>
      </c>
      <c r="D168">
        <v>10.31288</v>
      </c>
      <c r="E168">
        <v>1.6575599999999999</v>
      </c>
      <c r="G168" s="2">
        <v>0.32</v>
      </c>
      <c r="H168" s="2">
        <f t="shared" si="9"/>
        <v>-0.49485002168009401</v>
      </c>
      <c r="I168" s="2">
        <f t="shared" si="11"/>
        <v>-5.4948500216800937</v>
      </c>
      <c r="L168" s="1"/>
    </row>
    <row r="169" spans="1:12" x14ac:dyDescent="0.25">
      <c r="A169">
        <v>9</v>
      </c>
      <c r="B169">
        <v>414.34559999999999</v>
      </c>
      <c r="C169">
        <v>99.99991</v>
      </c>
      <c r="D169">
        <v>10.75249</v>
      </c>
      <c r="E169">
        <v>1.7984899999999999</v>
      </c>
      <c r="G169" s="2">
        <v>0.46</v>
      </c>
      <c r="H169" s="2">
        <f t="shared" si="9"/>
        <v>-0.33724216831842591</v>
      </c>
      <c r="I169" s="2">
        <f t="shared" si="11"/>
        <v>-5.3372421683184257</v>
      </c>
      <c r="L169" s="1"/>
    </row>
    <row r="170" spans="1:12" x14ac:dyDescent="0.25">
      <c r="A170">
        <v>9</v>
      </c>
      <c r="B170">
        <v>422.72059999999999</v>
      </c>
      <c r="C170">
        <v>100.0003</v>
      </c>
      <c r="D170">
        <v>11.24316</v>
      </c>
      <c r="E170">
        <v>1.9846079999999999</v>
      </c>
      <c r="G170" s="2">
        <v>0.68</v>
      </c>
      <c r="H170" s="2">
        <f t="shared" si="9"/>
        <v>-0.16749108729376366</v>
      </c>
      <c r="I170" s="2">
        <f t="shared" si="11"/>
        <v>-5.1674910872937634</v>
      </c>
      <c r="L170" s="1"/>
    </row>
    <row r="171" spans="1:12" x14ac:dyDescent="0.25">
      <c r="A171">
        <v>9</v>
      </c>
      <c r="B171">
        <v>424.56180000000001</v>
      </c>
      <c r="C171">
        <v>99.99991</v>
      </c>
      <c r="D171">
        <v>11.70074</v>
      </c>
      <c r="E171">
        <v>2.202979</v>
      </c>
      <c r="G171" s="2">
        <v>1</v>
      </c>
      <c r="H171" s="2">
        <f t="shared" si="9"/>
        <v>0</v>
      </c>
      <c r="I171" s="2">
        <f t="shared" si="11"/>
        <v>-5</v>
      </c>
      <c r="L171" s="1"/>
    </row>
    <row r="172" spans="1:12" x14ac:dyDescent="0.25">
      <c r="A172">
        <v>9</v>
      </c>
      <c r="B172">
        <v>424.90320000000003</v>
      </c>
      <c r="C172">
        <v>99.999369999999999</v>
      </c>
      <c r="D172">
        <v>12.21129</v>
      </c>
      <c r="E172">
        <v>2.4912339999999999</v>
      </c>
      <c r="G172" s="2">
        <v>1.5</v>
      </c>
      <c r="H172" s="2">
        <f t="shared" si="9"/>
        <v>0.17609125905568124</v>
      </c>
      <c r="I172" s="2">
        <f t="shared" si="11"/>
        <v>-4.8239087409443187</v>
      </c>
      <c r="L172" s="1"/>
    </row>
    <row r="173" spans="1:12" x14ac:dyDescent="0.25">
      <c r="A173">
        <v>9</v>
      </c>
      <c r="B173">
        <v>426.34519999999998</v>
      </c>
      <c r="C173">
        <v>100.0001</v>
      </c>
      <c r="D173">
        <v>12.753500000000001</v>
      </c>
      <c r="E173">
        <v>2.8425980000000002</v>
      </c>
      <c r="G173" s="2">
        <v>2.2000000000000002</v>
      </c>
      <c r="H173" s="2">
        <f t="shared" si="9"/>
        <v>0.34242268082220628</v>
      </c>
      <c r="I173" s="2">
        <f t="shared" si="11"/>
        <v>-4.6575773191777934</v>
      </c>
      <c r="L173" s="1"/>
    </row>
    <row r="174" spans="1:12" x14ac:dyDescent="0.25">
      <c r="A174">
        <v>9</v>
      </c>
      <c r="B174">
        <v>428.05430000000001</v>
      </c>
      <c r="C174">
        <v>99.999989999999997</v>
      </c>
      <c r="D174">
        <v>13.34796</v>
      </c>
      <c r="E174">
        <v>3.2802159999999998</v>
      </c>
      <c r="G174" s="2">
        <v>3.2</v>
      </c>
      <c r="H174" s="2">
        <f t="shared" si="9"/>
        <v>0.50514997831990605</v>
      </c>
      <c r="I174" s="2">
        <f t="shared" si="11"/>
        <v>-4.4948500216800937</v>
      </c>
      <c r="L174" s="1"/>
    </row>
    <row r="175" spans="1:12" x14ac:dyDescent="0.25">
      <c r="A175">
        <v>9</v>
      </c>
      <c r="B175">
        <v>429.76400000000001</v>
      </c>
      <c r="C175">
        <v>100.00060000000001</v>
      </c>
      <c r="D175">
        <v>14.00217</v>
      </c>
      <c r="E175">
        <v>3.8197380000000001</v>
      </c>
      <c r="G175" s="2">
        <v>4.5999999999999996</v>
      </c>
      <c r="H175" s="2">
        <f t="shared" si="9"/>
        <v>0.66275783168157409</v>
      </c>
      <c r="I175" s="2">
        <f t="shared" si="11"/>
        <v>-4.3372421683184257</v>
      </c>
      <c r="L175" s="1"/>
    </row>
    <row r="176" spans="1:12" x14ac:dyDescent="0.25">
      <c r="A176">
        <v>9</v>
      </c>
      <c r="B176">
        <v>431.47480000000002</v>
      </c>
      <c r="C176">
        <v>99.99982</v>
      </c>
      <c r="D176">
        <v>14.81527</v>
      </c>
      <c r="E176">
        <v>4.5681570000000002</v>
      </c>
      <c r="G176" s="2">
        <v>6.8</v>
      </c>
      <c r="H176" s="2">
        <f t="shared" si="9"/>
        <v>0.83250891270623628</v>
      </c>
      <c r="I176" s="2">
        <f t="shared" si="11"/>
        <v>-4.1674910872937634</v>
      </c>
      <c r="L176" s="1"/>
    </row>
    <row r="177" spans="1:12" x14ac:dyDescent="0.25">
      <c r="A177">
        <v>9</v>
      </c>
      <c r="B177">
        <v>431.98779999999999</v>
      </c>
      <c r="C177">
        <v>99.999719999999996</v>
      </c>
      <c r="D177">
        <v>15.74677</v>
      </c>
      <c r="E177">
        <v>5.5310600000000001</v>
      </c>
      <c r="G177" s="2">
        <v>10</v>
      </c>
      <c r="H177" s="2">
        <f t="shared" si="9"/>
        <v>1</v>
      </c>
      <c r="I177" s="2">
        <f t="shared" si="11"/>
        <v>-4</v>
      </c>
      <c r="L177" s="1"/>
    </row>
    <row r="178" spans="1:12" x14ac:dyDescent="0.25">
      <c r="A178">
        <v>9</v>
      </c>
      <c r="B178">
        <v>432.90600000000001</v>
      </c>
      <c r="C178">
        <v>99.999920000000003</v>
      </c>
      <c r="D178">
        <v>16.791910000000001</v>
      </c>
      <c r="E178">
        <v>6.8060790000000004</v>
      </c>
      <c r="G178" s="2">
        <v>14.6</v>
      </c>
      <c r="H178" s="2">
        <f t="shared" si="9"/>
        <v>1.1643528557844371</v>
      </c>
      <c r="I178" s="2">
        <f t="shared" si="11"/>
        <v>-3.8356471442155629</v>
      </c>
      <c r="L178" s="1"/>
    </row>
    <row r="179" spans="1:12" x14ac:dyDescent="0.25">
      <c r="A179">
        <v>9</v>
      </c>
      <c r="B179">
        <v>433.30799999999999</v>
      </c>
      <c r="C179">
        <v>100.00020000000001</v>
      </c>
      <c r="D179">
        <v>18.40692</v>
      </c>
      <c r="E179">
        <v>8.6757179999999998</v>
      </c>
      <c r="G179" s="2">
        <v>21.5</v>
      </c>
      <c r="H179" s="2">
        <f t="shared" si="9"/>
        <v>1.3324384599156054</v>
      </c>
      <c r="I179" s="2">
        <f t="shared" si="11"/>
        <v>-3.6675615400843946</v>
      </c>
      <c r="L179" s="1"/>
    </row>
    <row r="180" spans="1:12" x14ac:dyDescent="0.25">
      <c r="A180">
        <v>9</v>
      </c>
      <c r="B180">
        <v>434.08179999999999</v>
      </c>
      <c r="C180">
        <v>99.999970000000005</v>
      </c>
      <c r="D180">
        <v>21.012599999999999</v>
      </c>
      <c r="E180">
        <v>11.0222</v>
      </c>
      <c r="G180" s="2">
        <v>31.6</v>
      </c>
      <c r="H180" s="2">
        <f t="shared" si="9"/>
        <v>1.4996870826184039</v>
      </c>
      <c r="I180" s="2">
        <f t="shared" si="11"/>
        <v>-3.5003129173815961</v>
      </c>
      <c r="L180" s="1"/>
    </row>
    <row r="181" spans="1:12" x14ac:dyDescent="0.25">
      <c r="A181">
        <v>9</v>
      </c>
      <c r="B181">
        <v>434.9556</v>
      </c>
      <c r="C181">
        <v>100.0004</v>
      </c>
      <c r="D181">
        <v>21.310020000000002</v>
      </c>
      <c r="E181">
        <v>12.69904</v>
      </c>
      <c r="G181" s="2">
        <v>46.4</v>
      </c>
      <c r="H181" s="2">
        <f t="shared" si="9"/>
        <v>1.6665179805548809</v>
      </c>
      <c r="I181" s="2">
        <f t="shared" si="11"/>
        <v>-3.3334820194451193</v>
      </c>
      <c r="L181" s="1"/>
    </row>
    <row r="182" spans="1:12" x14ac:dyDescent="0.25">
      <c r="A182">
        <v>9</v>
      </c>
      <c r="B182">
        <v>435.27620000000002</v>
      </c>
      <c r="C182">
        <v>100.0003</v>
      </c>
      <c r="D182">
        <v>26.674689999999998</v>
      </c>
      <c r="E182">
        <v>15.90512</v>
      </c>
      <c r="G182" s="2">
        <v>68</v>
      </c>
      <c r="H182" s="2">
        <f t="shared" si="9"/>
        <v>1.8325089127062364</v>
      </c>
      <c r="I182" s="2">
        <f t="shared" si="11"/>
        <v>-3.1674910872937634</v>
      </c>
      <c r="L182" s="1"/>
    </row>
    <row r="183" spans="1:12" x14ac:dyDescent="0.25">
      <c r="A183">
        <v>9</v>
      </c>
      <c r="B183">
        <v>435.46319999999997</v>
      </c>
      <c r="C183">
        <v>100.0005</v>
      </c>
      <c r="D183">
        <v>23.490760000000002</v>
      </c>
      <c r="E183">
        <v>20.726479999999999</v>
      </c>
      <c r="G183" s="2">
        <v>100</v>
      </c>
      <c r="H183" s="2">
        <f t="shared" si="9"/>
        <v>2</v>
      </c>
      <c r="I183" s="2">
        <f t="shared" si="11"/>
        <v>-3</v>
      </c>
      <c r="L183" s="1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83"/>
  <sheetViews>
    <sheetView zoomScale="90" zoomScaleNormal="90" workbookViewId="0">
      <selection activeCell="W42" sqref="W42:W43"/>
    </sheetView>
  </sheetViews>
  <sheetFormatPr defaultRowHeight="15" x14ac:dyDescent="0.25"/>
  <cols>
    <col min="1" max="1" width="9.7109375" customWidth="1"/>
    <col min="2" max="2" width="10.7109375" customWidth="1"/>
    <col min="3" max="3" width="9" bestFit="1" customWidth="1"/>
    <col min="4" max="4" width="11.7109375" customWidth="1"/>
    <col min="5" max="5" width="10.7109375" customWidth="1"/>
    <col min="6" max="6" width="3.7109375" customWidth="1"/>
    <col min="7" max="7" width="9.7109375" customWidth="1"/>
    <col min="8" max="8" width="10.7109375" customWidth="1"/>
    <col min="9" max="9" width="9.7109375" customWidth="1"/>
    <col min="10" max="10" width="11" bestFit="1" customWidth="1"/>
    <col min="11" max="11" width="9.7109375" bestFit="1" customWidth="1"/>
    <col min="12" max="12" width="8.28515625" bestFit="1" customWidth="1"/>
    <col min="13" max="13" width="9" bestFit="1" customWidth="1"/>
    <col min="14" max="14" width="2" bestFit="1" customWidth="1"/>
    <col min="15" max="15" width="11" bestFit="1" customWidth="1"/>
    <col min="16" max="16" width="9" bestFit="1" customWidth="1"/>
    <col min="17" max="17" width="2" bestFit="1" customWidth="1"/>
    <col min="20" max="21" width="8.7109375" customWidth="1"/>
    <col min="24" max="24" width="8.5703125" customWidth="1"/>
    <col min="28" max="28" width="11.28515625" customWidth="1"/>
  </cols>
  <sheetData>
    <row r="1" spans="1:12" x14ac:dyDescent="0.25">
      <c r="I1" s="74" t="s">
        <v>18</v>
      </c>
    </row>
    <row r="2" spans="1:12" x14ac:dyDescent="0.25">
      <c r="A2" s="74" t="s">
        <v>11</v>
      </c>
      <c r="B2" t="s">
        <v>0</v>
      </c>
      <c r="C2" t="s">
        <v>1</v>
      </c>
      <c r="D2" t="s">
        <v>2</v>
      </c>
      <c r="E2" t="s">
        <v>8</v>
      </c>
      <c r="G2" s="3" t="s">
        <v>7</v>
      </c>
      <c r="H2" t="s">
        <v>9</v>
      </c>
      <c r="I2" s="74" t="s">
        <v>9</v>
      </c>
    </row>
    <row r="3" spans="1:12" x14ac:dyDescent="0.25">
      <c r="A3" s="2">
        <f>V31</f>
        <v>-6</v>
      </c>
      <c r="B3">
        <v>51.808790000000002</v>
      </c>
      <c r="C3">
        <v>60.000309999999999</v>
      </c>
      <c r="D3">
        <v>1296.5440000000001</v>
      </c>
      <c r="E3">
        <v>237.77119999999999</v>
      </c>
      <c r="G3" s="2">
        <v>9.9999990000000007E-3</v>
      </c>
      <c r="H3" s="2">
        <f>LOG(G3)</f>
        <v>-2.0000000434294503</v>
      </c>
      <c r="I3" s="2">
        <f>H3-$A$3</f>
        <v>3.9999999565705497</v>
      </c>
      <c r="L3" s="1"/>
    </row>
    <row r="4" spans="1:12" x14ac:dyDescent="0.25">
      <c r="A4">
        <v>1</v>
      </c>
      <c r="B4">
        <v>65.201459999999997</v>
      </c>
      <c r="C4">
        <v>60.000019999999999</v>
      </c>
      <c r="D4">
        <v>1411.3869999999999</v>
      </c>
      <c r="E4">
        <v>210.5737</v>
      </c>
      <c r="G4" s="2">
        <v>0.02</v>
      </c>
      <c r="H4" s="2">
        <f t="shared" ref="H4:H67" si="0">LOG(G4)</f>
        <v>-1.6989700043360187</v>
      </c>
      <c r="I4" s="2">
        <f t="shared" ref="I4:I26" si="1">H4-$A$3</f>
        <v>4.3010299956639813</v>
      </c>
      <c r="L4" s="1"/>
    </row>
    <row r="5" spans="1:12" x14ac:dyDescent="0.25">
      <c r="A5">
        <v>1</v>
      </c>
      <c r="B5">
        <v>78.57405</v>
      </c>
      <c r="C5">
        <v>60.00018</v>
      </c>
      <c r="D5">
        <v>1475.1959999999999</v>
      </c>
      <c r="E5">
        <v>194.93559999999999</v>
      </c>
      <c r="G5" s="2">
        <v>0.03</v>
      </c>
      <c r="H5" s="2">
        <f t="shared" si="0"/>
        <v>-1.5228787452803376</v>
      </c>
      <c r="I5" s="2">
        <f t="shared" si="1"/>
        <v>4.4771212547196626</v>
      </c>
      <c r="L5" s="1"/>
    </row>
    <row r="6" spans="1:12" x14ac:dyDescent="0.25">
      <c r="A6">
        <v>1</v>
      </c>
      <c r="B6">
        <v>84.618840000000006</v>
      </c>
      <c r="C6">
        <v>59.999960000000002</v>
      </c>
      <c r="D6">
        <v>1538.9570000000001</v>
      </c>
      <c r="E6">
        <v>181.00720000000001</v>
      </c>
      <c r="G6" s="2">
        <v>0.05</v>
      </c>
      <c r="H6" s="2">
        <f t="shared" si="0"/>
        <v>-1.3010299956639813</v>
      </c>
      <c r="I6" s="2">
        <f t="shared" si="1"/>
        <v>4.6989700043360187</v>
      </c>
      <c r="L6" s="1"/>
    </row>
    <row r="7" spans="1:12" x14ac:dyDescent="0.25">
      <c r="A7">
        <v>1</v>
      </c>
      <c r="B7">
        <v>96.993870000000001</v>
      </c>
      <c r="C7">
        <v>60.0002</v>
      </c>
      <c r="D7">
        <v>1585.059</v>
      </c>
      <c r="E7">
        <v>171.678</v>
      </c>
      <c r="G7" s="2">
        <v>7.0000000000000007E-2</v>
      </c>
      <c r="H7" s="2">
        <f t="shared" si="0"/>
        <v>-1.1549019599857431</v>
      </c>
      <c r="I7" s="2">
        <f t="shared" si="1"/>
        <v>4.8450980400142569</v>
      </c>
      <c r="L7" s="1"/>
    </row>
    <row r="8" spans="1:12" x14ac:dyDescent="0.25">
      <c r="A8">
        <v>1</v>
      </c>
      <c r="B8">
        <v>101.5351</v>
      </c>
      <c r="C8">
        <v>59.999960000000002</v>
      </c>
      <c r="D8">
        <v>1625.829</v>
      </c>
      <c r="E8">
        <v>165.08750000000001</v>
      </c>
      <c r="G8" s="2">
        <v>0.1</v>
      </c>
      <c r="H8" s="2">
        <f t="shared" si="0"/>
        <v>-1</v>
      </c>
      <c r="I8" s="2">
        <f t="shared" si="1"/>
        <v>5</v>
      </c>
      <c r="L8" s="1"/>
    </row>
    <row r="9" spans="1:12" x14ac:dyDescent="0.25">
      <c r="A9">
        <v>1</v>
      </c>
      <c r="B9">
        <v>104.2428</v>
      </c>
      <c r="C9">
        <v>60</v>
      </c>
      <c r="D9">
        <v>1666.5039999999999</v>
      </c>
      <c r="E9">
        <v>156.98939999999999</v>
      </c>
      <c r="G9" s="2">
        <v>0.15</v>
      </c>
      <c r="H9" s="2">
        <f t="shared" si="0"/>
        <v>-0.82390874094431876</v>
      </c>
      <c r="I9" s="2">
        <f t="shared" si="1"/>
        <v>5.1760912590556813</v>
      </c>
      <c r="L9" s="1"/>
    </row>
    <row r="10" spans="1:12" x14ac:dyDescent="0.25">
      <c r="A10">
        <v>1</v>
      </c>
      <c r="B10">
        <v>110.7843</v>
      </c>
      <c r="C10">
        <v>59.999949999999998</v>
      </c>
      <c r="D10">
        <v>1706.336</v>
      </c>
      <c r="E10">
        <v>150.10900000000001</v>
      </c>
      <c r="G10" s="2">
        <v>0.22</v>
      </c>
      <c r="H10" s="2">
        <f t="shared" si="0"/>
        <v>-0.65757731917779372</v>
      </c>
      <c r="I10" s="2">
        <f t="shared" si="1"/>
        <v>5.3424226808222066</v>
      </c>
      <c r="L10" s="1"/>
    </row>
    <row r="11" spans="1:12" x14ac:dyDescent="0.25">
      <c r="A11">
        <v>1</v>
      </c>
      <c r="B11">
        <v>118.3248</v>
      </c>
      <c r="C11">
        <v>60.000100000000003</v>
      </c>
      <c r="D11">
        <v>1742.52</v>
      </c>
      <c r="E11">
        <v>144.10390000000001</v>
      </c>
      <c r="G11" s="2">
        <v>0.32</v>
      </c>
      <c r="H11" s="2">
        <f t="shared" si="0"/>
        <v>-0.49485002168009401</v>
      </c>
      <c r="I11" s="2">
        <f t="shared" si="1"/>
        <v>5.5051499783199063</v>
      </c>
      <c r="L11" s="1"/>
    </row>
    <row r="12" spans="1:12" x14ac:dyDescent="0.25">
      <c r="A12">
        <v>1</v>
      </c>
      <c r="B12">
        <v>125.8643</v>
      </c>
      <c r="C12">
        <v>59.999879999999997</v>
      </c>
      <c r="D12">
        <v>1776.425</v>
      </c>
      <c r="E12">
        <v>139.5181</v>
      </c>
      <c r="G12" s="2">
        <v>0.46</v>
      </c>
      <c r="H12" s="2">
        <f t="shared" si="0"/>
        <v>-0.33724216831842591</v>
      </c>
      <c r="I12" s="2">
        <f t="shared" si="1"/>
        <v>5.6627578316815743</v>
      </c>
      <c r="L12" s="1"/>
    </row>
    <row r="13" spans="1:12" x14ac:dyDescent="0.25">
      <c r="A13">
        <v>1</v>
      </c>
      <c r="B13">
        <v>133.40379999999999</v>
      </c>
      <c r="C13">
        <v>60</v>
      </c>
      <c r="D13">
        <v>1812.4</v>
      </c>
      <c r="E13">
        <v>135.33320000000001</v>
      </c>
      <c r="G13" s="2">
        <v>0.68</v>
      </c>
      <c r="H13" s="2">
        <f t="shared" si="0"/>
        <v>-0.16749108729376366</v>
      </c>
      <c r="I13" s="2">
        <f t="shared" si="1"/>
        <v>5.8325089127062366</v>
      </c>
      <c r="L13" s="1"/>
    </row>
    <row r="14" spans="1:12" x14ac:dyDescent="0.25">
      <c r="A14">
        <v>1</v>
      </c>
      <c r="B14">
        <v>135.22579999999999</v>
      </c>
      <c r="C14">
        <v>60.000100000000003</v>
      </c>
      <c r="D14">
        <v>1845.133</v>
      </c>
      <c r="E14">
        <v>132.15129999999999</v>
      </c>
      <c r="G14" s="2">
        <v>1</v>
      </c>
      <c r="H14" s="2">
        <f t="shared" si="0"/>
        <v>0</v>
      </c>
      <c r="I14" s="2">
        <f t="shared" si="1"/>
        <v>6</v>
      </c>
      <c r="L14" s="1"/>
    </row>
    <row r="15" spans="1:12" x14ac:dyDescent="0.25">
      <c r="A15">
        <v>1</v>
      </c>
      <c r="B15">
        <v>135.53020000000001</v>
      </c>
      <c r="C15">
        <v>60.000399999999999</v>
      </c>
      <c r="D15">
        <v>1877.809</v>
      </c>
      <c r="E15">
        <v>129.7192</v>
      </c>
      <c r="G15" s="2">
        <v>1.5</v>
      </c>
      <c r="H15" s="2">
        <f t="shared" si="0"/>
        <v>0.17609125905568124</v>
      </c>
      <c r="I15" s="2">
        <f t="shared" si="1"/>
        <v>6.1760912590556813</v>
      </c>
      <c r="L15" s="1"/>
    </row>
    <row r="16" spans="1:12" x14ac:dyDescent="0.25">
      <c r="A16">
        <v>1</v>
      </c>
      <c r="B16">
        <v>136.80199999999999</v>
      </c>
      <c r="C16">
        <v>60.000219999999999</v>
      </c>
      <c r="D16">
        <v>1908.6690000000001</v>
      </c>
      <c r="E16">
        <v>127.6752</v>
      </c>
      <c r="G16" s="2">
        <v>2.2000000000000002</v>
      </c>
      <c r="H16" s="2">
        <f t="shared" si="0"/>
        <v>0.34242268082220628</v>
      </c>
      <c r="I16" s="2">
        <f t="shared" si="1"/>
        <v>6.3424226808222066</v>
      </c>
      <c r="L16" s="1"/>
    </row>
    <row r="17" spans="1:24" x14ac:dyDescent="0.25">
      <c r="A17">
        <v>1</v>
      </c>
      <c r="B17">
        <v>138.33940000000001</v>
      </c>
      <c r="C17">
        <v>60.000120000000003</v>
      </c>
      <c r="D17">
        <v>1938.134</v>
      </c>
      <c r="E17">
        <v>126.1464</v>
      </c>
      <c r="G17" s="2">
        <v>3.2</v>
      </c>
      <c r="H17" s="2">
        <f t="shared" si="0"/>
        <v>0.50514997831990605</v>
      </c>
      <c r="I17" s="2">
        <f t="shared" si="1"/>
        <v>6.5051499783199063</v>
      </c>
      <c r="L17" s="1"/>
    </row>
    <row r="18" spans="1:24" x14ac:dyDescent="0.25">
      <c r="A18">
        <v>1</v>
      </c>
      <c r="B18">
        <v>139.8766</v>
      </c>
      <c r="C18">
        <v>60.000300000000003</v>
      </c>
      <c r="D18">
        <v>1966.98</v>
      </c>
      <c r="E18">
        <v>125.2085</v>
      </c>
      <c r="G18" s="2">
        <v>4.5999999999999996</v>
      </c>
      <c r="H18" s="2">
        <f t="shared" si="0"/>
        <v>0.66275783168157409</v>
      </c>
      <c r="I18" s="2">
        <f t="shared" si="1"/>
        <v>6.6627578316815743</v>
      </c>
      <c r="L18" s="1"/>
    </row>
    <row r="19" spans="1:24" x14ac:dyDescent="0.25">
      <c r="A19">
        <v>1</v>
      </c>
      <c r="B19">
        <v>141.41380000000001</v>
      </c>
      <c r="C19">
        <v>60.000329999999998</v>
      </c>
      <c r="D19">
        <v>1997.537</v>
      </c>
      <c r="E19">
        <v>124.25830000000001</v>
      </c>
      <c r="G19" s="2">
        <v>6.8</v>
      </c>
      <c r="H19" s="2">
        <f t="shared" si="0"/>
        <v>0.83250891270623628</v>
      </c>
      <c r="I19" s="2">
        <f t="shared" si="1"/>
        <v>6.8325089127062366</v>
      </c>
      <c r="L19" s="1"/>
    </row>
    <row r="20" spans="1:24" x14ac:dyDescent="0.25">
      <c r="A20">
        <v>1</v>
      </c>
      <c r="B20">
        <v>141.90100000000001</v>
      </c>
      <c r="C20">
        <v>59.999980000000001</v>
      </c>
      <c r="D20">
        <v>2027.748</v>
      </c>
      <c r="E20">
        <v>123.883</v>
      </c>
      <c r="G20" s="2">
        <v>10</v>
      </c>
      <c r="H20" s="2">
        <f t="shared" si="0"/>
        <v>1</v>
      </c>
      <c r="I20" s="2">
        <f t="shared" si="1"/>
        <v>7</v>
      </c>
    </row>
    <row r="21" spans="1:24" x14ac:dyDescent="0.25">
      <c r="A21">
        <v>1</v>
      </c>
      <c r="B21">
        <v>142.5547</v>
      </c>
      <c r="C21">
        <v>60.000309999999999</v>
      </c>
      <c r="D21">
        <v>2056.576</v>
      </c>
      <c r="E21">
        <v>124.0275</v>
      </c>
      <c r="G21" s="2">
        <v>14.6</v>
      </c>
      <c r="H21" s="2">
        <f t="shared" si="0"/>
        <v>1.1643528557844371</v>
      </c>
      <c r="I21" s="2">
        <f t="shared" si="1"/>
        <v>7.1643528557844371</v>
      </c>
      <c r="L21" s="1"/>
    </row>
    <row r="22" spans="1:24" x14ac:dyDescent="0.25">
      <c r="A22">
        <v>1</v>
      </c>
      <c r="B22">
        <v>142.99180000000001</v>
      </c>
      <c r="C22">
        <v>59.999879999999997</v>
      </c>
      <c r="D22">
        <v>2086.8580000000002</v>
      </c>
      <c r="E22">
        <v>124.8627</v>
      </c>
      <c r="G22" s="2">
        <v>21.5</v>
      </c>
      <c r="H22" s="2">
        <f t="shared" si="0"/>
        <v>1.3324384599156054</v>
      </c>
      <c r="I22" s="2">
        <f t="shared" si="1"/>
        <v>7.3324384599156058</v>
      </c>
      <c r="L22" s="1"/>
    </row>
    <row r="23" spans="1:24" x14ac:dyDescent="0.25">
      <c r="A23">
        <v>1</v>
      </c>
      <c r="B23">
        <v>143.679</v>
      </c>
      <c r="C23">
        <v>59.999670000000002</v>
      </c>
      <c r="D23">
        <v>2117.4920000000002</v>
      </c>
      <c r="E23">
        <v>125.6211</v>
      </c>
      <c r="G23" s="2">
        <v>31.6</v>
      </c>
      <c r="H23" s="2">
        <f t="shared" si="0"/>
        <v>1.4996870826184039</v>
      </c>
      <c r="I23" s="2">
        <f t="shared" si="1"/>
        <v>7.4996870826184043</v>
      </c>
      <c r="L23" s="1"/>
    </row>
    <row r="24" spans="1:24" x14ac:dyDescent="0.25">
      <c r="A24">
        <v>1</v>
      </c>
      <c r="B24">
        <v>144.46619999999999</v>
      </c>
      <c r="C24">
        <v>59.999459999999999</v>
      </c>
      <c r="D24">
        <v>2145.627</v>
      </c>
      <c r="E24">
        <v>124.6859</v>
      </c>
      <c r="G24" s="2">
        <v>46.4</v>
      </c>
      <c r="H24" s="2">
        <f t="shared" si="0"/>
        <v>1.6665179805548809</v>
      </c>
      <c r="I24" s="2">
        <f t="shared" si="1"/>
        <v>7.6665179805548807</v>
      </c>
      <c r="L24" s="1"/>
    </row>
    <row r="25" spans="1:24" x14ac:dyDescent="0.25">
      <c r="A25">
        <v>1</v>
      </c>
      <c r="B25">
        <v>144.7867</v>
      </c>
      <c r="C25">
        <v>59.999580000000002</v>
      </c>
      <c r="D25">
        <v>2173.4160000000002</v>
      </c>
      <c r="E25">
        <v>125.4066</v>
      </c>
      <c r="G25" s="2">
        <v>68</v>
      </c>
      <c r="H25" s="2">
        <f t="shared" si="0"/>
        <v>1.8325089127062364</v>
      </c>
      <c r="I25" s="2">
        <f t="shared" si="1"/>
        <v>7.8325089127062366</v>
      </c>
      <c r="L25" s="1"/>
    </row>
    <row r="26" spans="1:24" x14ac:dyDescent="0.25">
      <c r="A26">
        <v>1</v>
      </c>
      <c r="B26">
        <v>144.9736</v>
      </c>
      <c r="C26">
        <v>59.999510000000001</v>
      </c>
      <c r="D26">
        <v>2180.3760000000002</v>
      </c>
      <c r="E26">
        <v>128.73769999999999</v>
      </c>
      <c r="G26" s="2">
        <v>100</v>
      </c>
      <c r="H26" s="2">
        <f t="shared" si="0"/>
        <v>2</v>
      </c>
      <c r="I26" s="2">
        <f t="shared" si="1"/>
        <v>8</v>
      </c>
      <c r="L26" s="1"/>
    </row>
    <row r="27" spans="1:24" x14ac:dyDescent="0.25">
      <c r="A27" s="2">
        <f>V32</f>
        <v>-3.9</v>
      </c>
      <c r="B27">
        <v>195.71559999999999</v>
      </c>
      <c r="C27">
        <v>65.000240000000005</v>
      </c>
      <c r="D27">
        <v>691.05809999999997</v>
      </c>
      <c r="E27">
        <v>247.21360000000001</v>
      </c>
      <c r="G27" s="2">
        <v>9.9999990000000007E-3</v>
      </c>
      <c r="H27" s="2">
        <f t="shared" si="0"/>
        <v>-2.0000000434294503</v>
      </c>
      <c r="I27" s="2">
        <f>H27-$A$27</f>
        <v>1.8999999565705497</v>
      </c>
      <c r="L27" s="1"/>
      <c r="V27" s="42" t="s">
        <v>44</v>
      </c>
      <c r="X27" s="42" t="s">
        <v>12</v>
      </c>
    </row>
    <row r="28" spans="1:24" x14ac:dyDescent="0.25">
      <c r="A28">
        <v>2</v>
      </c>
      <c r="B28">
        <v>208.28129999999999</v>
      </c>
      <c r="C28">
        <v>64.999960000000002</v>
      </c>
      <c r="D28">
        <v>807.14599999999996</v>
      </c>
      <c r="E28">
        <v>243.7028</v>
      </c>
      <c r="G28" s="2">
        <v>0.02</v>
      </c>
      <c r="H28" s="2">
        <f t="shared" si="0"/>
        <v>-1.6989700043360187</v>
      </c>
      <c r="I28" s="2">
        <f t="shared" ref="I28:I50" si="2">H28-$A$27</f>
        <v>2.2010299956639812</v>
      </c>
      <c r="L28" s="1"/>
      <c r="U28" s="3" t="s">
        <v>10</v>
      </c>
      <c r="V28" s="3" t="s">
        <v>11</v>
      </c>
      <c r="X28" s="42" t="s">
        <v>11</v>
      </c>
    </row>
    <row r="29" spans="1:24" x14ac:dyDescent="0.25">
      <c r="A29">
        <v>2</v>
      </c>
      <c r="B29">
        <v>230.01320000000001</v>
      </c>
      <c r="C29">
        <v>65.000219999999999</v>
      </c>
      <c r="D29">
        <v>874.48</v>
      </c>
      <c r="E29">
        <v>236.19890000000001</v>
      </c>
      <c r="G29" s="2">
        <v>0.03</v>
      </c>
      <c r="H29" s="2">
        <f t="shared" si="0"/>
        <v>-1.5228787452803376</v>
      </c>
      <c r="I29" s="2">
        <f t="shared" si="2"/>
        <v>2.3771212547196621</v>
      </c>
      <c r="L29" s="1"/>
      <c r="U29" s="3">
        <v>50</v>
      </c>
      <c r="V29" s="3"/>
      <c r="X29" s="2">
        <f t="shared" ref="X29:X41" si="3">-_C1*(U29-T0)/(_C2+(U29-T0))</f>
        <v>16.353383458646615</v>
      </c>
    </row>
    <row r="30" spans="1:24" x14ac:dyDescent="0.25">
      <c r="A30">
        <v>2</v>
      </c>
      <c r="B30">
        <v>237.40950000000001</v>
      </c>
      <c r="C30">
        <v>64.999629999999996</v>
      </c>
      <c r="D30">
        <v>952.33579999999995</v>
      </c>
      <c r="E30">
        <v>230.1482</v>
      </c>
      <c r="G30" s="2">
        <v>0.05</v>
      </c>
      <c r="H30" s="2">
        <f t="shared" si="0"/>
        <v>-1.3010299956639813</v>
      </c>
      <c r="I30" s="2">
        <f t="shared" si="2"/>
        <v>2.5989700043360187</v>
      </c>
      <c r="L30" s="1"/>
      <c r="U30" s="3">
        <v>55</v>
      </c>
      <c r="V30" s="3"/>
      <c r="X30" s="2">
        <f t="shared" si="3"/>
        <v>11.012658227848101</v>
      </c>
    </row>
    <row r="31" spans="1:24" x14ac:dyDescent="0.25">
      <c r="A31">
        <v>2</v>
      </c>
      <c r="B31">
        <v>258.1386</v>
      </c>
      <c r="C31">
        <v>65</v>
      </c>
      <c r="D31">
        <v>1003.414</v>
      </c>
      <c r="E31">
        <v>224.62479999999999</v>
      </c>
      <c r="G31" s="2">
        <v>7.0000000000000007E-2</v>
      </c>
      <c r="H31" s="2">
        <f t="shared" si="0"/>
        <v>-1.1549019599857431</v>
      </c>
      <c r="I31" s="2">
        <f t="shared" si="2"/>
        <v>2.7450980400142568</v>
      </c>
      <c r="L31" s="1"/>
      <c r="U31" s="3">
        <v>60</v>
      </c>
      <c r="V31" s="3">
        <v>-6</v>
      </c>
      <c r="W31" s="5">
        <f>-V31</f>
        <v>6</v>
      </c>
      <c r="X31" s="2">
        <f t="shared" si="3"/>
        <v>7.1311475409836067</v>
      </c>
    </row>
    <row r="32" spans="1:24" x14ac:dyDescent="0.25">
      <c r="A32">
        <v>2</v>
      </c>
      <c r="B32">
        <v>263.69869999999997</v>
      </c>
      <c r="C32">
        <v>65.000100000000003</v>
      </c>
      <c r="D32">
        <v>1054.4970000000001</v>
      </c>
      <c r="E32">
        <v>219.5368</v>
      </c>
      <c r="G32" s="2">
        <v>0.1</v>
      </c>
      <c r="H32" s="2">
        <f t="shared" si="0"/>
        <v>-1</v>
      </c>
      <c r="I32" s="2">
        <f t="shared" si="2"/>
        <v>2.9</v>
      </c>
      <c r="L32" s="1"/>
      <c r="U32" s="3">
        <v>65</v>
      </c>
      <c r="V32" s="3">
        <v>-3.9</v>
      </c>
      <c r="W32" s="5">
        <f t="shared" ref="W32:W39" si="4">-V32</f>
        <v>3.9</v>
      </c>
      <c r="X32" s="2">
        <f t="shared" si="3"/>
        <v>4.1826923076923075</v>
      </c>
    </row>
    <row r="33" spans="1:24" x14ac:dyDescent="0.25">
      <c r="A33">
        <v>2</v>
      </c>
      <c r="B33">
        <v>268.42349999999999</v>
      </c>
      <c r="C33">
        <v>64.999889999999994</v>
      </c>
      <c r="D33">
        <v>1110.02</v>
      </c>
      <c r="E33">
        <v>214.2122</v>
      </c>
      <c r="G33" s="2">
        <v>0.15</v>
      </c>
      <c r="H33" s="2">
        <f t="shared" si="0"/>
        <v>-0.82390874094431876</v>
      </c>
      <c r="I33" s="2">
        <f t="shared" si="2"/>
        <v>3.0760912590556813</v>
      </c>
      <c r="L33" s="1"/>
      <c r="U33" s="3">
        <v>70</v>
      </c>
      <c r="V33" s="3">
        <v>-1.6</v>
      </c>
      <c r="W33" s="5">
        <f t="shared" si="4"/>
        <v>1.6</v>
      </c>
      <c r="X33" s="2">
        <f t="shared" si="3"/>
        <v>1.8669527896995708</v>
      </c>
    </row>
    <row r="34" spans="1:24" x14ac:dyDescent="0.25">
      <c r="A34">
        <v>2</v>
      </c>
      <c r="B34">
        <v>279.14839999999998</v>
      </c>
      <c r="C34">
        <v>65.000029999999995</v>
      </c>
      <c r="D34">
        <v>1160.9829999999999</v>
      </c>
      <c r="E34">
        <v>208.65209999999999</v>
      </c>
      <c r="G34" s="2">
        <v>0.22</v>
      </c>
      <c r="H34" s="2">
        <f t="shared" si="0"/>
        <v>-0.65757731917779372</v>
      </c>
      <c r="I34" s="2">
        <f t="shared" si="2"/>
        <v>3.2424226808222061</v>
      </c>
      <c r="L34" s="1"/>
      <c r="U34" s="3">
        <v>75</v>
      </c>
      <c r="V34" s="3">
        <v>0</v>
      </c>
      <c r="W34" s="5">
        <f t="shared" si="4"/>
        <v>0</v>
      </c>
      <c r="X34" s="2">
        <f t="shared" si="3"/>
        <v>0</v>
      </c>
    </row>
    <row r="35" spans="1:24" x14ac:dyDescent="0.25">
      <c r="A35">
        <v>2</v>
      </c>
      <c r="B35">
        <v>290.8732</v>
      </c>
      <c r="C35">
        <v>64.99991</v>
      </c>
      <c r="D35">
        <v>1210.2940000000001</v>
      </c>
      <c r="E35">
        <v>203.24809999999999</v>
      </c>
      <c r="G35" s="2">
        <v>0.32</v>
      </c>
      <c r="H35" s="2">
        <f t="shared" si="0"/>
        <v>-0.49485002168009401</v>
      </c>
      <c r="I35" s="2">
        <f t="shared" si="2"/>
        <v>3.4051499783199057</v>
      </c>
      <c r="L35" s="1"/>
      <c r="U35" s="3">
        <v>80</v>
      </c>
      <c r="V35" s="3">
        <v>1.2</v>
      </c>
      <c r="W35" s="5">
        <f t="shared" si="4"/>
        <v>-1.2</v>
      </c>
      <c r="X35" s="2">
        <f t="shared" si="3"/>
        <v>-1.5371024734982333</v>
      </c>
    </row>
    <row r="36" spans="1:24" x14ac:dyDescent="0.25">
      <c r="A36">
        <v>2</v>
      </c>
      <c r="B36">
        <v>302.5949</v>
      </c>
      <c r="C36">
        <v>64.999939999999995</v>
      </c>
      <c r="D36">
        <v>1256.43</v>
      </c>
      <c r="E36">
        <v>198.69669999999999</v>
      </c>
      <c r="G36" s="2">
        <v>0.46</v>
      </c>
      <c r="H36" s="2">
        <f t="shared" si="0"/>
        <v>-0.33724216831842591</v>
      </c>
      <c r="I36" s="2">
        <f t="shared" si="2"/>
        <v>3.5627578316815738</v>
      </c>
      <c r="L36" s="1"/>
      <c r="U36" s="3">
        <v>85</v>
      </c>
      <c r="V36" s="3">
        <v>2.1</v>
      </c>
      <c r="W36" s="5">
        <f t="shared" si="4"/>
        <v>-2.1</v>
      </c>
      <c r="X36" s="2">
        <f t="shared" si="3"/>
        <v>-2.8246753246753245</v>
      </c>
    </row>
    <row r="37" spans="1:24" x14ac:dyDescent="0.25">
      <c r="A37">
        <v>2</v>
      </c>
      <c r="B37">
        <v>314.31599999999997</v>
      </c>
      <c r="C37">
        <v>65.000240000000005</v>
      </c>
      <c r="D37">
        <v>1304.481</v>
      </c>
      <c r="E37">
        <v>193.91489999999999</v>
      </c>
      <c r="G37" s="2">
        <v>0.68</v>
      </c>
      <c r="H37" s="2">
        <f t="shared" si="0"/>
        <v>-0.16749108729376366</v>
      </c>
      <c r="I37" s="2">
        <f t="shared" si="2"/>
        <v>3.7325089127062361</v>
      </c>
      <c r="L37" s="1"/>
      <c r="U37" s="3">
        <v>90</v>
      </c>
      <c r="V37" s="3">
        <v>2.9</v>
      </c>
      <c r="W37" s="5">
        <f t="shared" si="4"/>
        <v>-2.9</v>
      </c>
      <c r="X37" s="2">
        <f t="shared" si="3"/>
        <v>-3.9189189189189193</v>
      </c>
    </row>
    <row r="38" spans="1:24" x14ac:dyDescent="0.25">
      <c r="A38">
        <v>2</v>
      </c>
      <c r="B38">
        <v>316.23570000000001</v>
      </c>
      <c r="C38">
        <v>64.999459999999999</v>
      </c>
      <c r="D38">
        <v>1348.5419999999999</v>
      </c>
      <c r="E38">
        <v>189.76089999999999</v>
      </c>
      <c r="G38" s="2">
        <v>1</v>
      </c>
      <c r="H38" s="2">
        <f t="shared" si="0"/>
        <v>0</v>
      </c>
      <c r="I38" s="2">
        <f t="shared" si="2"/>
        <v>3.9</v>
      </c>
      <c r="L38" s="1"/>
      <c r="U38" s="3">
        <v>95</v>
      </c>
      <c r="V38" s="3">
        <v>3.6</v>
      </c>
      <c r="W38" s="5">
        <f t="shared" si="4"/>
        <v>-3.6</v>
      </c>
      <c r="X38" s="2">
        <f t="shared" si="3"/>
        <v>-4.8603351955307268</v>
      </c>
    </row>
    <row r="39" spans="1:24" x14ac:dyDescent="0.25">
      <c r="A39">
        <v>2</v>
      </c>
      <c r="B39">
        <v>316.72149999999999</v>
      </c>
      <c r="C39">
        <v>64.999459999999999</v>
      </c>
      <c r="D39">
        <v>1395.328</v>
      </c>
      <c r="E39">
        <v>186.58260000000001</v>
      </c>
      <c r="G39" s="2">
        <v>1.5</v>
      </c>
      <c r="H39" s="2">
        <f t="shared" si="0"/>
        <v>0.17609125905568124</v>
      </c>
      <c r="I39" s="2">
        <f t="shared" si="2"/>
        <v>4.0760912590556808</v>
      </c>
      <c r="L39" s="1"/>
      <c r="U39" s="3">
        <v>100</v>
      </c>
      <c r="V39" s="3">
        <v>4.2</v>
      </c>
      <c r="W39" s="5">
        <f t="shared" si="4"/>
        <v>-4.2</v>
      </c>
      <c r="X39" s="2">
        <f t="shared" si="3"/>
        <v>-5.6788511749347252</v>
      </c>
    </row>
    <row r="40" spans="1:24" x14ac:dyDescent="0.25">
      <c r="A40">
        <v>2</v>
      </c>
      <c r="B40">
        <v>318.84050000000002</v>
      </c>
      <c r="C40">
        <v>65.000399999999999</v>
      </c>
      <c r="D40">
        <v>1438.5450000000001</v>
      </c>
      <c r="E40">
        <v>183.15180000000001</v>
      </c>
      <c r="G40" s="2">
        <v>2.2000000000000002</v>
      </c>
      <c r="H40" s="2">
        <f t="shared" si="0"/>
        <v>0.34242268082220628</v>
      </c>
      <c r="I40" s="2">
        <f t="shared" si="2"/>
        <v>4.2424226808222061</v>
      </c>
      <c r="L40" s="1"/>
      <c r="U40" s="3">
        <v>105</v>
      </c>
      <c r="X40" s="2">
        <f t="shared" si="3"/>
        <v>-6.3970588235294121</v>
      </c>
    </row>
    <row r="41" spans="1:24" x14ac:dyDescent="0.25">
      <c r="A41">
        <v>2</v>
      </c>
      <c r="B41">
        <v>321.226</v>
      </c>
      <c r="C41">
        <v>64.999939999999995</v>
      </c>
      <c r="D41">
        <v>1480.018</v>
      </c>
      <c r="E41">
        <v>179.56540000000001</v>
      </c>
      <c r="G41" s="2">
        <v>3.2</v>
      </c>
      <c r="H41" s="2">
        <f t="shared" si="0"/>
        <v>0.50514997831990605</v>
      </c>
      <c r="I41" s="2">
        <f t="shared" si="2"/>
        <v>4.4051499783199057</v>
      </c>
      <c r="L41" s="1"/>
      <c r="U41" s="3">
        <v>110</v>
      </c>
      <c r="X41" s="2">
        <f t="shared" si="3"/>
        <v>-7.0323325635103933</v>
      </c>
    </row>
    <row r="42" spans="1:24" x14ac:dyDescent="0.25">
      <c r="A42">
        <v>2</v>
      </c>
      <c r="B42">
        <v>323.61099999999999</v>
      </c>
      <c r="C42">
        <v>65.000079999999997</v>
      </c>
      <c r="D42">
        <v>1520.3389999999999</v>
      </c>
      <c r="E42">
        <v>177.8973</v>
      </c>
      <c r="G42" s="2">
        <v>4.5999999999999996</v>
      </c>
      <c r="H42" s="2">
        <f t="shared" si="0"/>
        <v>0.66275783168157409</v>
      </c>
      <c r="I42" s="2">
        <f t="shared" si="2"/>
        <v>4.5627578316815738</v>
      </c>
      <c r="L42" s="1"/>
      <c r="V42" s="4" t="s">
        <v>13</v>
      </c>
      <c r="W42">
        <v>17.399999999999999</v>
      </c>
    </row>
    <row r="43" spans="1:24" x14ac:dyDescent="0.25">
      <c r="A43">
        <v>2</v>
      </c>
      <c r="B43">
        <v>325.99560000000002</v>
      </c>
      <c r="C43">
        <v>64.999780000000001</v>
      </c>
      <c r="D43">
        <v>1562.296</v>
      </c>
      <c r="E43">
        <v>175.7621</v>
      </c>
      <c r="G43" s="2">
        <v>6.8</v>
      </c>
      <c r="H43" s="2">
        <f t="shared" si="0"/>
        <v>0.83250891270623628</v>
      </c>
      <c r="I43" s="2">
        <f t="shared" si="2"/>
        <v>4.7325089127062361</v>
      </c>
      <c r="L43" s="1"/>
      <c r="V43" s="4" t="s">
        <v>14</v>
      </c>
      <c r="W43">
        <v>51.6</v>
      </c>
    </row>
    <row r="44" spans="1:24" x14ac:dyDescent="0.25">
      <c r="A44">
        <v>2</v>
      </c>
      <c r="B44">
        <v>326.57819999999998</v>
      </c>
      <c r="C44">
        <v>65.000200000000007</v>
      </c>
      <c r="D44">
        <v>1603.7</v>
      </c>
      <c r="E44">
        <v>174.24879999999999</v>
      </c>
      <c r="G44" s="2">
        <v>10</v>
      </c>
      <c r="H44" s="2">
        <f t="shared" si="0"/>
        <v>1</v>
      </c>
      <c r="I44" s="2">
        <f t="shared" si="2"/>
        <v>4.9000000000000004</v>
      </c>
      <c r="V44" s="4" t="s">
        <v>15</v>
      </c>
      <c r="W44">
        <v>75</v>
      </c>
    </row>
    <row r="45" spans="1:24" x14ac:dyDescent="0.25">
      <c r="A45">
        <v>2</v>
      </c>
      <c r="B45">
        <v>327.65980000000002</v>
      </c>
      <c r="C45">
        <v>65.000439999999998</v>
      </c>
      <c r="D45">
        <v>1643.249</v>
      </c>
      <c r="E45">
        <v>172.90360000000001</v>
      </c>
      <c r="G45" s="2">
        <v>14.6</v>
      </c>
      <c r="H45" s="2">
        <f t="shared" si="0"/>
        <v>1.1643528557844371</v>
      </c>
      <c r="I45" s="2">
        <f t="shared" si="2"/>
        <v>5.0643528557844366</v>
      </c>
      <c r="L45" s="1"/>
      <c r="T45" t="s">
        <v>17</v>
      </c>
    </row>
    <row r="46" spans="1:24" x14ac:dyDescent="0.25">
      <c r="A46">
        <v>2</v>
      </c>
      <c r="B46">
        <v>328.27480000000003</v>
      </c>
      <c r="C46">
        <v>65.000219999999999</v>
      </c>
      <c r="D46">
        <v>1684.2809999999999</v>
      </c>
      <c r="E46">
        <v>172.41560000000001</v>
      </c>
      <c r="G46" s="2">
        <v>21.5</v>
      </c>
      <c r="H46" s="2">
        <f t="shared" si="0"/>
        <v>1.3324384599156054</v>
      </c>
      <c r="I46" s="2">
        <f t="shared" si="2"/>
        <v>5.2324384599156053</v>
      </c>
      <c r="L46" s="1"/>
    </row>
    <row r="47" spans="1:24" x14ac:dyDescent="0.25">
      <c r="A47">
        <v>2</v>
      </c>
      <c r="B47">
        <v>329.3895</v>
      </c>
      <c r="C47">
        <v>65.000510000000006</v>
      </c>
      <c r="D47">
        <v>1724.9110000000001</v>
      </c>
      <c r="E47">
        <v>171.94540000000001</v>
      </c>
      <c r="G47" s="2">
        <v>31.6</v>
      </c>
      <c r="H47" s="2">
        <f t="shared" si="0"/>
        <v>1.4996870826184039</v>
      </c>
      <c r="I47" s="2">
        <f t="shared" si="2"/>
        <v>5.3996870826184038</v>
      </c>
      <c r="L47" s="1"/>
    </row>
    <row r="48" spans="1:24" x14ac:dyDescent="0.25">
      <c r="A48">
        <v>2</v>
      </c>
      <c r="B48">
        <v>330.60410000000002</v>
      </c>
      <c r="C48">
        <v>65.000039999999998</v>
      </c>
      <c r="D48">
        <v>1761.61</v>
      </c>
      <c r="E48">
        <v>170.9248</v>
      </c>
      <c r="G48" s="2">
        <v>46.4</v>
      </c>
      <c r="H48" s="2">
        <f t="shared" si="0"/>
        <v>1.6665179805548809</v>
      </c>
      <c r="I48" s="2">
        <f t="shared" si="2"/>
        <v>5.566517980554881</v>
      </c>
      <c r="L48" s="1"/>
    </row>
    <row r="49" spans="1:12" x14ac:dyDescent="0.25">
      <c r="A49">
        <v>2</v>
      </c>
      <c r="B49">
        <v>331.01870000000002</v>
      </c>
      <c r="C49">
        <v>65.000360000000001</v>
      </c>
      <c r="D49">
        <v>1801.5840000000001</v>
      </c>
      <c r="E49">
        <v>169.36510000000001</v>
      </c>
      <c r="G49" s="2">
        <v>68</v>
      </c>
      <c r="H49" s="2">
        <f t="shared" si="0"/>
        <v>1.8325089127062364</v>
      </c>
      <c r="I49" s="2">
        <f t="shared" si="2"/>
        <v>5.7325089127062361</v>
      </c>
      <c r="L49" s="1"/>
    </row>
    <row r="50" spans="1:12" x14ac:dyDescent="0.25">
      <c r="A50">
        <v>2</v>
      </c>
      <c r="B50">
        <v>331.3005</v>
      </c>
      <c r="C50">
        <v>64.999759999999995</v>
      </c>
      <c r="D50">
        <v>1822.0229999999999</v>
      </c>
      <c r="E50">
        <v>171.3306</v>
      </c>
      <c r="G50" s="2">
        <v>100</v>
      </c>
      <c r="H50" s="2">
        <f t="shared" si="0"/>
        <v>2</v>
      </c>
      <c r="I50" s="2">
        <f t="shared" si="2"/>
        <v>5.9</v>
      </c>
      <c r="L50" s="1"/>
    </row>
    <row r="51" spans="1:12" x14ac:dyDescent="0.25">
      <c r="A51" s="2">
        <f>V33</f>
        <v>-1.6</v>
      </c>
      <c r="B51">
        <v>7.9569999999999999</v>
      </c>
      <c r="C51">
        <v>69.984780000000001</v>
      </c>
      <c r="D51">
        <v>493.78960000000001</v>
      </c>
      <c r="E51">
        <v>200.56100000000001</v>
      </c>
      <c r="G51" s="2">
        <v>0.1</v>
      </c>
      <c r="H51" s="2">
        <f t="shared" si="0"/>
        <v>-1</v>
      </c>
      <c r="I51" s="2">
        <f>H51-$A$51</f>
        <v>0.60000000000000009</v>
      </c>
      <c r="L51" s="1"/>
    </row>
    <row r="52" spans="1:12" x14ac:dyDescent="0.25">
      <c r="A52">
        <v>3</v>
      </c>
      <c r="B52">
        <v>12.04025</v>
      </c>
      <c r="C52">
        <v>69.996499999999997</v>
      </c>
      <c r="D52">
        <v>473.6807</v>
      </c>
      <c r="E52">
        <v>194.85659999999999</v>
      </c>
      <c r="G52" s="2">
        <v>0.15</v>
      </c>
      <c r="H52" s="2">
        <f t="shared" si="0"/>
        <v>-0.82390874094431876</v>
      </c>
      <c r="I52" s="2">
        <f t="shared" ref="I52:I69" si="5">H52-$A$51</f>
        <v>0.77609125905568133</v>
      </c>
      <c r="L52" s="1"/>
    </row>
    <row r="53" spans="1:12" x14ac:dyDescent="0.25">
      <c r="A53">
        <v>3</v>
      </c>
      <c r="B53">
        <v>20.25638</v>
      </c>
      <c r="C53">
        <v>69.997380000000007</v>
      </c>
      <c r="D53">
        <v>489.50259999999997</v>
      </c>
      <c r="E53">
        <v>195.88669999999999</v>
      </c>
      <c r="G53" s="2">
        <v>0.22</v>
      </c>
      <c r="H53" s="2">
        <f t="shared" si="0"/>
        <v>-0.65757731917779372</v>
      </c>
      <c r="I53" s="2">
        <f t="shared" si="5"/>
        <v>0.94242268082220637</v>
      </c>
      <c r="L53" s="1"/>
    </row>
    <row r="54" spans="1:12" x14ac:dyDescent="0.25">
      <c r="A54">
        <v>3</v>
      </c>
      <c r="B54">
        <v>28.630710000000001</v>
      </c>
      <c r="C54">
        <v>70.000950000000003</v>
      </c>
      <c r="D54">
        <v>534.02890000000002</v>
      </c>
      <c r="E54">
        <v>198.8818</v>
      </c>
      <c r="G54" s="2">
        <v>0.32</v>
      </c>
      <c r="H54" s="2">
        <f t="shared" si="0"/>
        <v>-0.49485002168009401</v>
      </c>
      <c r="I54" s="2">
        <f t="shared" si="5"/>
        <v>1.1051499783199061</v>
      </c>
      <c r="L54" s="1"/>
    </row>
    <row r="55" spans="1:12" x14ac:dyDescent="0.25">
      <c r="A55">
        <v>3</v>
      </c>
      <c r="B55">
        <v>37.005040000000001</v>
      </c>
      <c r="C55">
        <v>70.000919999999994</v>
      </c>
      <c r="D55">
        <v>577.97180000000003</v>
      </c>
      <c r="E55">
        <v>201.3202</v>
      </c>
      <c r="G55" s="2">
        <v>0.46</v>
      </c>
      <c r="H55" s="2">
        <f t="shared" si="0"/>
        <v>-0.33724216831842591</v>
      </c>
      <c r="I55" s="2">
        <f t="shared" si="5"/>
        <v>1.2627578316815742</v>
      </c>
      <c r="L55" s="1"/>
    </row>
    <row r="56" spans="1:12" x14ac:dyDescent="0.25">
      <c r="A56">
        <v>3</v>
      </c>
      <c r="B56">
        <v>45.379379999999998</v>
      </c>
      <c r="C56">
        <v>70.000690000000006</v>
      </c>
      <c r="D56">
        <v>625.17610000000002</v>
      </c>
      <c r="E56">
        <v>203.14150000000001</v>
      </c>
      <c r="G56" s="2">
        <v>0.68</v>
      </c>
      <c r="H56" s="2">
        <f t="shared" si="0"/>
        <v>-0.16749108729376366</v>
      </c>
      <c r="I56" s="2">
        <f t="shared" si="5"/>
        <v>1.4325089127062365</v>
      </c>
      <c r="L56" s="1"/>
    </row>
    <row r="57" spans="1:12" x14ac:dyDescent="0.25">
      <c r="A57">
        <v>3</v>
      </c>
      <c r="B57">
        <v>47.218339999999998</v>
      </c>
      <c r="C57">
        <v>70.000559999999993</v>
      </c>
      <c r="D57">
        <v>673.65089999999998</v>
      </c>
      <c r="E57">
        <v>204.6474</v>
      </c>
      <c r="G57" s="2">
        <v>1</v>
      </c>
      <c r="H57" s="2">
        <f t="shared" si="0"/>
        <v>0</v>
      </c>
      <c r="I57" s="2">
        <f t="shared" si="5"/>
        <v>1.6</v>
      </c>
      <c r="L57" s="1"/>
    </row>
    <row r="58" spans="1:12" x14ac:dyDescent="0.25">
      <c r="A58">
        <v>3</v>
      </c>
      <c r="B58">
        <v>47.557169999999999</v>
      </c>
      <c r="C58">
        <v>70.000399999999999</v>
      </c>
      <c r="D58">
        <v>723.61030000000005</v>
      </c>
      <c r="E58">
        <v>205.49760000000001</v>
      </c>
      <c r="G58" s="2">
        <v>1.5</v>
      </c>
      <c r="H58" s="2">
        <f t="shared" si="0"/>
        <v>0.17609125905568124</v>
      </c>
      <c r="I58" s="2">
        <f t="shared" si="5"/>
        <v>1.7760912590556814</v>
      </c>
      <c r="L58" s="1"/>
    </row>
    <row r="59" spans="1:12" x14ac:dyDescent="0.25">
      <c r="A59">
        <v>3</v>
      </c>
      <c r="B59">
        <v>48.996499999999997</v>
      </c>
      <c r="C59">
        <v>70.000410000000002</v>
      </c>
      <c r="D59">
        <v>768.02189999999996</v>
      </c>
      <c r="E59">
        <v>205.53380000000001</v>
      </c>
      <c r="G59" s="2">
        <v>2.2000000000000002</v>
      </c>
      <c r="H59" s="2">
        <f t="shared" si="0"/>
        <v>0.34242268082220628</v>
      </c>
      <c r="I59" s="2">
        <f t="shared" si="5"/>
        <v>1.9424226808222063</v>
      </c>
      <c r="L59" s="1"/>
    </row>
    <row r="60" spans="1:12" x14ac:dyDescent="0.25">
      <c r="A60">
        <v>3</v>
      </c>
      <c r="B60">
        <v>50.702500000000001</v>
      </c>
      <c r="C60">
        <v>70.001149999999996</v>
      </c>
      <c r="D60">
        <v>811.76710000000003</v>
      </c>
      <c r="E60">
        <v>205.13499999999999</v>
      </c>
      <c r="G60" s="2">
        <v>3.2</v>
      </c>
      <c r="H60" s="2">
        <f t="shared" si="0"/>
        <v>0.50514997831990605</v>
      </c>
      <c r="I60" s="2">
        <f t="shared" si="5"/>
        <v>2.1051499783199059</v>
      </c>
      <c r="L60" s="1"/>
    </row>
    <row r="61" spans="1:12" x14ac:dyDescent="0.25">
      <c r="A61">
        <v>3</v>
      </c>
      <c r="B61">
        <v>52.239840000000001</v>
      </c>
      <c r="C61">
        <v>70.000630000000001</v>
      </c>
      <c r="D61">
        <v>854.01580000000001</v>
      </c>
      <c r="E61">
        <v>204.43870000000001</v>
      </c>
      <c r="G61" s="2">
        <v>4.5999999999999996</v>
      </c>
      <c r="H61" s="2">
        <f t="shared" si="0"/>
        <v>0.66275783168157409</v>
      </c>
      <c r="I61" s="2">
        <f t="shared" si="5"/>
        <v>2.262757831681574</v>
      </c>
      <c r="L61" s="1"/>
    </row>
    <row r="62" spans="1:12" x14ac:dyDescent="0.25">
      <c r="A62">
        <v>3</v>
      </c>
      <c r="B62">
        <v>53.777169999999998</v>
      </c>
      <c r="C62">
        <v>70.000259999999997</v>
      </c>
      <c r="D62">
        <v>898.55489999999998</v>
      </c>
      <c r="E62">
        <v>203.3218</v>
      </c>
      <c r="G62" s="2">
        <v>6.8</v>
      </c>
      <c r="H62" s="2">
        <f t="shared" si="0"/>
        <v>0.83250891270623628</v>
      </c>
      <c r="I62" s="2">
        <f t="shared" si="5"/>
        <v>2.4325089127062363</v>
      </c>
      <c r="L62" s="1"/>
    </row>
    <row r="63" spans="1:12" x14ac:dyDescent="0.25">
      <c r="A63">
        <v>3</v>
      </c>
      <c r="B63">
        <v>54.264330000000001</v>
      </c>
      <c r="C63">
        <v>70.000380000000007</v>
      </c>
      <c r="D63">
        <v>944.40710000000001</v>
      </c>
      <c r="E63">
        <v>202.2379</v>
      </c>
      <c r="G63" s="2">
        <v>10</v>
      </c>
      <c r="H63" s="2">
        <f t="shared" si="0"/>
        <v>1</v>
      </c>
      <c r="I63" s="2">
        <f t="shared" si="5"/>
        <v>2.6</v>
      </c>
      <c r="L63" s="1"/>
    </row>
    <row r="64" spans="1:12" x14ac:dyDescent="0.25">
      <c r="A64">
        <v>3</v>
      </c>
      <c r="B64">
        <v>54.917999999999999</v>
      </c>
      <c r="C64">
        <v>70.000380000000007</v>
      </c>
      <c r="D64">
        <v>985.64469999999994</v>
      </c>
      <c r="E64">
        <v>201.18299999999999</v>
      </c>
      <c r="G64" s="2">
        <v>14.6</v>
      </c>
      <c r="H64" s="2">
        <f t="shared" si="0"/>
        <v>1.1643528557844371</v>
      </c>
      <c r="I64" s="2">
        <f t="shared" si="5"/>
        <v>2.7643528557844372</v>
      </c>
      <c r="L64" s="1"/>
    </row>
    <row r="65" spans="1:12" x14ac:dyDescent="0.25">
      <c r="A65">
        <v>3</v>
      </c>
      <c r="B65">
        <v>55.355179999999997</v>
      </c>
      <c r="C65">
        <v>70.000380000000007</v>
      </c>
      <c r="D65">
        <v>1029.2239999999999</v>
      </c>
      <c r="E65">
        <v>200.12530000000001</v>
      </c>
      <c r="G65" s="2">
        <v>21.5</v>
      </c>
      <c r="H65" s="2">
        <f t="shared" si="0"/>
        <v>1.3324384599156054</v>
      </c>
      <c r="I65" s="2">
        <f t="shared" si="5"/>
        <v>2.9324384599156055</v>
      </c>
      <c r="L65" s="1"/>
    </row>
    <row r="66" spans="1:12" x14ac:dyDescent="0.25">
      <c r="A66">
        <v>3</v>
      </c>
      <c r="B66">
        <v>56.042340000000003</v>
      </c>
      <c r="C66">
        <v>70.00018</v>
      </c>
      <c r="D66">
        <v>1069.7850000000001</v>
      </c>
      <c r="E66">
        <v>199.3049</v>
      </c>
      <c r="G66" s="2">
        <v>31.6</v>
      </c>
      <c r="H66" s="2">
        <f t="shared" si="0"/>
        <v>1.4996870826184039</v>
      </c>
      <c r="I66" s="2">
        <f t="shared" si="5"/>
        <v>3.099687082618404</v>
      </c>
      <c r="L66" s="1"/>
    </row>
    <row r="67" spans="1:12" x14ac:dyDescent="0.25">
      <c r="A67">
        <v>3</v>
      </c>
      <c r="B67">
        <v>56.829500000000003</v>
      </c>
      <c r="C67">
        <v>70.000739999999993</v>
      </c>
      <c r="D67">
        <v>1106.345</v>
      </c>
      <c r="E67">
        <v>197.4299</v>
      </c>
      <c r="G67" s="2">
        <v>46.4</v>
      </c>
      <c r="H67" s="2">
        <f t="shared" si="0"/>
        <v>1.6665179805548809</v>
      </c>
      <c r="I67" s="2">
        <f t="shared" si="5"/>
        <v>3.2665179805548812</v>
      </c>
      <c r="L67" s="1"/>
    </row>
    <row r="68" spans="1:12" x14ac:dyDescent="0.25">
      <c r="A68">
        <v>3</v>
      </c>
      <c r="B68">
        <v>57.168500000000002</v>
      </c>
      <c r="C68">
        <v>70.001469999999998</v>
      </c>
      <c r="D68">
        <v>1149.43</v>
      </c>
      <c r="E68">
        <v>195.29759999999999</v>
      </c>
      <c r="G68" s="2">
        <v>68</v>
      </c>
      <c r="H68" s="2">
        <f t="shared" ref="H68:H131" si="6">LOG(G68)</f>
        <v>1.8325089127062364</v>
      </c>
      <c r="I68" s="2">
        <f t="shared" si="5"/>
        <v>3.4325089127062363</v>
      </c>
      <c r="L68" s="1"/>
    </row>
    <row r="69" spans="1:12" x14ac:dyDescent="0.25">
      <c r="A69">
        <v>3</v>
      </c>
      <c r="B69">
        <v>57.375500000000002</v>
      </c>
      <c r="C69">
        <v>70.000900000000001</v>
      </c>
      <c r="D69">
        <v>1178.6010000000001</v>
      </c>
      <c r="E69">
        <v>195.6062</v>
      </c>
      <c r="G69" s="2">
        <v>100</v>
      </c>
      <c r="H69" s="2">
        <f t="shared" si="6"/>
        <v>2</v>
      </c>
      <c r="I69" s="2">
        <f t="shared" si="5"/>
        <v>3.6</v>
      </c>
      <c r="L69" s="1"/>
    </row>
    <row r="70" spans="1:12" x14ac:dyDescent="0.25">
      <c r="A70" s="2">
        <f>V34</f>
        <v>0</v>
      </c>
      <c r="B70">
        <v>69.103840000000005</v>
      </c>
      <c r="C70">
        <v>74.999750000000006</v>
      </c>
      <c r="D70">
        <v>93.074820000000003</v>
      </c>
      <c r="E70">
        <v>77.794880000000006</v>
      </c>
      <c r="G70" s="2">
        <v>0.1</v>
      </c>
      <c r="H70" s="2">
        <f t="shared" si="6"/>
        <v>-1</v>
      </c>
      <c r="I70" s="2">
        <f>H70-$A$70</f>
        <v>-1</v>
      </c>
      <c r="L70" s="1"/>
    </row>
    <row r="71" spans="1:12" x14ac:dyDescent="0.25">
      <c r="A71">
        <v>4</v>
      </c>
      <c r="B71">
        <v>72.144750000000002</v>
      </c>
      <c r="C71">
        <v>74.999030000000005</v>
      </c>
      <c r="D71">
        <v>109.4228</v>
      </c>
      <c r="E71">
        <v>88.576490000000007</v>
      </c>
      <c r="G71" s="2">
        <v>0.15</v>
      </c>
      <c r="H71" s="2">
        <f t="shared" si="6"/>
        <v>-0.82390874094431876</v>
      </c>
      <c r="I71" s="2">
        <f t="shared" ref="I71:I88" si="7">H71-$A$70</f>
        <v>-0.82390874094431876</v>
      </c>
      <c r="L71" s="1"/>
    </row>
    <row r="72" spans="1:12" x14ac:dyDescent="0.25">
      <c r="A72">
        <v>4</v>
      </c>
      <c r="B72">
        <v>80.388379999999998</v>
      </c>
      <c r="C72">
        <v>74.999700000000004</v>
      </c>
      <c r="D72">
        <v>128.88489999999999</v>
      </c>
      <c r="E72">
        <v>99.651840000000007</v>
      </c>
      <c r="G72" s="2">
        <v>0.22</v>
      </c>
      <c r="H72" s="2">
        <f t="shared" si="6"/>
        <v>-0.65757731917779372</v>
      </c>
      <c r="I72" s="2">
        <f t="shared" si="7"/>
        <v>-0.65757731917779372</v>
      </c>
      <c r="L72" s="1"/>
    </row>
    <row r="73" spans="1:12" x14ac:dyDescent="0.25">
      <c r="A73">
        <v>4</v>
      </c>
      <c r="B73">
        <v>90.470200000000006</v>
      </c>
      <c r="C73">
        <v>75.000299999999996</v>
      </c>
      <c r="D73">
        <v>154.1653</v>
      </c>
      <c r="E73">
        <v>112.31480000000001</v>
      </c>
      <c r="G73" s="2">
        <v>0.32</v>
      </c>
      <c r="H73" s="2">
        <f t="shared" si="6"/>
        <v>-0.49485002168009401</v>
      </c>
      <c r="I73" s="2">
        <f t="shared" si="7"/>
        <v>-0.49485002168009401</v>
      </c>
      <c r="L73" s="1"/>
    </row>
    <row r="74" spans="1:12" x14ac:dyDescent="0.25">
      <c r="A74">
        <v>4</v>
      </c>
      <c r="B74">
        <v>100.5472</v>
      </c>
      <c r="C74">
        <v>74.99991</v>
      </c>
      <c r="D74">
        <v>182.3681</v>
      </c>
      <c r="E74">
        <v>124.90009999999999</v>
      </c>
      <c r="G74" s="2">
        <v>0.46</v>
      </c>
      <c r="H74" s="2">
        <f t="shared" si="6"/>
        <v>-0.33724216831842591</v>
      </c>
      <c r="I74" s="2">
        <f t="shared" si="7"/>
        <v>-0.33724216831842591</v>
      </c>
      <c r="L74" s="1"/>
    </row>
    <row r="75" spans="1:12" x14ac:dyDescent="0.25">
      <c r="A75">
        <v>4</v>
      </c>
      <c r="B75">
        <v>109.7867</v>
      </c>
      <c r="C75">
        <v>75.00009</v>
      </c>
      <c r="D75">
        <v>215.51169999999999</v>
      </c>
      <c r="E75">
        <v>137.9513</v>
      </c>
      <c r="G75" s="2">
        <v>0.68</v>
      </c>
      <c r="H75" s="2">
        <f t="shared" si="6"/>
        <v>-0.16749108729376366</v>
      </c>
      <c r="I75" s="2">
        <f t="shared" si="7"/>
        <v>-0.16749108729376366</v>
      </c>
      <c r="L75" s="1"/>
    </row>
    <row r="76" spans="1:12" x14ac:dyDescent="0.25">
      <c r="A76">
        <v>4</v>
      </c>
      <c r="B76">
        <v>111.6658</v>
      </c>
      <c r="C76">
        <v>75.000489999999999</v>
      </c>
      <c r="D76">
        <v>249.88120000000001</v>
      </c>
      <c r="E76">
        <v>149.97290000000001</v>
      </c>
      <c r="G76" s="2">
        <v>1</v>
      </c>
      <c r="H76" s="2">
        <f t="shared" si="6"/>
        <v>0</v>
      </c>
      <c r="I76" s="2">
        <f t="shared" si="7"/>
        <v>0</v>
      </c>
      <c r="L76" s="1"/>
    </row>
    <row r="77" spans="1:12" x14ac:dyDescent="0.25">
      <c r="A77">
        <v>4</v>
      </c>
      <c r="B77">
        <v>112.057</v>
      </c>
      <c r="C77">
        <v>74.999899999999997</v>
      </c>
      <c r="D77">
        <v>288.8802</v>
      </c>
      <c r="E77">
        <v>162.28559999999999</v>
      </c>
      <c r="G77" s="2">
        <v>1.5</v>
      </c>
      <c r="H77" s="2">
        <f t="shared" si="6"/>
        <v>0.17609125905568124</v>
      </c>
      <c r="I77" s="2">
        <f t="shared" si="7"/>
        <v>0.17609125905568124</v>
      </c>
    </row>
    <row r="78" spans="1:12" x14ac:dyDescent="0.25">
      <c r="A78">
        <v>4</v>
      </c>
      <c r="B78">
        <v>113.511</v>
      </c>
      <c r="C78">
        <v>75</v>
      </c>
      <c r="D78">
        <v>328.45100000000002</v>
      </c>
      <c r="E78">
        <v>172.8466</v>
      </c>
      <c r="G78" s="2">
        <v>2.2000000000000002</v>
      </c>
      <c r="H78" s="2">
        <f t="shared" si="6"/>
        <v>0.34242268082220628</v>
      </c>
      <c r="I78" s="2">
        <f t="shared" si="7"/>
        <v>0.34242268082220628</v>
      </c>
      <c r="L78" s="1"/>
    </row>
    <row r="79" spans="1:12" x14ac:dyDescent="0.25">
      <c r="A79">
        <v>4</v>
      </c>
      <c r="B79">
        <v>115.22929999999999</v>
      </c>
      <c r="C79">
        <v>75.000410000000002</v>
      </c>
      <c r="D79">
        <v>369.19830000000002</v>
      </c>
      <c r="E79">
        <v>182.34350000000001</v>
      </c>
      <c r="G79" s="2">
        <v>3.2</v>
      </c>
      <c r="H79" s="2">
        <f t="shared" si="6"/>
        <v>0.50514997831990605</v>
      </c>
      <c r="I79" s="2">
        <f t="shared" si="7"/>
        <v>0.50514997831990605</v>
      </c>
      <c r="L79" s="1"/>
    </row>
    <row r="80" spans="1:12" x14ac:dyDescent="0.25">
      <c r="A80">
        <v>4</v>
      </c>
      <c r="B80">
        <v>116.9462</v>
      </c>
      <c r="C80">
        <v>74.999750000000006</v>
      </c>
      <c r="D80">
        <v>410.37830000000002</v>
      </c>
      <c r="E80">
        <v>190.55709999999999</v>
      </c>
      <c r="G80" s="2">
        <v>4.5999999999999996</v>
      </c>
      <c r="H80" s="2">
        <f t="shared" si="6"/>
        <v>0.66275783168157409</v>
      </c>
      <c r="I80" s="2">
        <f t="shared" si="7"/>
        <v>0.66275783168157409</v>
      </c>
      <c r="L80" s="1"/>
    </row>
    <row r="81" spans="1:12" x14ac:dyDescent="0.25">
      <c r="A81">
        <v>4</v>
      </c>
      <c r="B81">
        <v>118.6615</v>
      </c>
      <c r="C81">
        <v>75.00009</v>
      </c>
      <c r="D81">
        <v>456.12299999999999</v>
      </c>
      <c r="E81">
        <v>198.3502</v>
      </c>
      <c r="G81" s="2">
        <v>6.8</v>
      </c>
      <c r="H81" s="2">
        <f t="shared" si="6"/>
        <v>0.83250891270623628</v>
      </c>
      <c r="I81" s="2">
        <f t="shared" si="7"/>
        <v>0.83250891270623628</v>
      </c>
      <c r="L81" s="1"/>
    </row>
    <row r="82" spans="1:12" x14ac:dyDescent="0.25">
      <c r="A82">
        <v>4</v>
      </c>
      <c r="B82">
        <v>119.17449999999999</v>
      </c>
      <c r="C82">
        <v>75.000140000000002</v>
      </c>
      <c r="D82">
        <v>502.37459999999999</v>
      </c>
      <c r="E82">
        <v>205.17660000000001</v>
      </c>
      <c r="G82" s="2">
        <v>10</v>
      </c>
      <c r="H82" s="2">
        <f t="shared" si="6"/>
        <v>1</v>
      </c>
      <c r="I82" s="2">
        <f t="shared" si="7"/>
        <v>1</v>
      </c>
      <c r="L82" s="1"/>
    </row>
    <row r="83" spans="1:12" x14ac:dyDescent="0.25">
      <c r="A83">
        <v>4</v>
      </c>
      <c r="B83">
        <v>119.9203</v>
      </c>
      <c r="C83">
        <v>75.000380000000007</v>
      </c>
      <c r="D83">
        <v>548.73760000000004</v>
      </c>
      <c r="E83">
        <v>210.61160000000001</v>
      </c>
      <c r="G83" s="2">
        <v>14.6</v>
      </c>
      <c r="H83" s="2">
        <f t="shared" si="6"/>
        <v>1.1643528557844371</v>
      </c>
      <c r="I83" s="2">
        <f t="shared" si="7"/>
        <v>1.1643528557844371</v>
      </c>
      <c r="L83" s="1"/>
    </row>
    <row r="84" spans="1:12" x14ac:dyDescent="0.25">
      <c r="A84">
        <v>4</v>
      </c>
      <c r="B84">
        <v>120.3993</v>
      </c>
      <c r="C84">
        <v>75.000559999999993</v>
      </c>
      <c r="D84">
        <v>596.5068</v>
      </c>
      <c r="E84">
        <v>215.63839999999999</v>
      </c>
      <c r="G84" s="2">
        <v>21.5</v>
      </c>
      <c r="H84" s="2">
        <f t="shared" si="6"/>
        <v>1.3324384599156054</v>
      </c>
      <c r="I84" s="2">
        <f t="shared" si="7"/>
        <v>1.3324384599156054</v>
      </c>
      <c r="L84" s="1"/>
    </row>
    <row r="85" spans="1:12" x14ac:dyDescent="0.25">
      <c r="A85">
        <v>4</v>
      </c>
      <c r="B85">
        <v>121.17829999999999</v>
      </c>
      <c r="C85">
        <v>75.000410000000002</v>
      </c>
      <c r="D85">
        <v>643.90800000000002</v>
      </c>
      <c r="E85">
        <v>219.5342</v>
      </c>
      <c r="G85" s="2">
        <v>31.6</v>
      </c>
      <c r="H85" s="2">
        <f t="shared" si="6"/>
        <v>1.4996870826184039</v>
      </c>
      <c r="I85" s="2">
        <f t="shared" si="7"/>
        <v>1.4996870826184039</v>
      </c>
      <c r="L85" s="1"/>
    </row>
    <row r="86" spans="1:12" x14ac:dyDescent="0.25">
      <c r="A86">
        <v>4</v>
      </c>
      <c r="B86">
        <v>122.05929999999999</v>
      </c>
      <c r="C86">
        <v>75.000489999999999</v>
      </c>
      <c r="D86">
        <v>687.67489999999998</v>
      </c>
      <c r="E86">
        <v>220.78319999999999</v>
      </c>
      <c r="G86" s="2">
        <v>46.4</v>
      </c>
      <c r="H86" s="2">
        <f t="shared" si="6"/>
        <v>1.6665179805548809</v>
      </c>
      <c r="I86" s="2">
        <f t="shared" si="7"/>
        <v>1.6665179805548809</v>
      </c>
      <c r="L86" s="1"/>
    </row>
    <row r="87" spans="1:12" x14ac:dyDescent="0.25">
      <c r="A87">
        <v>4</v>
      </c>
      <c r="B87">
        <v>122.4118</v>
      </c>
      <c r="C87">
        <v>75.000609999999995</v>
      </c>
      <c r="D87">
        <v>732.81979999999999</v>
      </c>
      <c r="E87">
        <v>222.10560000000001</v>
      </c>
      <c r="G87" s="2">
        <v>68</v>
      </c>
      <c r="H87" s="2">
        <f t="shared" si="6"/>
        <v>1.8325089127062364</v>
      </c>
      <c r="I87" s="2">
        <f t="shared" si="7"/>
        <v>1.8325089127062364</v>
      </c>
      <c r="L87" s="1"/>
    </row>
    <row r="88" spans="1:12" x14ac:dyDescent="0.25">
      <c r="A88">
        <v>4</v>
      </c>
      <c r="B88">
        <v>122.642</v>
      </c>
      <c r="C88">
        <v>75.001130000000003</v>
      </c>
      <c r="D88">
        <v>768.28710000000001</v>
      </c>
      <c r="E88">
        <v>224.6848</v>
      </c>
      <c r="G88" s="2">
        <v>100</v>
      </c>
      <c r="H88" s="2">
        <f t="shared" si="6"/>
        <v>2</v>
      </c>
      <c r="I88" s="2">
        <f t="shared" si="7"/>
        <v>2</v>
      </c>
      <c r="L88" s="1"/>
    </row>
    <row r="89" spans="1:12" x14ac:dyDescent="0.25">
      <c r="A89" s="2">
        <f>V35</f>
        <v>1.2</v>
      </c>
      <c r="B89">
        <v>132.79900000000001</v>
      </c>
      <c r="C89">
        <v>79.974890000000002</v>
      </c>
      <c r="D89">
        <v>26.106940000000002</v>
      </c>
      <c r="E89">
        <v>19.190460000000002</v>
      </c>
      <c r="G89" s="2">
        <v>0.1</v>
      </c>
      <c r="H89" s="2">
        <f t="shared" si="6"/>
        <v>-1</v>
      </c>
      <c r="I89" s="2">
        <f>H89-$A$89</f>
        <v>-2.2000000000000002</v>
      </c>
      <c r="L89" s="1"/>
    </row>
    <row r="90" spans="1:12" x14ac:dyDescent="0.25">
      <c r="A90">
        <v>5</v>
      </c>
      <c r="B90">
        <v>137.23840000000001</v>
      </c>
      <c r="C90">
        <v>79.998469999999998</v>
      </c>
      <c r="D90">
        <v>29.332159999999998</v>
      </c>
      <c r="E90">
        <v>22.786760000000001</v>
      </c>
      <c r="G90" s="2">
        <v>0.15</v>
      </c>
      <c r="H90" s="2">
        <f t="shared" si="6"/>
        <v>-0.82390874094431876</v>
      </c>
      <c r="I90" s="2">
        <f t="shared" ref="I90:I107" si="8">H90-$A$89</f>
        <v>-2.0239087409443188</v>
      </c>
      <c r="L90" s="1"/>
    </row>
    <row r="91" spans="1:12" x14ac:dyDescent="0.25">
      <c r="A91">
        <v>5</v>
      </c>
      <c r="B91">
        <v>147.15770000000001</v>
      </c>
      <c r="C91">
        <v>79.999939999999995</v>
      </c>
      <c r="D91">
        <v>34.350360000000002</v>
      </c>
      <c r="E91">
        <v>27.979320000000001</v>
      </c>
      <c r="G91" s="2">
        <v>0.22</v>
      </c>
      <c r="H91" s="2">
        <f t="shared" si="6"/>
        <v>-0.65757731917779372</v>
      </c>
      <c r="I91" s="2">
        <f t="shared" si="8"/>
        <v>-1.8575773191777936</v>
      </c>
      <c r="L91" s="1"/>
    </row>
    <row r="92" spans="1:12" x14ac:dyDescent="0.25">
      <c r="A92">
        <v>5</v>
      </c>
      <c r="B92">
        <v>158.08019999999999</v>
      </c>
      <c r="C92">
        <v>80.000069999999994</v>
      </c>
      <c r="D92">
        <v>41.194580000000002</v>
      </c>
      <c r="E92">
        <v>34.702199999999998</v>
      </c>
      <c r="G92" s="2">
        <v>0.32</v>
      </c>
      <c r="H92" s="2">
        <f t="shared" si="6"/>
        <v>-0.49485002168009401</v>
      </c>
      <c r="I92" s="2">
        <f t="shared" si="8"/>
        <v>-1.6948500216800939</v>
      </c>
      <c r="L92" s="1"/>
    </row>
    <row r="93" spans="1:12" x14ac:dyDescent="0.25">
      <c r="A93">
        <v>5</v>
      </c>
      <c r="B93">
        <v>168.9992</v>
      </c>
      <c r="C93">
        <v>80.000100000000003</v>
      </c>
      <c r="D93">
        <v>49.47898</v>
      </c>
      <c r="E93">
        <v>42.382539999999999</v>
      </c>
      <c r="G93" s="2">
        <v>0.46</v>
      </c>
      <c r="H93" s="2">
        <f t="shared" si="6"/>
        <v>-0.33724216831842591</v>
      </c>
      <c r="I93" s="2">
        <f t="shared" si="8"/>
        <v>-1.5372421683184259</v>
      </c>
      <c r="L93" s="1"/>
    </row>
    <row r="94" spans="1:12" x14ac:dyDescent="0.25">
      <c r="A94">
        <v>5</v>
      </c>
      <c r="B94">
        <v>179.92320000000001</v>
      </c>
      <c r="C94">
        <v>80</v>
      </c>
      <c r="D94">
        <v>60.372979999999998</v>
      </c>
      <c r="E94">
        <v>51.809249999999999</v>
      </c>
      <c r="G94" s="2">
        <v>0.68</v>
      </c>
      <c r="H94" s="2">
        <f t="shared" si="6"/>
        <v>-0.16749108729376366</v>
      </c>
      <c r="I94" s="2">
        <f t="shared" si="8"/>
        <v>-1.3674910872937636</v>
      </c>
      <c r="L94" s="1"/>
    </row>
    <row r="95" spans="1:12" x14ac:dyDescent="0.25">
      <c r="A95">
        <v>5</v>
      </c>
      <c r="B95">
        <v>181.83580000000001</v>
      </c>
      <c r="C95">
        <v>79.999840000000006</v>
      </c>
      <c r="D95">
        <v>72.675399999999996</v>
      </c>
      <c r="E95">
        <v>61.88288</v>
      </c>
      <c r="G95" s="2">
        <v>1</v>
      </c>
      <c r="H95" s="2">
        <f t="shared" si="6"/>
        <v>0</v>
      </c>
      <c r="I95" s="2">
        <f t="shared" si="8"/>
        <v>-1.2</v>
      </c>
      <c r="L95" s="1"/>
    </row>
    <row r="96" spans="1:12" x14ac:dyDescent="0.25">
      <c r="A96">
        <v>5</v>
      </c>
      <c r="B96">
        <v>182.27950000000001</v>
      </c>
      <c r="C96">
        <v>80.000240000000005</v>
      </c>
      <c r="D96">
        <v>88.307119999999998</v>
      </c>
      <c r="E96">
        <v>73.680109999999999</v>
      </c>
      <c r="G96" s="2">
        <v>1.5</v>
      </c>
      <c r="H96" s="2">
        <f t="shared" si="6"/>
        <v>0.17609125905568124</v>
      </c>
      <c r="I96" s="2">
        <f t="shared" si="8"/>
        <v>-1.0239087409443188</v>
      </c>
      <c r="L96" s="1"/>
    </row>
    <row r="97" spans="1:12" x14ac:dyDescent="0.25">
      <c r="A97">
        <v>5</v>
      </c>
      <c r="B97">
        <v>184.08850000000001</v>
      </c>
      <c r="C97">
        <v>80.000240000000005</v>
      </c>
      <c r="D97">
        <v>106.28270000000001</v>
      </c>
      <c r="E97">
        <v>85.75788</v>
      </c>
      <c r="G97" s="2">
        <v>2.2000000000000002</v>
      </c>
      <c r="H97" s="2">
        <f t="shared" si="6"/>
        <v>0.34242268082220628</v>
      </c>
      <c r="I97" s="2">
        <f t="shared" si="8"/>
        <v>-0.85757731917779367</v>
      </c>
      <c r="L97" s="1"/>
    </row>
    <row r="98" spans="1:12" x14ac:dyDescent="0.25">
      <c r="A98">
        <v>5</v>
      </c>
      <c r="B98">
        <v>185.99420000000001</v>
      </c>
      <c r="C98">
        <v>80.000349999999997</v>
      </c>
      <c r="D98">
        <v>126.8644</v>
      </c>
      <c r="E98">
        <v>98.420450000000002</v>
      </c>
      <c r="G98" s="2">
        <v>3.2</v>
      </c>
      <c r="H98" s="2">
        <f t="shared" si="6"/>
        <v>0.50514997831990605</v>
      </c>
      <c r="I98" s="2">
        <f t="shared" si="8"/>
        <v>-0.69485002168009391</v>
      </c>
      <c r="L98" s="1"/>
    </row>
    <row r="99" spans="1:12" x14ac:dyDescent="0.25">
      <c r="A99">
        <v>5</v>
      </c>
      <c r="B99">
        <v>187.8938</v>
      </c>
      <c r="C99">
        <v>79.999719999999996</v>
      </c>
      <c r="D99">
        <v>149.83449999999999</v>
      </c>
      <c r="E99">
        <v>111.2137</v>
      </c>
      <c r="G99" s="2">
        <v>4.5999999999999996</v>
      </c>
      <c r="H99" s="2">
        <f t="shared" si="6"/>
        <v>0.66275783168157409</v>
      </c>
      <c r="I99" s="2">
        <f t="shared" si="8"/>
        <v>-0.53724216831842586</v>
      </c>
      <c r="L99" s="1"/>
    </row>
    <row r="100" spans="1:12" x14ac:dyDescent="0.25">
      <c r="A100">
        <v>5</v>
      </c>
      <c r="B100">
        <v>189.7877</v>
      </c>
      <c r="C100">
        <v>79.999650000000003</v>
      </c>
      <c r="D100">
        <v>178.0198</v>
      </c>
      <c r="E100">
        <v>125.3484</v>
      </c>
      <c r="G100" s="2">
        <v>6.8</v>
      </c>
      <c r="H100" s="2">
        <f t="shared" si="6"/>
        <v>0.83250891270623628</v>
      </c>
      <c r="I100" s="2">
        <f t="shared" si="8"/>
        <v>-0.36749108729376367</v>
      </c>
      <c r="L100" s="1"/>
    </row>
    <row r="101" spans="1:12" x14ac:dyDescent="0.25">
      <c r="A101">
        <v>5</v>
      </c>
      <c r="B101">
        <v>190.327</v>
      </c>
      <c r="C101">
        <v>79.999880000000005</v>
      </c>
      <c r="D101">
        <v>209.11369999999999</v>
      </c>
      <c r="E101">
        <v>139.40629999999999</v>
      </c>
      <c r="G101" s="2">
        <v>10</v>
      </c>
      <c r="H101" s="2">
        <f t="shared" si="6"/>
        <v>1</v>
      </c>
      <c r="I101" s="2">
        <f t="shared" si="8"/>
        <v>-0.19999999999999996</v>
      </c>
      <c r="L101" s="1"/>
    </row>
    <row r="102" spans="1:12" x14ac:dyDescent="0.25">
      <c r="A102">
        <v>5</v>
      </c>
      <c r="B102">
        <v>191.0795</v>
      </c>
      <c r="C102">
        <v>80.000339999999994</v>
      </c>
      <c r="D102">
        <v>242.95</v>
      </c>
      <c r="E102">
        <v>153.0369</v>
      </c>
      <c r="G102" s="2">
        <v>14.6</v>
      </c>
      <c r="H102" s="2">
        <f t="shared" si="6"/>
        <v>1.1643528557844371</v>
      </c>
      <c r="I102" s="2">
        <f t="shared" si="8"/>
        <v>-3.5647144215562809E-2</v>
      </c>
      <c r="L102" s="1"/>
    </row>
    <row r="103" spans="1:12" x14ac:dyDescent="0.25">
      <c r="A103">
        <v>5</v>
      </c>
      <c r="B103">
        <v>191.56399999999999</v>
      </c>
      <c r="C103">
        <v>80.000299999999996</v>
      </c>
      <c r="D103">
        <v>280.86399999999998</v>
      </c>
      <c r="E103">
        <v>166.86959999999999</v>
      </c>
      <c r="G103" s="2">
        <v>21.5</v>
      </c>
      <c r="H103" s="2">
        <f t="shared" si="6"/>
        <v>1.3324384599156054</v>
      </c>
      <c r="I103" s="2">
        <f t="shared" si="8"/>
        <v>0.13243845991560543</v>
      </c>
      <c r="L103" s="1"/>
    </row>
    <row r="104" spans="1:12" x14ac:dyDescent="0.25">
      <c r="A104">
        <v>5</v>
      </c>
      <c r="B104">
        <v>192.3485</v>
      </c>
      <c r="C104">
        <v>79.999899999999997</v>
      </c>
      <c r="D104">
        <v>322.17790000000002</v>
      </c>
      <c r="E104">
        <v>179.84540000000001</v>
      </c>
      <c r="G104" s="2">
        <v>31.6</v>
      </c>
      <c r="H104" s="2">
        <f t="shared" si="6"/>
        <v>1.4996870826184039</v>
      </c>
      <c r="I104" s="2">
        <f t="shared" si="8"/>
        <v>0.29968708261840393</v>
      </c>
      <c r="L104" s="1"/>
    </row>
    <row r="105" spans="1:12" x14ac:dyDescent="0.25">
      <c r="A105">
        <v>5</v>
      </c>
      <c r="B105">
        <v>193.2345</v>
      </c>
      <c r="C105">
        <v>80.000640000000004</v>
      </c>
      <c r="D105">
        <v>362.35820000000001</v>
      </c>
      <c r="E105">
        <v>190.33090000000001</v>
      </c>
      <c r="G105" s="2">
        <v>46.4</v>
      </c>
      <c r="H105" s="2">
        <f t="shared" si="6"/>
        <v>1.6665179805548809</v>
      </c>
      <c r="I105" s="2">
        <f t="shared" si="8"/>
        <v>0.46651798055488092</v>
      </c>
      <c r="L105" s="1"/>
    </row>
    <row r="106" spans="1:12" x14ac:dyDescent="0.25">
      <c r="A106">
        <v>5</v>
      </c>
      <c r="B106">
        <v>193.6003</v>
      </c>
      <c r="C106">
        <v>80.001059999999995</v>
      </c>
      <c r="D106">
        <v>408.33089999999999</v>
      </c>
      <c r="E106">
        <v>200.553</v>
      </c>
      <c r="G106" s="2">
        <v>68</v>
      </c>
      <c r="H106" s="2">
        <f t="shared" si="6"/>
        <v>1.8325089127062364</v>
      </c>
      <c r="I106" s="2">
        <f t="shared" si="8"/>
        <v>0.63250891270623644</v>
      </c>
      <c r="L106" s="1"/>
    </row>
    <row r="107" spans="1:12" x14ac:dyDescent="0.25">
      <c r="A107">
        <v>5</v>
      </c>
      <c r="B107">
        <v>193.8545</v>
      </c>
      <c r="C107">
        <v>80.000709999999998</v>
      </c>
      <c r="D107">
        <v>450.32170000000002</v>
      </c>
      <c r="E107">
        <v>211.7791</v>
      </c>
      <c r="G107" s="2">
        <v>100</v>
      </c>
      <c r="H107" s="2">
        <f t="shared" si="6"/>
        <v>2</v>
      </c>
      <c r="I107" s="2">
        <f t="shared" si="8"/>
        <v>0.8</v>
      </c>
      <c r="L107" s="1"/>
    </row>
    <row r="108" spans="1:12" x14ac:dyDescent="0.25">
      <c r="A108" s="2">
        <f>V36</f>
        <v>2.1</v>
      </c>
      <c r="B108">
        <v>205.0635</v>
      </c>
      <c r="C108">
        <v>84.99342</v>
      </c>
      <c r="D108">
        <v>15.760260000000001</v>
      </c>
      <c r="E108">
        <v>5.8354929999999996</v>
      </c>
      <c r="G108" s="2">
        <v>0.1</v>
      </c>
      <c r="H108" s="2">
        <f t="shared" si="6"/>
        <v>-1</v>
      </c>
      <c r="I108" s="2">
        <f>H108-$A$108</f>
        <v>-3.1</v>
      </c>
      <c r="L108" s="1"/>
    </row>
    <row r="109" spans="1:12" x14ac:dyDescent="0.25">
      <c r="A109">
        <v>6</v>
      </c>
      <c r="B109">
        <v>207.76759999999999</v>
      </c>
      <c r="C109">
        <v>85.000050000000002</v>
      </c>
      <c r="D109">
        <v>16.85425</v>
      </c>
      <c r="E109">
        <v>6.9912520000000002</v>
      </c>
      <c r="G109" s="2">
        <v>0.15</v>
      </c>
      <c r="H109" s="2">
        <f t="shared" si="6"/>
        <v>-0.82390874094431876</v>
      </c>
      <c r="I109" s="2">
        <f t="shared" ref="I109:I126" si="9">H109-$A$108</f>
        <v>-2.9239087409443187</v>
      </c>
      <c r="L109" s="1"/>
    </row>
    <row r="110" spans="1:12" x14ac:dyDescent="0.25">
      <c r="A110">
        <v>6</v>
      </c>
      <c r="B110">
        <v>215.99520000000001</v>
      </c>
      <c r="C110">
        <v>85.000010000000003</v>
      </c>
      <c r="D110">
        <v>18.297920000000001</v>
      </c>
      <c r="E110">
        <v>8.4394159999999996</v>
      </c>
      <c r="G110" s="2">
        <v>0.22</v>
      </c>
      <c r="H110" s="2">
        <f t="shared" si="6"/>
        <v>-0.65757731917779372</v>
      </c>
      <c r="I110" s="2">
        <f t="shared" si="9"/>
        <v>-2.7575773191777939</v>
      </c>
      <c r="L110" s="1"/>
    </row>
    <row r="111" spans="1:12" x14ac:dyDescent="0.25">
      <c r="A111">
        <v>6</v>
      </c>
      <c r="B111">
        <v>225.23320000000001</v>
      </c>
      <c r="C111">
        <v>84.999880000000005</v>
      </c>
      <c r="D111">
        <v>20.205469999999998</v>
      </c>
      <c r="E111">
        <v>10.434699999999999</v>
      </c>
      <c r="G111" s="2">
        <v>0.32</v>
      </c>
      <c r="H111" s="2">
        <f t="shared" si="6"/>
        <v>-0.49485002168009401</v>
      </c>
      <c r="I111" s="2">
        <f t="shared" si="9"/>
        <v>-2.5948500216800943</v>
      </c>
      <c r="L111" s="1"/>
    </row>
    <row r="112" spans="1:12" x14ac:dyDescent="0.25">
      <c r="A112">
        <v>6</v>
      </c>
      <c r="B112">
        <v>235.30840000000001</v>
      </c>
      <c r="C112">
        <v>85.000010000000003</v>
      </c>
      <c r="D112">
        <v>22.499320000000001</v>
      </c>
      <c r="E112">
        <v>12.89852</v>
      </c>
      <c r="G112" s="2">
        <v>0.46</v>
      </c>
      <c r="H112" s="2">
        <f t="shared" si="6"/>
        <v>-0.33724216831842591</v>
      </c>
      <c r="I112" s="2">
        <f t="shared" si="9"/>
        <v>-2.4372421683184262</v>
      </c>
      <c r="L112" s="1"/>
    </row>
    <row r="113" spans="1:12" x14ac:dyDescent="0.25">
      <c r="A113">
        <v>6</v>
      </c>
      <c r="B113">
        <v>245.38480000000001</v>
      </c>
      <c r="C113">
        <v>85.000240000000005</v>
      </c>
      <c r="D113">
        <v>25.484500000000001</v>
      </c>
      <c r="E113">
        <v>16.191189999999999</v>
      </c>
      <c r="G113" s="2">
        <v>0.68</v>
      </c>
      <c r="H113" s="2">
        <f t="shared" si="6"/>
        <v>-0.16749108729376366</v>
      </c>
      <c r="I113" s="2">
        <f t="shared" si="9"/>
        <v>-2.2674910872937639</v>
      </c>
      <c r="L113" s="1"/>
    </row>
    <row r="114" spans="1:12" x14ac:dyDescent="0.25">
      <c r="A114">
        <v>6</v>
      </c>
      <c r="B114">
        <v>247.29400000000001</v>
      </c>
      <c r="C114">
        <v>85.000479999999996</v>
      </c>
      <c r="D114">
        <v>28.851299999999998</v>
      </c>
      <c r="E114">
        <v>20.04044</v>
      </c>
      <c r="G114" s="2">
        <v>1</v>
      </c>
      <c r="H114" s="2">
        <f t="shared" si="6"/>
        <v>0</v>
      </c>
      <c r="I114" s="2">
        <f t="shared" si="9"/>
        <v>-2.1</v>
      </c>
      <c r="L114" s="1"/>
    </row>
    <row r="115" spans="1:12" x14ac:dyDescent="0.25">
      <c r="A115">
        <v>6</v>
      </c>
      <c r="B115">
        <v>247.73679999999999</v>
      </c>
      <c r="C115">
        <v>84.999260000000007</v>
      </c>
      <c r="D115">
        <v>33.267859999999999</v>
      </c>
      <c r="E115">
        <v>25.031140000000001</v>
      </c>
      <c r="G115" s="2">
        <v>1.5</v>
      </c>
      <c r="H115" s="2">
        <f t="shared" si="6"/>
        <v>0.17609125905568124</v>
      </c>
      <c r="I115" s="2">
        <f t="shared" si="9"/>
        <v>-1.9239087409443187</v>
      </c>
      <c r="L115" s="1"/>
    </row>
    <row r="116" spans="1:12" x14ac:dyDescent="0.25">
      <c r="A116">
        <v>6</v>
      </c>
      <c r="B116">
        <v>249.54650000000001</v>
      </c>
      <c r="C116">
        <v>85.000739999999993</v>
      </c>
      <c r="D116">
        <v>38.645040000000002</v>
      </c>
      <c r="E116">
        <v>30.78668</v>
      </c>
      <c r="G116" s="2">
        <v>2.2000000000000002</v>
      </c>
      <c r="H116" s="2">
        <f t="shared" si="6"/>
        <v>0.34242268082220628</v>
      </c>
      <c r="I116" s="2">
        <f t="shared" si="9"/>
        <v>-1.7575773191777939</v>
      </c>
      <c r="L116" s="1"/>
    </row>
    <row r="117" spans="1:12" x14ac:dyDescent="0.25">
      <c r="A117">
        <v>6</v>
      </c>
      <c r="B117">
        <v>251.62219999999999</v>
      </c>
      <c r="C117">
        <v>84.99991</v>
      </c>
      <c r="D117">
        <v>45.243940000000002</v>
      </c>
      <c r="E117">
        <v>37.539099999999998</v>
      </c>
      <c r="G117" s="2">
        <v>3.2</v>
      </c>
      <c r="H117" s="2">
        <f t="shared" si="6"/>
        <v>0.50514997831990605</v>
      </c>
      <c r="I117" s="2">
        <f t="shared" si="9"/>
        <v>-1.594850021680094</v>
      </c>
      <c r="L117" s="1"/>
    </row>
    <row r="118" spans="1:12" x14ac:dyDescent="0.25">
      <c r="A118">
        <v>6</v>
      </c>
      <c r="B118">
        <v>253.52869999999999</v>
      </c>
      <c r="C118">
        <v>84.999619999999993</v>
      </c>
      <c r="D118">
        <v>53.181100000000001</v>
      </c>
      <c r="E118">
        <v>45.205889999999997</v>
      </c>
      <c r="G118" s="2">
        <v>4.5999999999999996</v>
      </c>
      <c r="H118" s="2">
        <f t="shared" si="6"/>
        <v>0.66275783168157409</v>
      </c>
      <c r="I118" s="2">
        <f t="shared" si="9"/>
        <v>-1.437242168318426</v>
      </c>
      <c r="L118" s="1"/>
    </row>
    <row r="119" spans="1:12" x14ac:dyDescent="0.25">
      <c r="A119">
        <v>6</v>
      </c>
      <c r="B119">
        <v>257.79939999999999</v>
      </c>
      <c r="C119">
        <v>84.842420000000004</v>
      </c>
      <c r="D119">
        <v>71.378810000000001</v>
      </c>
      <c r="E119">
        <v>60.91469</v>
      </c>
      <c r="G119" s="2">
        <v>6.8</v>
      </c>
      <c r="H119" s="2">
        <f t="shared" si="6"/>
        <v>0.83250891270623628</v>
      </c>
      <c r="I119" s="2">
        <f t="shared" si="9"/>
        <v>-1.2674910872937639</v>
      </c>
      <c r="L119" s="1"/>
    </row>
    <row r="120" spans="1:12" x14ac:dyDescent="0.25">
      <c r="A120">
        <v>6</v>
      </c>
      <c r="B120">
        <v>258.3408</v>
      </c>
      <c r="C120">
        <v>84.929959999999994</v>
      </c>
      <c r="D120">
        <v>83.854939999999999</v>
      </c>
      <c r="E120">
        <v>70.977429999999998</v>
      </c>
      <c r="G120" s="2">
        <v>10</v>
      </c>
      <c r="H120" s="2">
        <f t="shared" si="6"/>
        <v>1</v>
      </c>
      <c r="I120" s="2">
        <f t="shared" si="9"/>
        <v>-1.1000000000000001</v>
      </c>
      <c r="L120" s="1"/>
    </row>
    <row r="121" spans="1:12" x14ac:dyDescent="0.25">
      <c r="A121">
        <v>6</v>
      </c>
      <c r="B121">
        <v>259.1816</v>
      </c>
      <c r="C121">
        <v>84.993610000000004</v>
      </c>
      <c r="D121">
        <v>97.681889999999996</v>
      </c>
      <c r="E121">
        <v>81.462389999999999</v>
      </c>
      <c r="G121" s="2">
        <v>14.6</v>
      </c>
      <c r="H121" s="2">
        <f t="shared" si="6"/>
        <v>1.1643528557844371</v>
      </c>
      <c r="I121" s="2">
        <f t="shared" si="9"/>
        <v>-0.93564714421556294</v>
      </c>
      <c r="L121" s="1"/>
    </row>
    <row r="122" spans="1:12" x14ac:dyDescent="0.25">
      <c r="A122">
        <v>6</v>
      </c>
      <c r="B122">
        <v>259.70580000000001</v>
      </c>
      <c r="C122">
        <v>85.009190000000004</v>
      </c>
      <c r="D122">
        <v>116.0951</v>
      </c>
      <c r="E122">
        <v>94.334119999999999</v>
      </c>
      <c r="G122" s="2">
        <v>21.5</v>
      </c>
      <c r="H122" s="2">
        <f t="shared" si="6"/>
        <v>1.3324384599156054</v>
      </c>
      <c r="I122" s="2">
        <f t="shared" si="9"/>
        <v>-0.7675615400843947</v>
      </c>
      <c r="L122" s="1"/>
    </row>
    <row r="123" spans="1:12" x14ac:dyDescent="0.25">
      <c r="A123">
        <v>6</v>
      </c>
      <c r="B123">
        <v>260.49200000000002</v>
      </c>
      <c r="C123">
        <v>85.01549</v>
      </c>
      <c r="D123">
        <v>137.6859</v>
      </c>
      <c r="E123">
        <v>107.71680000000001</v>
      </c>
      <c r="G123" s="2">
        <v>31.6</v>
      </c>
      <c r="H123" s="2">
        <f t="shared" si="6"/>
        <v>1.4996870826184039</v>
      </c>
      <c r="I123" s="2">
        <f t="shared" si="9"/>
        <v>-0.6003129173815962</v>
      </c>
      <c r="L123" s="1"/>
    </row>
    <row r="124" spans="1:12" x14ac:dyDescent="0.25">
      <c r="A124">
        <v>6</v>
      </c>
      <c r="B124">
        <v>261.45839999999998</v>
      </c>
      <c r="C124">
        <v>85.007819999999995</v>
      </c>
      <c r="D124">
        <v>159.84639999999999</v>
      </c>
      <c r="E124">
        <v>120.6722</v>
      </c>
      <c r="G124" s="2">
        <v>46.4</v>
      </c>
      <c r="H124" s="2">
        <f t="shared" si="6"/>
        <v>1.6665179805548809</v>
      </c>
      <c r="I124" s="2">
        <f t="shared" si="9"/>
        <v>-0.43348201944511922</v>
      </c>
      <c r="L124" s="1"/>
    </row>
    <row r="125" spans="1:12" x14ac:dyDescent="0.25">
      <c r="A125">
        <v>6</v>
      </c>
      <c r="B125">
        <v>261.79880000000003</v>
      </c>
      <c r="C125">
        <v>85.004589999999993</v>
      </c>
      <c r="D125">
        <v>192.13980000000001</v>
      </c>
      <c r="E125">
        <v>135.83459999999999</v>
      </c>
      <c r="G125" s="2">
        <v>68</v>
      </c>
      <c r="H125" s="2">
        <f t="shared" si="6"/>
        <v>1.8325089127062364</v>
      </c>
      <c r="I125" s="2">
        <f t="shared" si="9"/>
        <v>-0.2674910872937637</v>
      </c>
      <c r="L125" s="1"/>
    </row>
    <row r="126" spans="1:12" x14ac:dyDescent="0.25">
      <c r="A126">
        <v>6</v>
      </c>
      <c r="B126">
        <v>262.029</v>
      </c>
      <c r="C126">
        <v>85.002430000000004</v>
      </c>
      <c r="D126">
        <v>219.71180000000001</v>
      </c>
      <c r="E126">
        <v>152.72120000000001</v>
      </c>
      <c r="G126" s="2">
        <v>100</v>
      </c>
      <c r="H126" s="2">
        <f t="shared" si="6"/>
        <v>2</v>
      </c>
      <c r="I126" s="2">
        <f t="shared" si="9"/>
        <v>-0.10000000000000009</v>
      </c>
      <c r="L126" s="1"/>
    </row>
    <row r="127" spans="1:12" x14ac:dyDescent="0.25">
      <c r="A127" s="2">
        <f>V37</f>
        <v>2.9</v>
      </c>
      <c r="B127">
        <v>271.67660000000001</v>
      </c>
      <c r="C127">
        <v>89.966549999999998</v>
      </c>
      <c r="D127">
        <v>12.72977</v>
      </c>
      <c r="E127">
        <v>2.7742100000000001</v>
      </c>
      <c r="G127" s="2">
        <v>0.1</v>
      </c>
      <c r="H127" s="2">
        <f t="shared" si="6"/>
        <v>-1</v>
      </c>
      <c r="I127" s="2">
        <f>H127-$A$127</f>
        <v>-3.9</v>
      </c>
      <c r="L127" s="1"/>
    </row>
    <row r="128" spans="1:12" x14ac:dyDescent="0.25">
      <c r="A128">
        <v>7</v>
      </c>
      <c r="B128">
        <v>274.38080000000002</v>
      </c>
      <c r="C128">
        <v>89.999679999999998</v>
      </c>
      <c r="D128">
        <v>13.23512</v>
      </c>
      <c r="E128">
        <v>3.129928</v>
      </c>
      <c r="G128" s="2">
        <v>0.15</v>
      </c>
      <c r="H128" s="2">
        <f t="shared" si="6"/>
        <v>-0.82390874094431876</v>
      </c>
      <c r="I128" s="2">
        <f t="shared" ref="I128:I145" si="10">H128-$A$127</f>
        <v>-3.7239087409443186</v>
      </c>
      <c r="L128" s="1"/>
    </row>
    <row r="129" spans="1:12" x14ac:dyDescent="0.25">
      <c r="A129">
        <v>7</v>
      </c>
      <c r="B129">
        <v>281.75779999999997</v>
      </c>
      <c r="C129">
        <v>89.99991</v>
      </c>
      <c r="D129">
        <v>13.8683</v>
      </c>
      <c r="E129">
        <v>3.5810629999999999</v>
      </c>
      <c r="G129" s="2">
        <v>0.22</v>
      </c>
      <c r="H129" s="2">
        <f t="shared" si="6"/>
        <v>-0.65757731917779372</v>
      </c>
      <c r="I129" s="2">
        <f t="shared" si="10"/>
        <v>-3.5575773191777937</v>
      </c>
      <c r="L129" s="1"/>
    </row>
    <row r="130" spans="1:12" x14ac:dyDescent="0.25">
      <c r="A130">
        <v>7</v>
      </c>
      <c r="B130">
        <v>289.30059999999997</v>
      </c>
      <c r="C130">
        <v>89.999750000000006</v>
      </c>
      <c r="D130">
        <v>14.694319999999999</v>
      </c>
      <c r="E130">
        <v>4.2150499999999997</v>
      </c>
      <c r="G130" s="2">
        <v>0.32</v>
      </c>
      <c r="H130" s="2">
        <f t="shared" si="6"/>
        <v>-0.49485002168009401</v>
      </c>
      <c r="I130" s="2">
        <f t="shared" si="10"/>
        <v>-3.3948500216800941</v>
      </c>
      <c r="L130" s="1"/>
    </row>
    <row r="131" spans="1:12" x14ac:dyDescent="0.25">
      <c r="A131">
        <v>7</v>
      </c>
      <c r="B131">
        <v>296.84399999999999</v>
      </c>
      <c r="C131">
        <v>89.999719999999996</v>
      </c>
      <c r="D131">
        <v>15.627800000000001</v>
      </c>
      <c r="E131">
        <v>5.00739</v>
      </c>
      <c r="G131" s="2">
        <v>0.46</v>
      </c>
      <c r="H131" s="2">
        <f t="shared" si="6"/>
        <v>-0.33724216831842591</v>
      </c>
      <c r="I131" s="2">
        <f t="shared" si="10"/>
        <v>-3.237242168318426</v>
      </c>
      <c r="L131" s="1"/>
    </row>
    <row r="132" spans="1:12" x14ac:dyDescent="0.25">
      <c r="A132">
        <v>7</v>
      </c>
      <c r="B132">
        <v>305.22390000000001</v>
      </c>
      <c r="C132">
        <v>89.999880000000005</v>
      </c>
      <c r="D132">
        <v>16.794060000000002</v>
      </c>
      <c r="E132">
        <v>6.0963240000000001</v>
      </c>
      <c r="G132" s="2">
        <v>0.68</v>
      </c>
      <c r="H132" s="2">
        <f t="shared" ref="H132:H183" si="11">LOG(G132)</f>
        <v>-0.16749108729376366</v>
      </c>
      <c r="I132" s="2">
        <f t="shared" si="10"/>
        <v>-3.0674910872937637</v>
      </c>
      <c r="L132" s="1"/>
    </row>
    <row r="133" spans="1:12" x14ac:dyDescent="0.25">
      <c r="A133">
        <v>7</v>
      </c>
      <c r="B133">
        <v>307.07220000000001</v>
      </c>
      <c r="C133">
        <v>89.999660000000006</v>
      </c>
      <c r="D133">
        <v>18.04196</v>
      </c>
      <c r="E133">
        <v>7.4197389999999999</v>
      </c>
      <c r="G133" s="2">
        <v>1</v>
      </c>
      <c r="H133" s="2">
        <f t="shared" si="11"/>
        <v>0</v>
      </c>
      <c r="I133" s="2">
        <f t="shared" si="10"/>
        <v>-2.9</v>
      </c>
      <c r="L133" s="1"/>
    </row>
    <row r="134" spans="1:12" x14ac:dyDescent="0.25">
      <c r="A134">
        <v>7</v>
      </c>
      <c r="B134">
        <v>307.42200000000003</v>
      </c>
      <c r="C134">
        <v>89.999920000000003</v>
      </c>
      <c r="D134">
        <v>19.574839999999998</v>
      </c>
      <c r="E134">
        <v>9.1727740000000004</v>
      </c>
      <c r="G134" s="2">
        <v>1.5</v>
      </c>
      <c r="H134" s="2">
        <f t="shared" si="11"/>
        <v>0.17609125905568124</v>
      </c>
      <c r="I134" s="2">
        <f t="shared" si="10"/>
        <v>-2.7239087409443186</v>
      </c>
      <c r="L134" s="1"/>
    </row>
    <row r="135" spans="1:12" x14ac:dyDescent="0.25">
      <c r="A135">
        <v>7</v>
      </c>
      <c r="B135">
        <v>309.04340000000002</v>
      </c>
      <c r="C135">
        <v>89.999840000000006</v>
      </c>
      <c r="D135">
        <v>21.40222</v>
      </c>
      <c r="E135">
        <v>11.299189999999999</v>
      </c>
      <c r="G135" s="2">
        <v>2.2000000000000002</v>
      </c>
      <c r="H135" s="2">
        <f t="shared" si="11"/>
        <v>0.34242268082220628</v>
      </c>
      <c r="I135" s="2">
        <f t="shared" si="10"/>
        <v>-2.5575773191777937</v>
      </c>
      <c r="L135" s="1"/>
    </row>
    <row r="136" spans="1:12" x14ac:dyDescent="0.25">
      <c r="A136">
        <v>7</v>
      </c>
      <c r="B136">
        <v>310.93360000000001</v>
      </c>
      <c r="C136">
        <v>90.000309999999999</v>
      </c>
      <c r="D136">
        <v>23.618490000000001</v>
      </c>
      <c r="E136">
        <v>13.912470000000001</v>
      </c>
      <c r="G136" s="2">
        <v>3.2</v>
      </c>
      <c r="H136" s="2">
        <f t="shared" si="11"/>
        <v>0.50514997831990605</v>
      </c>
      <c r="I136" s="2">
        <f t="shared" si="10"/>
        <v>-2.3948500216800941</v>
      </c>
      <c r="L136" s="1"/>
    </row>
    <row r="137" spans="1:12" x14ac:dyDescent="0.25">
      <c r="A137">
        <v>7</v>
      </c>
      <c r="B137">
        <v>312.82740000000001</v>
      </c>
      <c r="C137">
        <v>89.99991</v>
      </c>
      <c r="D137">
        <v>26.281099999999999</v>
      </c>
      <c r="E137">
        <v>17.0487</v>
      </c>
      <c r="G137" s="2">
        <v>4.5999999999999996</v>
      </c>
      <c r="H137" s="2">
        <f t="shared" si="11"/>
        <v>0.66275783168157409</v>
      </c>
      <c r="I137" s="2">
        <f t="shared" si="10"/>
        <v>-2.237242168318426</v>
      </c>
      <c r="L137" s="1"/>
    </row>
    <row r="138" spans="1:12" x14ac:dyDescent="0.25">
      <c r="A138">
        <v>7</v>
      </c>
      <c r="B138">
        <v>314.73349999999999</v>
      </c>
      <c r="C138">
        <v>89.999880000000005</v>
      </c>
      <c r="D138">
        <v>29.867999999999999</v>
      </c>
      <c r="E138">
        <v>21.229299999999999</v>
      </c>
      <c r="G138" s="2">
        <v>6.8</v>
      </c>
      <c r="H138" s="2">
        <f t="shared" si="11"/>
        <v>0.83250891270623628</v>
      </c>
      <c r="I138" s="2">
        <f t="shared" si="10"/>
        <v>-2.0674910872937637</v>
      </c>
      <c r="L138" s="1"/>
    </row>
    <row r="139" spans="1:12" x14ac:dyDescent="0.25">
      <c r="A139">
        <v>7</v>
      </c>
      <c r="B139">
        <v>315.28980000000001</v>
      </c>
      <c r="C139">
        <v>90.000060000000005</v>
      </c>
      <c r="D139">
        <v>34.3065</v>
      </c>
      <c r="E139">
        <v>26.311520000000002</v>
      </c>
      <c r="G139" s="2">
        <v>10</v>
      </c>
      <c r="H139" s="2">
        <f t="shared" si="11"/>
        <v>1</v>
      </c>
      <c r="I139" s="2">
        <f t="shared" si="10"/>
        <v>-1.9</v>
      </c>
      <c r="L139" s="1"/>
    </row>
    <row r="140" spans="1:12" x14ac:dyDescent="0.25">
      <c r="A140">
        <v>7</v>
      </c>
      <c r="B140">
        <v>316.14589999999998</v>
      </c>
      <c r="C140">
        <v>90.000119999999995</v>
      </c>
      <c r="D140">
        <v>39.740299999999998</v>
      </c>
      <c r="E140">
        <v>32.428939999999997</v>
      </c>
      <c r="G140" s="2">
        <v>14.6</v>
      </c>
      <c r="H140" s="2">
        <f t="shared" si="11"/>
        <v>1.1643528557844371</v>
      </c>
      <c r="I140" s="2">
        <f t="shared" si="10"/>
        <v>-1.7356471442155628</v>
      </c>
      <c r="L140" s="1"/>
    </row>
    <row r="141" spans="1:12" x14ac:dyDescent="0.25">
      <c r="A141">
        <v>7</v>
      </c>
      <c r="B141">
        <v>316.6354</v>
      </c>
      <c r="C141">
        <v>90.000159999999994</v>
      </c>
      <c r="D141">
        <v>47.036020000000001</v>
      </c>
      <c r="E141">
        <v>40.149410000000003</v>
      </c>
      <c r="G141" s="2">
        <v>21.5</v>
      </c>
      <c r="H141" s="2">
        <f t="shared" si="11"/>
        <v>1.3324384599156054</v>
      </c>
      <c r="I141" s="2">
        <f t="shared" si="10"/>
        <v>-1.5675615400843945</v>
      </c>
      <c r="L141" s="1"/>
    </row>
    <row r="142" spans="1:12" x14ac:dyDescent="0.25">
      <c r="A142">
        <v>7</v>
      </c>
      <c r="B142">
        <v>317.41680000000002</v>
      </c>
      <c r="C142">
        <v>89.99991</v>
      </c>
      <c r="D142">
        <v>56.865499999999997</v>
      </c>
      <c r="E142">
        <v>49.295020000000001</v>
      </c>
      <c r="G142" s="2">
        <v>31.6</v>
      </c>
      <c r="H142" s="2">
        <f t="shared" si="11"/>
        <v>1.4996870826184039</v>
      </c>
      <c r="I142" s="2">
        <f t="shared" si="10"/>
        <v>-1.400312917381596</v>
      </c>
      <c r="L142" s="1"/>
    </row>
    <row r="143" spans="1:12" x14ac:dyDescent="0.25">
      <c r="A143">
        <v>7</v>
      </c>
      <c r="B143">
        <v>318.11880000000002</v>
      </c>
      <c r="C143">
        <v>90.000200000000007</v>
      </c>
      <c r="D143">
        <v>66.214699999999993</v>
      </c>
      <c r="E143">
        <v>58.72251</v>
      </c>
      <c r="G143" s="2">
        <v>46.4</v>
      </c>
      <c r="H143" s="2">
        <f t="shared" si="11"/>
        <v>1.6665179805548809</v>
      </c>
      <c r="I143" s="2">
        <f t="shared" si="10"/>
        <v>-1.233482019445119</v>
      </c>
      <c r="L143" s="1"/>
    </row>
    <row r="144" spans="1:12" x14ac:dyDescent="0.25">
      <c r="A144">
        <v>7</v>
      </c>
      <c r="B144">
        <v>318.4812</v>
      </c>
      <c r="C144">
        <v>90.000789999999995</v>
      </c>
      <c r="D144">
        <v>82.694180000000003</v>
      </c>
      <c r="E144">
        <v>70.440939999999998</v>
      </c>
      <c r="G144" s="2">
        <v>68</v>
      </c>
      <c r="H144" s="2">
        <f t="shared" si="11"/>
        <v>1.8325089127062364</v>
      </c>
      <c r="I144" s="2">
        <f t="shared" si="10"/>
        <v>-1.0674910872937635</v>
      </c>
    </row>
    <row r="145" spans="1:12" x14ac:dyDescent="0.25">
      <c r="A145">
        <v>7</v>
      </c>
      <c r="B145">
        <v>318.68869999999998</v>
      </c>
      <c r="C145">
        <v>90.000579999999999</v>
      </c>
      <c r="D145">
        <v>93.186419999999998</v>
      </c>
      <c r="E145">
        <v>84.691739999999996</v>
      </c>
      <c r="G145" s="2">
        <v>100</v>
      </c>
      <c r="H145" s="2">
        <f t="shared" si="11"/>
        <v>2</v>
      </c>
      <c r="I145" s="2">
        <f t="shared" si="10"/>
        <v>-0.89999999999999991</v>
      </c>
      <c r="L145" s="1"/>
    </row>
    <row r="146" spans="1:12" x14ac:dyDescent="0.25">
      <c r="A146" s="2">
        <f>V38</f>
        <v>3.6</v>
      </c>
      <c r="B146">
        <v>328.3433</v>
      </c>
      <c r="C146">
        <v>94.966130000000007</v>
      </c>
      <c r="D146">
        <v>10.840529999999999</v>
      </c>
      <c r="E146">
        <v>1.8038940000000001</v>
      </c>
      <c r="G146" s="2">
        <v>0.1</v>
      </c>
      <c r="H146" s="2">
        <f t="shared" si="11"/>
        <v>-1</v>
      </c>
      <c r="I146" s="2">
        <f>H146-$A$146</f>
        <v>-4.5999999999999996</v>
      </c>
      <c r="L146" s="1"/>
    </row>
    <row r="147" spans="1:12" x14ac:dyDescent="0.25">
      <c r="A147">
        <v>8</v>
      </c>
      <c r="B147">
        <v>330.71210000000002</v>
      </c>
      <c r="C147">
        <v>94.997879999999995</v>
      </c>
      <c r="D147">
        <v>11.172079999999999</v>
      </c>
      <c r="E147">
        <v>1.945776</v>
      </c>
      <c r="G147" s="2">
        <v>0.15</v>
      </c>
      <c r="H147" s="2">
        <f t="shared" si="11"/>
        <v>-0.82390874094431876</v>
      </c>
      <c r="I147" s="2">
        <f t="shared" ref="I147:I164" si="12">H147-$A$146</f>
        <v>-4.4239087409443192</v>
      </c>
      <c r="L147" s="1"/>
    </row>
    <row r="148" spans="1:12" x14ac:dyDescent="0.25">
      <c r="A148">
        <v>8</v>
      </c>
      <c r="B148">
        <v>338.0872</v>
      </c>
      <c r="C148">
        <v>94.999750000000006</v>
      </c>
      <c r="D148">
        <v>11.54082</v>
      </c>
      <c r="E148">
        <v>2.1154069999999998</v>
      </c>
      <c r="G148" s="2">
        <v>0.22</v>
      </c>
      <c r="H148" s="2">
        <f t="shared" si="11"/>
        <v>-0.65757731917779372</v>
      </c>
      <c r="I148" s="2">
        <f t="shared" si="12"/>
        <v>-4.2575773191777939</v>
      </c>
      <c r="L148" s="1"/>
    </row>
    <row r="149" spans="1:12" x14ac:dyDescent="0.25">
      <c r="A149">
        <v>8</v>
      </c>
      <c r="B149">
        <v>346.46269999999998</v>
      </c>
      <c r="C149">
        <v>94.999719999999996</v>
      </c>
      <c r="D149">
        <v>12.055260000000001</v>
      </c>
      <c r="E149">
        <v>2.354365</v>
      </c>
      <c r="G149" s="2">
        <v>0.32</v>
      </c>
      <c r="H149" s="2">
        <f t="shared" si="11"/>
        <v>-0.49485002168009401</v>
      </c>
      <c r="I149" s="2">
        <f t="shared" si="12"/>
        <v>-4.0948500216800943</v>
      </c>
      <c r="L149" s="1"/>
    </row>
    <row r="150" spans="1:12" x14ac:dyDescent="0.25">
      <c r="A150">
        <v>8</v>
      </c>
      <c r="B150">
        <v>354.83850000000001</v>
      </c>
      <c r="C150">
        <v>94.99991</v>
      </c>
      <c r="D150">
        <v>12.625249999999999</v>
      </c>
      <c r="E150">
        <v>2.6566179999999999</v>
      </c>
      <c r="G150" s="2">
        <v>0.46</v>
      </c>
      <c r="H150" s="2">
        <f t="shared" si="11"/>
        <v>-0.33724216831842591</v>
      </c>
      <c r="I150" s="2">
        <f t="shared" si="12"/>
        <v>-3.9372421683184262</v>
      </c>
      <c r="L150" s="1"/>
    </row>
    <row r="151" spans="1:12" x14ac:dyDescent="0.25">
      <c r="A151">
        <v>8</v>
      </c>
      <c r="B151">
        <v>363.21469999999999</v>
      </c>
      <c r="C151">
        <v>95.000150000000005</v>
      </c>
      <c r="D151">
        <v>13.29208</v>
      </c>
      <c r="E151">
        <v>3.0677319999999999</v>
      </c>
      <c r="G151" s="2">
        <v>0.68</v>
      </c>
      <c r="H151" s="2">
        <f t="shared" si="11"/>
        <v>-0.16749108729376366</v>
      </c>
      <c r="I151" s="2">
        <f t="shared" si="12"/>
        <v>-3.7674910872937639</v>
      </c>
      <c r="L151" s="1"/>
    </row>
    <row r="152" spans="1:12" x14ac:dyDescent="0.25">
      <c r="A152">
        <v>8</v>
      </c>
      <c r="B152">
        <v>365.0575</v>
      </c>
      <c r="C152">
        <v>94.999080000000006</v>
      </c>
      <c r="D152">
        <v>13.949859999999999</v>
      </c>
      <c r="E152">
        <v>3.5743149999999999</v>
      </c>
      <c r="G152" s="2">
        <v>1</v>
      </c>
      <c r="H152" s="2">
        <f t="shared" si="11"/>
        <v>0</v>
      </c>
      <c r="I152" s="2">
        <f t="shared" si="12"/>
        <v>-3.6</v>
      </c>
      <c r="L152" s="1"/>
    </row>
    <row r="153" spans="1:12" x14ac:dyDescent="0.25">
      <c r="A153">
        <v>8</v>
      </c>
      <c r="B153">
        <v>365.4006</v>
      </c>
      <c r="C153">
        <v>94.998909999999995</v>
      </c>
      <c r="D153">
        <v>14.71692</v>
      </c>
      <c r="E153">
        <v>4.2398660000000001</v>
      </c>
      <c r="G153" s="2">
        <v>1.5</v>
      </c>
      <c r="H153" s="2">
        <f t="shared" si="11"/>
        <v>0.17609125905568124</v>
      </c>
      <c r="I153" s="2">
        <f t="shared" si="12"/>
        <v>-3.4239087409443187</v>
      </c>
      <c r="L153" s="1"/>
    </row>
    <row r="154" spans="1:12" x14ac:dyDescent="0.25">
      <c r="A154">
        <v>8</v>
      </c>
      <c r="B154">
        <v>366.84480000000002</v>
      </c>
      <c r="C154">
        <v>95.000659999999996</v>
      </c>
      <c r="D154">
        <v>15.57686</v>
      </c>
      <c r="E154">
        <v>5.0601560000000001</v>
      </c>
      <c r="G154" s="2">
        <v>2.2000000000000002</v>
      </c>
      <c r="H154" s="2">
        <f t="shared" si="11"/>
        <v>0.34242268082220628</v>
      </c>
      <c r="I154" s="2">
        <f t="shared" si="12"/>
        <v>-3.2575773191777939</v>
      </c>
      <c r="L154" s="1"/>
    </row>
    <row r="155" spans="1:12" x14ac:dyDescent="0.25">
      <c r="A155">
        <v>8</v>
      </c>
      <c r="B155">
        <v>368.38799999999998</v>
      </c>
      <c r="C155">
        <v>95.000309999999999</v>
      </c>
      <c r="D155">
        <v>16.568660000000001</v>
      </c>
      <c r="E155">
        <v>6.0814950000000003</v>
      </c>
      <c r="G155" s="2">
        <v>3.2</v>
      </c>
      <c r="H155" s="2">
        <f t="shared" si="11"/>
        <v>0.50514997831990605</v>
      </c>
      <c r="I155" s="2">
        <f t="shared" si="12"/>
        <v>-3.0948500216800943</v>
      </c>
      <c r="L155" s="1"/>
    </row>
    <row r="156" spans="1:12" x14ac:dyDescent="0.25">
      <c r="A156">
        <v>8</v>
      </c>
      <c r="B156">
        <v>370.10070000000002</v>
      </c>
      <c r="C156">
        <v>94.999619999999993</v>
      </c>
      <c r="D156">
        <v>17.71621</v>
      </c>
      <c r="E156">
        <v>7.343286</v>
      </c>
      <c r="G156" s="2">
        <v>4.5999999999999996</v>
      </c>
      <c r="H156" s="2">
        <f t="shared" si="11"/>
        <v>0.66275783168157409</v>
      </c>
      <c r="I156" s="2">
        <f t="shared" si="12"/>
        <v>-2.9372421683184262</v>
      </c>
      <c r="L156" s="1"/>
    </row>
    <row r="157" spans="1:12" x14ac:dyDescent="0.25">
      <c r="A157">
        <v>8</v>
      </c>
      <c r="B157">
        <v>371.81599999999997</v>
      </c>
      <c r="C157">
        <v>94.999989999999997</v>
      </c>
      <c r="D157">
        <v>19.217590000000001</v>
      </c>
      <c r="E157">
        <v>9.065042</v>
      </c>
      <c r="G157" s="2">
        <v>6.8</v>
      </c>
      <c r="H157" s="2">
        <f t="shared" si="11"/>
        <v>0.83250891270623628</v>
      </c>
      <c r="I157" s="2">
        <f t="shared" si="12"/>
        <v>-2.7674910872937639</v>
      </c>
      <c r="L157" s="1"/>
    </row>
    <row r="158" spans="1:12" x14ac:dyDescent="0.25">
      <c r="A158">
        <v>8</v>
      </c>
      <c r="B158">
        <v>372.33519999999999</v>
      </c>
      <c r="C158">
        <v>95.00009</v>
      </c>
      <c r="D158">
        <v>21.028659999999999</v>
      </c>
      <c r="E158">
        <v>11.242470000000001</v>
      </c>
      <c r="G158" s="2">
        <v>10</v>
      </c>
      <c r="H158" s="2">
        <f t="shared" si="11"/>
        <v>1</v>
      </c>
      <c r="I158" s="2">
        <f t="shared" si="12"/>
        <v>-2.6</v>
      </c>
      <c r="L158" s="1"/>
    </row>
    <row r="159" spans="1:12" x14ac:dyDescent="0.25">
      <c r="A159">
        <v>8</v>
      </c>
      <c r="B159">
        <v>373.08800000000002</v>
      </c>
      <c r="C159">
        <v>94.999880000000005</v>
      </c>
      <c r="D159">
        <v>23.16968</v>
      </c>
      <c r="E159">
        <v>13.97002</v>
      </c>
      <c r="G159" s="2">
        <v>14.6</v>
      </c>
      <c r="H159" s="2">
        <f t="shared" si="11"/>
        <v>1.1643528557844371</v>
      </c>
      <c r="I159" s="2">
        <f t="shared" si="12"/>
        <v>-2.4356471442155629</v>
      </c>
      <c r="L159" s="1"/>
    </row>
    <row r="160" spans="1:12" x14ac:dyDescent="0.25">
      <c r="A160">
        <v>8</v>
      </c>
      <c r="B160">
        <v>373.53300000000002</v>
      </c>
      <c r="C160">
        <v>95.000119999999995</v>
      </c>
      <c r="D160">
        <v>26.229649999999999</v>
      </c>
      <c r="E160">
        <v>17.68216</v>
      </c>
      <c r="G160" s="2">
        <v>21.5</v>
      </c>
      <c r="H160" s="2">
        <f t="shared" si="11"/>
        <v>1.3324384599156054</v>
      </c>
      <c r="I160" s="2">
        <f t="shared" si="12"/>
        <v>-2.2675615400843947</v>
      </c>
      <c r="L160" s="1"/>
    </row>
    <row r="161" spans="1:12" x14ac:dyDescent="0.25">
      <c r="A161">
        <v>8</v>
      </c>
      <c r="B161">
        <v>374.13499999999999</v>
      </c>
      <c r="C161">
        <v>94.999989999999997</v>
      </c>
      <c r="D161">
        <v>30.73208</v>
      </c>
      <c r="E161">
        <v>22.280259999999998</v>
      </c>
      <c r="G161" s="2">
        <v>31.6</v>
      </c>
      <c r="H161" s="2">
        <f t="shared" si="11"/>
        <v>1.4996870826184039</v>
      </c>
      <c r="I161" s="2">
        <f t="shared" si="12"/>
        <v>-2.1003129173815962</v>
      </c>
      <c r="L161" s="1"/>
    </row>
    <row r="162" spans="1:12" x14ac:dyDescent="0.25">
      <c r="A162">
        <v>8</v>
      </c>
      <c r="B162">
        <v>375.00900000000001</v>
      </c>
      <c r="C162">
        <v>95.000360000000001</v>
      </c>
      <c r="D162">
        <v>33.46902</v>
      </c>
      <c r="E162">
        <v>26.675319999999999</v>
      </c>
      <c r="G162" s="2">
        <v>46.4</v>
      </c>
      <c r="H162" s="2">
        <f t="shared" si="11"/>
        <v>1.6665179805548809</v>
      </c>
      <c r="I162" s="2">
        <f t="shared" si="12"/>
        <v>-1.9334820194451192</v>
      </c>
      <c r="L162" s="1"/>
    </row>
    <row r="163" spans="1:12" x14ac:dyDescent="0.25">
      <c r="A163">
        <v>8</v>
      </c>
      <c r="B163">
        <v>375.34949999999998</v>
      </c>
      <c r="C163">
        <v>95.000579999999999</v>
      </c>
      <c r="D163">
        <v>41.88494</v>
      </c>
      <c r="E163">
        <v>33.07141</v>
      </c>
      <c r="G163" s="2">
        <v>68</v>
      </c>
      <c r="H163" s="2">
        <f t="shared" si="11"/>
        <v>1.8325089127062364</v>
      </c>
      <c r="I163" s="2">
        <f t="shared" si="12"/>
        <v>-1.7674910872937637</v>
      </c>
      <c r="L163" s="1"/>
    </row>
    <row r="164" spans="1:12" x14ac:dyDescent="0.25">
      <c r="A164">
        <v>8</v>
      </c>
      <c r="B164">
        <v>375.55500000000001</v>
      </c>
      <c r="C164">
        <v>95.000219999999999</v>
      </c>
      <c r="D164">
        <v>42.713520000000003</v>
      </c>
      <c r="E164">
        <v>41.69464</v>
      </c>
      <c r="G164" s="2">
        <v>100</v>
      </c>
      <c r="H164" s="2">
        <f t="shared" si="11"/>
        <v>2</v>
      </c>
      <c r="I164" s="2">
        <f t="shared" si="12"/>
        <v>-1.6</v>
      </c>
      <c r="L164" s="1"/>
    </row>
    <row r="165" spans="1:12" x14ac:dyDescent="0.25">
      <c r="A165" s="2">
        <f>V39</f>
        <v>4.2</v>
      </c>
      <c r="B165">
        <v>388.01749999999998</v>
      </c>
      <c r="C165">
        <v>99.989620000000002</v>
      </c>
      <c r="D165">
        <v>9.2533480000000008</v>
      </c>
      <c r="E165">
        <v>1.373254</v>
      </c>
      <c r="G165" s="2">
        <v>0.1</v>
      </c>
      <c r="H165" s="2">
        <f t="shared" si="11"/>
        <v>-1</v>
      </c>
      <c r="I165" s="2">
        <f>H165-$A$165</f>
        <v>-5.2</v>
      </c>
      <c r="L165" s="1"/>
    </row>
    <row r="166" spans="1:12" x14ac:dyDescent="0.25">
      <c r="A166">
        <v>9</v>
      </c>
      <c r="B166">
        <v>391.05840000000001</v>
      </c>
      <c r="C166">
        <v>100.0003</v>
      </c>
      <c r="D166">
        <v>9.5517459999999996</v>
      </c>
      <c r="E166">
        <v>1.4501310000000001</v>
      </c>
      <c r="G166" s="2">
        <v>0.15</v>
      </c>
      <c r="H166" s="2">
        <f t="shared" si="11"/>
        <v>-0.82390874094431876</v>
      </c>
      <c r="I166" s="2">
        <f t="shared" ref="I166:I183" si="13">H166-$A$165</f>
        <v>-5.0239087409443188</v>
      </c>
      <c r="L166" s="1"/>
    </row>
    <row r="167" spans="1:12" x14ac:dyDescent="0.25">
      <c r="A167">
        <v>9</v>
      </c>
      <c r="B167">
        <v>397.59589999999997</v>
      </c>
      <c r="C167">
        <v>99.999679999999998</v>
      </c>
      <c r="D167">
        <v>9.8949809999999996</v>
      </c>
      <c r="E167">
        <v>1.54061</v>
      </c>
      <c r="G167" s="2">
        <v>0.22</v>
      </c>
      <c r="H167" s="2">
        <f t="shared" si="11"/>
        <v>-0.65757731917779372</v>
      </c>
      <c r="I167" s="2">
        <f t="shared" si="13"/>
        <v>-4.8575773191777936</v>
      </c>
      <c r="L167" s="1"/>
    </row>
    <row r="168" spans="1:12" x14ac:dyDescent="0.25">
      <c r="A168">
        <v>9</v>
      </c>
      <c r="B168">
        <v>405.97070000000002</v>
      </c>
      <c r="C168">
        <v>99.99991</v>
      </c>
      <c r="D168">
        <v>10.31288</v>
      </c>
      <c r="E168">
        <v>1.6575599999999999</v>
      </c>
      <c r="G168" s="2">
        <v>0.32</v>
      </c>
      <c r="H168" s="2">
        <f t="shared" si="11"/>
        <v>-0.49485002168009401</v>
      </c>
      <c r="I168" s="2">
        <f t="shared" si="13"/>
        <v>-4.6948500216800939</v>
      </c>
      <c r="L168" s="1"/>
    </row>
    <row r="169" spans="1:12" x14ac:dyDescent="0.25">
      <c r="A169">
        <v>9</v>
      </c>
      <c r="B169">
        <v>414.34559999999999</v>
      </c>
      <c r="C169">
        <v>99.99991</v>
      </c>
      <c r="D169">
        <v>10.75249</v>
      </c>
      <c r="E169">
        <v>1.7984899999999999</v>
      </c>
      <c r="G169" s="2">
        <v>0.46</v>
      </c>
      <c r="H169" s="2">
        <f t="shared" si="11"/>
        <v>-0.33724216831842591</v>
      </c>
      <c r="I169" s="2">
        <f t="shared" si="13"/>
        <v>-4.5372421683184259</v>
      </c>
      <c r="L169" s="1"/>
    </row>
    <row r="170" spans="1:12" x14ac:dyDescent="0.25">
      <c r="A170">
        <v>9</v>
      </c>
      <c r="B170">
        <v>422.72059999999999</v>
      </c>
      <c r="C170">
        <v>100.0003</v>
      </c>
      <c r="D170">
        <v>11.24316</v>
      </c>
      <c r="E170">
        <v>1.9846079999999999</v>
      </c>
      <c r="G170" s="2">
        <v>0.68</v>
      </c>
      <c r="H170" s="2">
        <f t="shared" si="11"/>
        <v>-0.16749108729376366</v>
      </c>
      <c r="I170" s="2">
        <f t="shared" si="13"/>
        <v>-4.3674910872937636</v>
      </c>
      <c r="L170" s="1"/>
    </row>
    <row r="171" spans="1:12" x14ac:dyDescent="0.25">
      <c r="A171">
        <v>9</v>
      </c>
      <c r="B171">
        <v>424.56180000000001</v>
      </c>
      <c r="C171">
        <v>99.99991</v>
      </c>
      <c r="D171">
        <v>11.70074</v>
      </c>
      <c r="E171">
        <v>2.202979</v>
      </c>
      <c r="G171" s="2">
        <v>1</v>
      </c>
      <c r="H171" s="2">
        <f t="shared" si="11"/>
        <v>0</v>
      </c>
      <c r="I171" s="2">
        <f t="shared" si="13"/>
        <v>-4.2</v>
      </c>
      <c r="L171" s="1"/>
    </row>
    <row r="172" spans="1:12" x14ac:dyDescent="0.25">
      <c r="A172">
        <v>9</v>
      </c>
      <c r="B172">
        <v>424.90320000000003</v>
      </c>
      <c r="C172">
        <v>99.999369999999999</v>
      </c>
      <c r="D172">
        <v>12.21129</v>
      </c>
      <c r="E172">
        <v>2.4912339999999999</v>
      </c>
      <c r="G172" s="2">
        <v>1.5</v>
      </c>
      <c r="H172" s="2">
        <f t="shared" si="11"/>
        <v>0.17609125905568124</v>
      </c>
      <c r="I172" s="2">
        <f t="shared" si="13"/>
        <v>-4.0239087409443188</v>
      </c>
      <c r="L172" s="1"/>
    </row>
    <row r="173" spans="1:12" x14ac:dyDescent="0.25">
      <c r="A173">
        <v>9</v>
      </c>
      <c r="B173">
        <v>426.34519999999998</v>
      </c>
      <c r="C173">
        <v>100.0001</v>
      </c>
      <c r="D173">
        <v>12.753500000000001</v>
      </c>
      <c r="E173">
        <v>2.8425980000000002</v>
      </c>
      <c r="G173" s="2">
        <v>2.2000000000000002</v>
      </c>
      <c r="H173" s="2">
        <f t="shared" si="11"/>
        <v>0.34242268082220628</v>
      </c>
      <c r="I173" s="2">
        <f t="shared" si="13"/>
        <v>-3.857577319177794</v>
      </c>
      <c r="L173" s="1"/>
    </row>
    <row r="174" spans="1:12" x14ac:dyDescent="0.25">
      <c r="A174">
        <v>9</v>
      </c>
      <c r="B174">
        <v>428.05430000000001</v>
      </c>
      <c r="C174">
        <v>99.999989999999997</v>
      </c>
      <c r="D174">
        <v>13.34796</v>
      </c>
      <c r="E174">
        <v>3.2802159999999998</v>
      </c>
      <c r="G174" s="2">
        <v>3.2</v>
      </c>
      <c r="H174" s="2">
        <f t="shared" si="11"/>
        <v>0.50514997831990605</v>
      </c>
      <c r="I174" s="2">
        <f t="shared" si="13"/>
        <v>-3.6948500216800939</v>
      </c>
      <c r="L174" s="1"/>
    </row>
    <row r="175" spans="1:12" x14ac:dyDescent="0.25">
      <c r="A175">
        <v>9</v>
      </c>
      <c r="B175">
        <v>429.76400000000001</v>
      </c>
      <c r="C175">
        <v>100.00060000000001</v>
      </c>
      <c r="D175">
        <v>14.00217</v>
      </c>
      <c r="E175">
        <v>3.8197380000000001</v>
      </c>
      <c r="G175" s="2">
        <v>4.5999999999999996</v>
      </c>
      <c r="H175" s="2">
        <f t="shared" si="11"/>
        <v>0.66275783168157409</v>
      </c>
      <c r="I175" s="2">
        <f t="shared" si="13"/>
        <v>-3.5372421683184259</v>
      </c>
      <c r="L175" s="1"/>
    </row>
    <row r="176" spans="1:12" x14ac:dyDescent="0.25">
      <c r="A176">
        <v>9</v>
      </c>
      <c r="B176">
        <v>431.47480000000002</v>
      </c>
      <c r="C176">
        <v>99.99982</v>
      </c>
      <c r="D176">
        <v>14.81527</v>
      </c>
      <c r="E176">
        <v>4.5681570000000002</v>
      </c>
      <c r="G176" s="2">
        <v>6.8</v>
      </c>
      <c r="H176" s="2">
        <f t="shared" si="11"/>
        <v>0.83250891270623628</v>
      </c>
      <c r="I176" s="2">
        <f t="shared" si="13"/>
        <v>-3.367491087293764</v>
      </c>
      <c r="L176" s="1"/>
    </row>
    <row r="177" spans="1:12" x14ac:dyDescent="0.25">
      <c r="A177">
        <v>9</v>
      </c>
      <c r="B177">
        <v>431.98779999999999</v>
      </c>
      <c r="C177">
        <v>99.999719999999996</v>
      </c>
      <c r="D177">
        <v>15.74677</v>
      </c>
      <c r="E177">
        <v>5.5310600000000001</v>
      </c>
      <c r="G177" s="2">
        <v>10</v>
      </c>
      <c r="H177" s="2">
        <f t="shared" si="11"/>
        <v>1</v>
      </c>
      <c r="I177" s="2">
        <f t="shared" si="13"/>
        <v>-3.2</v>
      </c>
      <c r="L177" s="1"/>
    </row>
    <row r="178" spans="1:12" x14ac:dyDescent="0.25">
      <c r="A178">
        <v>9</v>
      </c>
      <c r="B178">
        <v>432.90600000000001</v>
      </c>
      <c r="C178">
        <v>99.999920000000003</v>
      </c>
      <c r="D178">
        <v>16.791910000000001</v>
      </c>
      <c r="E178">
        <v>6.8060790000000004</v>
      </c>
      <c r="G178" s="2">
        <v>14.6</v>
      </c>
      <c r="H178" s="2">
        <f t="shared" si="11"/>
        <v>1.1643528557844371</v>
      </c>
      <c r="I178" s="2">
        <f t="shared" si="13"/>
        <v>-3.035647144215563</v>
      </c>
      <c r="L178" s="1"/>
    </row>
    <row r="179" spans="1:12" x14ac:dyDescent="0.25">
      <c r="A179">
        <v>9</v>
      </c>
      <c r="B179">
        <v>433.30799999999999</v>
      </c>
      <c r="C179">
        <v>100.00020000000001</v>
      </c>
      <c r="D179">
        <v>18.40692</v>
      </c>
      <c r="E179">
        <v>8.6757179999999998</v>
      </c>
      <c r="G179" s="2">
        <v>21.5</v>
      </c>
      <c r="H179" s="2">
        <f t="shared" si="11"/>
        <v>1.3324384599156054</v>
      </c>
      <c r="I179" s="2">
        <f t="shared" si="13"/>
        <v>-2.8675615400843948</v>
      </c>
      <c r="L179" s="1"/>
    </row>
    <row r="180" spans="1:12" x14ac:dyDescent="0.25">
      <c r="A180">
        <v>9</v>
      </c>
      <c r="B180">
        <v>434.08179999999999</v>
      </c>
      <c r="C180">
        <v>99.999970000000005</v>
      </c>
      <c r="D180">
        <v>21.012599999999999</v>
      </c>
      <c r="E180">
        <v>11.0222</v>
      </c>
      <c r="G180" s="2">
        <v>31.6</v>
      </c>
      <c r="H180" s="2">
        <f t="shared" si="11"/>
        <v>1.4996870826184039</v>
      </c>
      <c r="I180" s="2">
        <f t="shared" si="13"/>
        <v>-2.7003129173815963</v>
      </c>
      <c r="L180" s="1"/>
    </row>
    <row r="181" spans="1:12" x14ac:dyDescent="0.25">
      <c r="A181">
        <v>9</v>
      </c>
      <c r="B181">
        <v>434.9556</v>
      </c>
      <c r="C181">
        <v>100.0004</v>
      </c>
      <c r="D181">
        <v>21.310020000000002</v>
      </c>
      <c r="E181">
        <v>12.69904</v>
      </c>
      <c r="G181" s="2">
        <v>46.4</v>
      </c>
      <c r="H181" s="2">
        <f t="shared" si="11"/>
        <v>1.6665179805548809</v>
      </c>
      <c r="I181" s="2">
        <f t="shared" si="13"/>
        <v>-2.5334820194451195</v>
      </c>
      <c r="L181" s="1"/>
    </row>
    <row r="182" spans="1:12" x14ac:dyDescent="0.25">
      <c r="A182">
        <v>9</v>
      </c>
      <c r="B182">
        <v>435.27620000000002</v>
      </c>
      <c r="C182">
        <v>100.0003</v>
      </c>
      <c r="D182">
        <v>26.674689999999998</v>
      </c>
      <c r="E182">
        <v>15.90512</v>
      </c>
      <c r="G182" s="2">
        <v>68</v>
      </c>
      <c r="H182" s="2">
        <f t="shared" si="11"/>
        <v>1.8325089127062364</v>
      </c>
      <c r="I182" s="2">
        <f t="shared" si="13"/>
        <v>-2.3674910872937636</v>
      </c>
      <c r="L182" s="1"/>
    </row>
    <row r="183" spans="1:12" x14ac:dyDescent="0.25">
      <c r="A183">
        <v>9</v>
      </c>
      <c r="B183">
        <v>435.46319999999997</v>
      </c>
      <c r="C183">
        <v>100.0005</v>
      </c>
      <c r="D183">
        <v>23.490760000000002</v>
      </c>
      <c r="E183">
        <v>20.726479999999999</v>
      </c>
      <c r="G183" s="2">
        <v>100</v>
      </c>
      <c r="H183" s="2">
        <f t="shared" si="11"/>
        <v>2</v>
      </c>
      <c r="I183" s="2">
        <f t="shared" si="13"/>
        <v>-2.2000000000000002</v>
      </c>
      <c r="L183" s="1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83"/>
  <sheetViews>
    <sheetView zoomScale="90" zoomScaleNormal="90" workbookViewId="0">
      <selection activeCell="W30" sqref="W30"/>
    </sheetView>
  </sheetViews>
  <sheetFormatPr defaultRowHeight="15" x14ac:dyDescent="0.25"/>
  <cols>
    <col min="1" max="1" width="9.7109375" customWidth="1"/>
    <col min="2" max="2" width="10.7109375" customWidth="1"/>
    <col min="3" max="3" width="9" bestFit="1" customWidth="1"/>
    <col min="4" max="4" width="11.7109375" customWidth="1"/>
    <col min="5" max="5" width="10.7109375" customWidth="1"/>
    <col min="6" max="6" width="3.7109375" customWidth="1"/>
    <col min="7" max="7" width="9.7109375" customWidth="1"/>
    <col min="8" max="8" width="10.7109375" customWidth="1"/>
    <col min="9" max="9" width="9.7109375" customWidth="1"/>
    <col min="10" max="10" width="11.7109375" customWidth="1"/>
    <col min="11" max="11" width="9.7109375" bestFit="1" customWidth="1"/>
    <col min="12" max="12" width="8.28515625" bestFit="1" customWidth="1"/>
    <col min="13" max="13" width="9" bestFit="1" customWidth="1"/>
    <col min="14" max="14" width="2" bestFit="1" customWidth="1"/>
    <col min="15" max="15" width="11" bestFit="1" customWidth="1"/>
    <col min="16" max="16" width="9" bestFit="1" customWidth="1"/>
    <col min="17" max="17" width="2" bestFit="1" customWidth="1"/>
    <col min="20" max="20" width="7.7109375" customWidth="1"/>
    <col min="21" max="21" width="8.7109375" customWidth="1"/>
    <col min="24" max="24" width="9.85546875" customWidth="1"/>
    <col min="28" max="28" width="11.28515625" customWidth="1"/>
  </cols>
  <sheetData>
    <row r="1" spans="1:12" x14ac:dyDescent="0.25">
      <c r="I1" s="74" t="s">
        <v>19</v>
      </c>
      <c r="J1" s="74" t="s">
        <v>18</v>
      </c>
    </row>
    <row r="2" spans="1:12" x14ac:dyDescent="0.25">
      <c r="A2" s="74" t="s">
        <v>11</v>
      </c>
      <c r="B2" t="s">
        <v>0</v>
      </c>
      <c r="C2" t="s">
        <v>1</v>
      </c>
      <c r="D2" t="s">
        <v>2</v>
      </c>
      <c r="E2" t="s">
        <v>8</v>
      </c>
      <c r="G2" s="3" t="s">
        <v>7</v>
      </c>
      <c r="H2" t="s">
        <v>9</v>
      </c>
      <c r="I2" s="74" t="s">
        <v>9</v>
      </c>
      <c r="J2" s="74" t="s">
        <v>45</v>
      </c>
    </row>
    <row r="3" spans="1:12" x14ac:dyDescent="0.25">
      <c r="A3" s="2">
        <f>V32</f>
        <v>-6</v>
      </c>
      <c r="B3">
        <v>51.808790000000002</v>
      </c>
      <c r="C3">
        <v>60.000309999999999</v>
      </c>
      <c r="D3">
        <v>1296.5440000000001</v>
      </c>
      <c r="E3">
        <v>237.77119999999999</v>
      </c>
      <c r="G3" s="2">
        <v>9.9999990000000007E-3</v>
      </c>
      <c r="H3" s="2">
        <f>LOG10(G3)</f>
        <v>-2.0000000434294503</v>
      </c>
      <c r="I3" s="2">
        <f>H3-$A$3</f>
        <v>3.9999999565705497</v>
      </c>
      <c r="J3" s="78">
        <f>10^(I3)</f>
        <v>9999.9990000000107</v>
      </c>
      <c r="L3" s="1"/>
    </row>
    <row r="4" spans="1:12" x14ac:dyDescent="0.25">
      <c r="A4">
        <v>1</v>
      </c>
      <c r="B4">
        <v>65.201459999999997</v>
      </c>
      <c r="C4">
        <v>60.000019999999999</v>
      </c>
      <c r="D4">
        <v>1411.3869999999999</v>
      </c>
      <c r="E4">
        <v>210.5737</v>
      </c>
      <c r="G4" s="2">
        <v>0.02</v>
      </c>
      <c r="H4" s="2">
        <f t="shared" ref="H4:H67" si="0">LOG10(G4)</f>
        <v>-1.6989700043360187</v>
      </c>
      <c r="I4" s="2">
        <f t="shared" ref="I4:I26" si="1">H4-$A$3</f>
        <v>4.3010299956639813</v>
      </c>
      <c r="J4" s="78">
        <f t="shared" ref="J4:J67" si="2">10^(I4)</f>
        <v>20000.000000000018</v>
      </c>
      <c r="L4" s="1"/>
    </row>
    <row r="5" spans="1:12" x14ac:dyDescent="0.25">
      <c r="A5">
        <v>1</v>
      </c>
      <c r="B5">
        <v>78.57405</v>
      </c>
      <c r="C5">
        <v>60.00018</v>
      </c>
      <c r="D5">
        <v>1475.1959999999999</v>
      </c>
      <c r="E5">
        <v>194.93559999999999</v>
      </c>
      <c r="G5" s="2">
        <v>0.03</v>
      </c>
      <c r="H5" s="2">
        <f t="shared" si="0"/>
        <v>-1.5228787452803376</v>
      </c>
      <c r="I5" s="2">
        <f t="shared" si="1"/>
        <v>4.4771212547196626</v>
      </c>
      <c r="J5" s="78">
        <f t="shared" si="2"/>
        <v>30000.000000000062</v>
      </c>
      <c r="L5" s="1"/>
    </row>
    <row r="6" spans="1:12" x14ac:dyDescent="0.25">
      <c r="A6">
        <v>1</v>
      </c>
      <c r="B6">
        <v>84.618840000000006</v>
      </c>
      <c r="C6">
        <v>59.999960000000002</v>
      </c>
      <c r="D6">
        <v>1538.9570000000001</v>
      </c>
      <c r="E6">
        <v>181.00720000000001</v>
      </c>
      <c r="G6" s="2">
        <v>0.05</v>
      </c>
      <c r="H6" s="2">
        <f t="shared" si="0"/>
        <v>-1.3010299956639813</v>
      </c>
      <c r="I6" s="2">
        <f t="shared" si="1"/>
        <v>4.6989700043360187</v>
      </c>
      <c r="J6" s="78">
        <f t="shared" si="2"/>
        <v>50000.000000000007</v>
      </c>
      <c r="L6" s="1"/>
    </row>
    <row r="7" spans="1:12" x14ac:dyDescent="0.25">
      <c r="A7">
        <v>1</v>
      </c>
      <c r="B7">
        <v>96.993870000000001</v>
      </c>
      <c r="C7">
        <v>60.0002</v>
      </c>
      <c r="D7">
        <v>1585.059</v>
      </c>
      <c r="E7">
        <v>171.678</v>
      </c>
      <c r="G7" s="2">
        <v>7.0000000000000007E-2</v>
      </c>
      <c r="H7" s="2">
        <f t="shared" si="0"/>
        <v>-1.1549019599857431</v>
      </c>
      <c r="I7" s="2">
        <f t="shared" si="1"/>
        <v>4.8450980400142569</v>
      </c>
      <c r="J7" s="78">
        <f t="shared" si="2"/>
        <v>70000.000000000073</v>
      </c>
      <c r="L7" s="1"/>
    </row>
    <row r="8" spans="1:12" x14ac:dyDescent="0.25">
      <c r="A8">
        <v>1</v>
      </c>
      <c r="B8">
        <v>101.5351</v>
      </c>
      <c r="C8">
        <v>59.999960000000002</v>
      </c>
      <c r="D8">
        <v>1625.829</v>
      </c>
      <c r="E8">
        <v>165.08750000000001</v>
      </c>
      <c r="G8" s="2">
        <v>0.1</v>
      </c>
      <c r="H8" s="2">
        <f t="shared" si="0"/>
        <v>-1</v>
      </c>
      <c r="I8" s="2">
        <f t="shared" si="1"/>
        <v>5</v>
      </c>
      <c r="J8" s="78">
        <f t="shared" si="2"/>
        <v>100000</v>
      </c>
      <c r="L8" s="1"/>
    </row>
    <row r="9" spans="1:12" x14ac:dyDescent="0.25">
      <c r="A9">
        <v>1</v>
      </c>
      <c r="B9">
        <v>104.2428</v>
      </c>
      <c r="C9">
        <v>60</v>
      </c>
      <c r="D9">
        <v>1666.5039999999999</v>
      </c>
      <c r="E9">
        <v>156.98939999999999</v>
      </c>
      <c r="G9" s="2">
        <v>0.15</v>
      </c>
      <c r="H9" s="2">
        <f t="shared" si="0"/>
        <v>-0.82390874094431876</v>
      </c>
      <c r="I9" s="2">
        <f t="shared" si="1"/>
        <v>5.1760912590556813</v>
      </c>
      <c r="J9" s="78">
        <f t="shared" si="2"/>
        <v>150000.0000000002</v>
      </c>
      <c r="L9" s="1"/>
    </row>
    <row r="10" spans="1:12" x14ac:dyDescent="0.25">
      <c r="A10">
        <v>1</v>
      </c>
      <c r="B10">
        <v>110.7843</v>
      </c>
      <c r="C10">
        <v>59.999949999999998</v>
      </c>
      <c r="D10">
        <v>1706.336</v>
      </c>
      <c r="E10">
        <v>150.10900000000001</v>
      </c>
      <c r="G10" s="2">
        <v>0.22</v>
      </c>
      <c r="H10" s="2">
        <f t="shared" si="0"/>
        <v>-0.65757731917779372</v>
      </c>
      <c r="I10" s="2">
        <f t="shared" si="1"/>
        <v>5.3424226808222066</v>
      </c>
      <c r="J10" s="78">
        <f t="shared" si="2"/>
        <v>220000.00000000064</v>
      </c>
      <c r="L10" s="1"/>
    </row>
    <row r="11" spans="1:12" x14ac:dyDescent="0.25">
      <c r="A11">
        <v>1</v>
      </c>
      <c r="B11">
        <v>118.3248</v>
      </c>
      <c r="C11">
        <v>60.000100000000003</v>
      </c>
      <c r="D11">
        <v>1742.52</v>
      </c>
      <c r="E11">
        <v>144.10390000000001</v>
      </c>
      <c r="G11" s="2">
        <v>0.32</v>
      </c>
      <c r="H11" s="2">
        <f t="shared" si="0"/>
        <v>-0.49485002168009401</v>
      </c>
      <c r="I11" s="2">
        <f t="shared" si="1"/>
        <v>5.5051499783199063</v>
      </c>
      <c r="J11" s="78">
        <f t="shared" si="2"/>
        <v>320000.00000000041</v>
      </c>
      <c r="L11" s="1"/>
    </row>
    <row r="12" spans="1:12" x14ac:dyDescent="0.25">
      <c r="A12">
        <v>1</v>
      </c>
      <c r="B12">
        <v>125.8643</v>
      </c>
      <c r="C12">
        <v>59.999879999999997</v>
      </c>
      <c r="D12">
        <v>1776.425</v>
      </c>
      <c r="E12">
        <v>139.5181</v>
      </c>
      <c r="G12" s="2">
        <v>0.46</v>
      </c>
      <c r="H12" s="2">
        <f t="shared" si="0"/>
        <v>-0.33724216831842591</v>
      </c>
      <c r="I12" s="2">
        <f t="shared" si="1"/>
        <v>5.6627578316815743</v>
      </c>
      <c r="J12" s="78">
        <f t="shared" si="2"/>
        <v>460000.00000000041</v>
      </c>
      <c r="L12" s="1"/>
    </row>
    <row r="13" spans="1:12" x14ac:dyDescent="0.25">
      <c r="A13">
        <v>1</v>
      </c>
      <c r="B13">
        <v>133.40379999999999</v>
      </c>
      <c r="C13">
        <v>60</v>
      </c>
      <c r="D13">
        <v>1812.4</v>
      </c>
      <c r="E13">
        <v>135.33320000000001</v>
      </c>
      <c r="G13" s="2">
        <v>0.68</v>
      </c>
      <c r="H13" s="2">
        <f t="shared" si="0"/>
        <v>-0.16749108729376366</v>
      </c>
      <c r="I13" s="2">
        <f t="shared" si="1"/>
        <v>5.8325089127062366</v>
      </c>
      <c r="J13" s="78">
        <f t="shared" si="2"/>
        <v>680000.0000000014</v>
      </c>
      <c r="L13" s="1"/>
    </row>
    <row r="14" spans="1:12" x14ac:dyDescent="0.25">
      <c r="A14">
        <v>1</v>
      </c>
      <c r="B14">
        <v>135.22579999999999</v>
      </c>
      <c r="C14">
        <v>60.000100000000003</v>
      </c>
      <c r="D14">
        <v>1845.133</v>
      </c>
      <c r="E14">
        <v>132.15129999999999</v>
      </c>
      <c r="G14" s="2">
        <v>1</v>
      </c>
      <c r="H14" s="2">
        <f t="shared" si="0"/>
        <v>0</v>
      </c>
      <c r="I14" s="2">
        <f t="shared" si="1"/>
        <v>6</v>
      </c>
      <c r="J14" s="78">
        <f t="shared" si="2"/>
        <v>1000000</v>
      </c>
      <c r="L14" s="1"/>
    </row>
    <row r="15" spans="1:12" x14ac:dyDescent="0.25">
      <c r="A15">
        <v>1</v>
      </c>
      <c r="B15">
        <v>135.53020000000001</v>
      </c>
      <c r="C15">
        <v>60.000399999999999</v>
      </c>
      <c r="D15">
        <v>1877.809</v>
      </c>
      <c r="E15">
        <v>129.7192</v>
      </c>
      <c r="G15" s="2">
        <v>1.5</v>
      </c>
      <c r="H15" s="2">
        <f t="shared" si="0"/>
        <v>0.17609125905568124</v>
      </c>
      <c r="I15" s="2">
        <f t="shared" si="1"/>
        <v>6.1760912590556813</v>
      </c>
      <c r="J15" s="78">
        <f t="shared" si="2"/>
        <v>1500000.0000000037</v>
      </c>
      <c r="L15" s="1"/>
    </row>
    <row r="16" spans="1:12" x14ac:dyDescent="0.25">
      <c r="A16">
        <v>1</v>
      </c>
      <c r="B16">
        <v>136.80199999999999</v>
      </c>
      <c r="C16">
        <v>60.000219999999999</v>
      </c>
      <c r="D16">
        <v>1908.6690000000001</v>
      </c>
      <c r="E16">
        <v>127.6752</v>
      </c>
      <c r="G16" s="2">
        <v>2.2000000000000002</v>
      </c>
      <c r="H16" s="2">
        <f t="shared" si="0"/>
        <v>0.34242268082220628</v>
      </c>
      <c r="I16" s="2">
        <f t="shared" si="1"/>
        <v>6.3424226808222066</v>
      </c>
      <c r="J16" s="78">
        <f t="shared" si="2"/>
        <v>2200000.0000000047</v>
      </c>
      <c r="L16" s="1"/>
    </row>
    <row r="17" spans="1:25" x14ac:dyDescent="0.25">
      <c r="A17">
        <v>1</v>
      </c>
      <c r="B17">
        <v>138.33940000000001</v>
      </c>
      <c r="C17">
        <v>60.000120000000003</v>
      </c>
      <c r="D17">
        <v>1938.134</v>
      </c>
      <c r="E17">
        <v>126.1464</v>
      </c>
      <c r="G17" s="2">
        <v>3.2</v>
      </c>
      <c r="H17" s="2">
        <f t="shared" si="0"/>
        <v>0.50514997831990605</v>
      </c>
      <c r="I17" s="2">
        <f t="shared" si="1"/>
        <v>6.5051499783199063</v>
      </c>
      <c r="J17" s="78">
        <f t="shared" si="2"/>
        <v>3200000.0000000079</v>
      </c>
      <c r="L17" s="1"/>
    </row>
    <row r="18" spans="1:25" x14ac:dyDescent="0.25">
      <c r="A18">
        <v>1</v>
      </c>
      <c r="B18">
        <v>139.8766</v>
      </c>
      <c r="C18">
        <v>60.000300000000003</v>
      </c>
      <c r="D18">
        <v>1966.98</v>
      </c>
      <c r="E18">
        <v>125.2085</v>
      </c>
      <c r="G18" s="2">
        <v>4.5999999999999996</v>
      </c>
      <c r="H18" s="2">
        <f t="shared" si="0"/>
        <v>0.66275783168157409</v>
      </c>
      <c r="I18" s="2">
        <f t="shared" si="1"/>
        <v>6.6627578316815743</v>
      </c>
      <c r="J18" s="78">
        <f t="shared" si="2"/>
        <v>4600000.0000000093</v>
      </c>
      <c r="L18" s="1"/>
    </row>
    <row r="19" spans="1:25" x14ac:dyDescent="0.25">
      <c r="A19">
        <v>1</v>
      </c>
      <c r="B19">
        <v>141.41380000000001</v>
      </c>
      <c r="C19">
        <v>60.000329999999998</v>
      </c>
      <c r="D19">
        <v>1997.537</v>
      </c>
      <c r="E19">
        <v>124.25830000000001</v>
      </c>
      <c r="G19" s="2">
        <v>6.8</v>
      </c>
      <c r="H19" s="2">
        <f t="shared" si="0"/>
        <v>0.83250891270623628</v>
      </c>
      <c r="I19" s="2">
        <f t="shared" si="1"/>
        <v>6.8325089127062366</v>
      </c>
      <c r="J19" s="78">
        <f t="shared" si="2"/>
        <v>6800000.0000000093</v>
      </c>
      <c r="L19" s="1"/>
    </row>
    <row r="20" spans="1:25" x14ac:dyDescent="0.25">
      <c r="A20">
        <v>1</v>
      </c>
      <c r="B20">
        <v>141.90100000000001</v>
      </c>
      <c r="C20">
        <v>59.999980000000001</v>
      </c>
      <c r="D20">
        <v>2027.748</v>
      </c>
      <c r="E20">
        <v>123.883</v>
      </c>
      <c r="G20" s="2">
        <v>10</v>
      </c>
      <c r="H20" s="2">
        <f t="shared" si="0"/>
        <v>1</v>
      </c>
      <c r="I20" s="2">
        <f t="shared" si="1"/>
        <v>7</v>
      </c>
      <c r="J20" s="78">
        <f t="shared" si="2"/>
        <v>10000000</v>
      </c>
    </row>
    <row r="21" spans="1:25" x14ac:dyDescent="0.25">
      <c r="A21">
        <v>1</v>
      </c>
      <c r="B21">
        <v>142.5547</v>
      </c>
      <c r="C21">
        <v>60.000309999999999</v>
      </c>
      <c r="D21">
        <v>2056.576</v>
      </c>
      <c r="E21">
        <v>124.0275</v>
      </c>
      <c r="G21" s="2">
        <v>14.6</v>
      </c>
      <c r="H21" s="2">
        <f t="shared" si="0"/>
        <v>1.1643528557844371</v>
      </c>
      <c r="I21" s="2">
        <f t="shared" si="1"/>
        <v>7.1643528557844371</v>
      </c>
      <c r="J21" s="78">
        <f t="shared" si="2"/>
        <v>14600000.000000028</v>
      </c>
      <c r="L21" s="1"/>
    </row>
    <row r="22" spans="1:25" x14ac:dyDescent="0.25">
      <c r="A22">
        <v>1</v>
      </c>
      <c r="B22">
        <v>142.99180000000001</v>
      </c>
      <c r="C22">
        <v>59.999879999999997</v>
      </c>
      <c r="D22">
        <v>2086.8580000000002</v>
      </c>
      <c r="E22">
        <v>124.8627</v>
      </c>
      <c r="G22" s="2">
        <v>21.5</v>
      </c>
      <c r="H22" s="2">
        <f t="shared" si="0"/>
        <v>1.3324384599156054</v>
      </c>
      <c r="I22" s="2">
        <f t="shared" si="1"/>
        <v>7.3324384599156058</v>
      </c>
      <c r="J22" s="78">
        <f t="shared" si="2"/>
        <v>21500000.000000093</v>
      </c>
      <c r="L22" s="1"/>
    </row>
    <row r="23" spans="1:25" x14ac:dyDescent="0.25">
      <c r="A23">
        <v>1</v>
      </c>
      <c r="B23">
        <v>143.679</v>
      </c>
      <c r="C23">
        <v>59.999670000000002</v>
      </c>
      <c r="D23">
        <v>2117.4920000000002</v>
      </c>
      <c r="E23">
        <v>125.6211</v>
      </c>
      <c r="G23" s="2">
        <v>31.6</v>
      </c>
      <c r="H23" s="2">
        <f t="shared" si="0"/>
        <v>1.4996870826184039</v>
      </c>
      <c r="I23" s="2">
        <f t="shared" si="1"/>
        <v>7.4996870826184043</v>
      </c>
      <c r="J23" s="78">
        <f t="shared" si="2"/>
        <v>31600000.000000097</v>
      </c>
      <c r="L23" s="1"/>
    </row>
    <row r="24" spans="1:25" x14ac:dyDescent="0.25">
      <c r="A24">
        <v>1</v>
      </c>
      <c r="B24">
        <v>144.46619999999999</v>
      </c>
      <c r="C24">
        <v>59.999459999999999</v>
      </c>
      <c r="D24">
        <v>2145.627</v>
      </c>
      <c r="E24">
        <v>124.6859</v>
      </c>
      <c r="G24" s="2">
        <v>46.4</v>
      </c>
      <c r="H24" s="2">
        <f t="shared" si="0"/>
        <v>1.6665179805548809</v>
      </c>
      <c r="I24" s="2">
        <f t="shared" si="1"/>
        <v>7.6665179805548807</v>
      </c>
      <c r="J24" s="78">
        <f t="shared" si="2"/>
        <v>46400000.000000134</v>
      </c>
      <c r="L24" s="1"/>
    </row>
    <row r="25" spans="1:25" x14ac:dyDescent="0.25">
      <c r="A25">
        <v>1</v>
      </c>
      <c r="B25">
        <v>144.7867</v>
      </c>
      <c r="C25">
        <v>59.999580000000002</v>
      </c>
      <c r="D25">
        <v>2173.4160000000002</v>
      </c>
      <c r="E25">
        <v>125.4066</v>
      </c>
      <c r="G25" s="2">
        <v>68</v>
      </c>
      <c r="H25" s="2">
        <f t="shared" si="0"/>
        <v>1.8325089127062364</v>
      </c>
      <c r="I25" s="2">
        <f t="shared" si="1"/>
        <v>7.8325089127062366</v>
      </c>
      <c r="J25" s="78">
        <f t="shared" si="2"/>
        <v>68000000.000000164</v>
      </c>
      <c r="L25" s="1"/>
    </row>
    <row r="26" spans="1:25" x14ac:dyDescent="0.25">
      <c r="A26">
        <v>1</v>
      </c>
      <c r="B26">
        <v>144.9736</v>
      </c>
      <c r="C26">
        <v>59.999510000000001</v>
      </c>
      <c r="D26">
        <v>2180.3760000000002</v>
      </c>
      <c r="E26">
        <v>128.73769999999999</v>
      </c>
      <c r="G26" s="2">
        <v>100</v>
      </c>
      <c r="H26" s="2">
        <f t="shared" si="0"/>
        <v>2</v>
      </c>
      <c r="I26" s="2">
        <f t="shared" si="1"/>
        <v>8</v>
      </c>
      <c r="J26" s="78">
        <f t="shared" si="2"/>
        <v>100000000</v>
      </c>
      <c r="L26" s="1"/>
    </row>
    <row r="27" spans="1:25" x14ac:dyDescent="0.25">
      <c r="A27" s="2">
        <f>V33</f>
        <v>-3.9</v>
      </c>
      <c r="B27">
        <v>195.71559999999999</v>
      </c>
      <c r="C27">
        <v>65.000240000000005</v>
      </c>
      <c r="D27">
        <v>691.05809999999997</v>
      </c>
      <c r="E27">
        <v>247.21360000000001</v>
      </c>
      <c r="G27" s="2">
        <v>9.9999990000000007E-3</v>
      </c>
      <c r="H27" s="2">
        <f t="shared" si="0"/>
        <v>-2.0000000434294503</v>
      </c>
      <c r="I27" s="2">
        <f>H27-$A$27</f>
        <v>1.8999999565705497</v>
      </c>
      <c r="J27" s="78">
        <f t="shared" si="2"/>
        <v>79.43281552914587</v>
      </c>
      <c r="L27" s="1"/>
    </row>
    <row r="28" spans="1:25" x14ac:dyDescent="0.25">
      <c r="A28">
        <v>2</v>
      </c>
      <c r="B28">
        <v>208.28129999999999</v>
      </c>
      <c r="C28">
        <v>64.999960000000002</v>
      </c>
      <c r="D28">
        <v>807.14599999999996</v>
      </c>
      <c r="E28">
        <v>243.7028</v>
      </c>
      <c r="G28" s="2">
        <v>0.02</v>
      </c>
      <c r="H28" s="2">
        <f t="shared" si="0"/>
        <v>-1.6989700043360187</v>
      </c>
      <c r="I28" s="2">
        <f t="shared" ref="I28:I50" si="3">H28-$A$27</f>
        <v>2.2010299956639812</v>
      </c>
      <c r="J28" s="78">
        <f t="shared" si="2"/>
        <v>158.86564694485639</v>
      </c>
      <c r="L28" s="1"/>
      <c r="U28" s="56"/>
      <c r="V28" s="56" t="s">
        <v>44</v>
      </c>
      <c r="W28" s="56"/>
      <c r="X28" s="56" t="s">
        <v>12</v>
      </c>
      <c r="Y28" s="56"/>
    </row>
    <row r="29" spans="1:25" x14ac:dyDescent="0.25">
      <c r="A29">
        <v>2</v>
      </c>
      <c r="B29">
        <v>230.01320000000001</v>
      </c>
      <c r="C29">
        <v>65.000219999999999</v>
      </c>
      <c r="D29">
        <v>874.48</v>
      </c>
      <c r="E29">
        <v>236.19890000000001</v>
      </c>
      <c r="G29" s="2">
        <v>0.03</v>
      </c>
      <c r="H29" s="2">
        <f t="shared" si="0"/>
        <v>-1.5228787452803376</v>
      </c>
      <c r="I29" s="2">
        <f t="shared" si="3"/>
        <v>2.3771212547196621</v>
      </c>
      <c r="J29" s="78">
        <f t="shared" si="2"/>
        <v>238.29847041728442</v>
      </c>
      <c r="L29" s="1"/>
      <c r="U29" s="56" t="s">
        <v>10</v>
      </c>
      <c r="V29" s="56" t="s">
        <v>11</v>
      </c>
      <c r="W29" s="56"/>
      <c r="X29" s="56" t="s">
        <v>11</v>
      </c>
      <c r="Y29" s="56" t="s">
        <v>16</v>
      </c>
    </row>
    <row r="30" spans="1:25" x14ac:dyDescent="0.25">
      <c r="A30">
        <v>2</v>
      </c>
      <c r="B30">
        <v>237.40950000000001</v>
      </c>
      <c r="C30">
        <v>64.999629999999996</v>
      </c>
      <c r="D30">
        <v>952.33579999999995</v>
      </c>
      <c r="E30">
        <v>230.1482</v>
      </c>
      <c r="G30" s="2">
        <v>0.05</v>
      </c>
      <c r="H30" s="2">
        <f t="shared" si="0"/>
        <v>-1.3010299956639813</v>
      </c>
      <c r="I30" s="2">
        <f t="shared" si="3"/>
        <v>2.5989700043360187</v>
      </c>
      <c r="J30" s="78">
        <f t="shared" si="2"/>
        <v>397.16411736214098</v>
      </c>
      <c r="L30" s="1"/>
      <c r="U30" s="3">
        <v>50</v>
      </c>
      <c r="V30" s="3"/>
      <c r="X30" s="2">
        <f t="shared" ref="X30:X42" si="4">-_C1*(U30-T0)/(_C2+(U30-T0))</f>
        <v>17.417046733288032</v>
      </c>
    </row>
    <row r="31" spans="1:25" x14ac:dyDescent="0.25">
      <c r="A31">
        <v>2</v>
      </c>
      <c r="B31">
        <v>258.1386</v>
      </c>
      <c r="C31">
        <v>65</v>
      </c>
      <c r="D31">
        <v>1003.414</v>
      </c>
      <c r="E31">
        <v>224.62479999999999</v>
      </c>
      <c r="G31" s="2">
        <v>7.0000000000000007E-2</v>
      </c>
      <c r="H31" s="2">
        <f t="shared" si="0"/>
        <v>-1.1549019599857431</v>
      </c>
      <c r="I31" s="2">
        <f t="shared" si="3"/>
        <v>2.7450980400142568</v>
      </c>
      <c r="J31" s="78">
        <f t="shared" si="2"/>
        <v>556.02976430699744</v>
      </c>
      <c r="L31" s="1"/>
      <c r="U31" s="3">
        <v>55</v>
      </c>
      <c r="V31" s="3"/>
      <c r="X31" s="2">
        <f t="shared" si="4"/>
        <v>10.57733621207386</v>
      </c>
    </row>
    <row r="32" spans="1:25" x14ac:dyDescent="0.25">
      <c r="A32">
        <v>2</v>
      </c>
      <c r="B32">
        <v>263.69869999999997</v>
      </c>
      <c r="C32">
        <v>65.000100000000003</v>
      </c>
      <c r="D32">
        <v>1054.4970000000001</v>
      </c>
      <c r="E32">
        <v>219.5368</v>
      </c>
      <c r="G32" s="2">
        <v>0.1</v>
      </c>
      <c r="H32" s="2">
        <f t="shared" si="0"/>
        <v>-1</v>
      </c>
      <c r="I32" s="2">
        <f t="shared" si="3"/>
        <v>2.9</v>
      </c>
      <c r="J32" s="78">
        <f t="shared" si="2"/>
        <v>794.32823472428208</v>
      </c>
      <c r="L32" s="1"/>
      <c r="U32" s="3">
        <v>60</v>
      </c>
      <c r="V32" s="3">
        <v>-6</v>
      </c>
      <c r="W32" s="5">
        <f>-V32</f>
        <v>6</v>
      </c>
      <c r="X32" s="2">
        <f t="shared" si="4"/>
        <v>6.3930577358885436</v>
      </c>
      <c r="Y32" s="6">
        <f>(1-X32/W32)^2</f>
        <v>4.2915106594952354E-3</v>
      </c>
    </row>
    <row r="33" spans="1:25" x14ac:dyDescent="0.25">
      <c r="A33">
        <v>2</v>
      </c>
      <c r="B33">
        <v>268.42349999999999</v>
      </c>
      <c r="C33">
        <v>64.999889999999994</v>
      </c>
      <c r="D33">
        <v>1110.02</v>
      </c>
      <c r="E33">
        <v>214.2122</v>
      </c>
      <c r="G33" s="2">
        <v>0.15</v>
      </c>
      <c r="H33" s="2">
        <f t="shared" si="0"/>
        <v>-0.82390874094431876</v>
      </c>
      <c r="I33" s="2">
        <f t="shared" si="3"/>
        <v>3.0760912590556813</v>
      </c>
      <c r="J33" s="78">
        <f t="shared" si="2"/>
        <v>1191.4923520864234</v>
      </c>
      <c r="L33" s="1"/>
      <c r="U33" s="3">
        <v>65</v>
      </c>
      <c r="V33" s="3">
        <v>-3.9</v>
      </c>
      <c r="W33" s="5">
        <f t="shared" ref="W33:W40" si="5">-V33</f>
        <v>3.9</v>
      </c>
      <c r="X33" s="2">
        <f t="shared" si="4"/>
        <v>3.5691915133669827</v>
      </c>
      <c r="Y33" s="6">
        <f t="shared" ref="Y33:Y40" si="6">(1-X33/W33)^2</f>
        <v>7.1948885488775172E-3</v>
      </c>
    </row>
    <row r="34" spans="1:25" x14ac:dyDescent="0.25">
      <c r="A34">
        <v>2</v>
      </c>
      <c r="B34">
        <v>279.14839999999998</v>
      </c>
      <c r="C34">
        <v>65.000029999999995</v>
      </c>
      <c r="D34">
        <v>1160.9829999999999</v>
      </c>
      <c r="E34">
        <v>208.65209999999999</v>
      </c>
      <c r="G34" s="2">
        <v>0.22</v>
      </c>
      <c r="H34" s="2">
        <f t="shared" si="0"/>
        <v>-0.65757731917779372</v>
      </c>
      <c r="I34" s="2">
        <f t="shared" si="3"/>
        <v>3.2424226808222061</v>
      </c>
      <c r="J34" s="78">
        <f t="shared" si="2"/>
        <v>1747.5221163934204</v>
      </c>
      <c r="L34" s="1"/>
      <c r="U34" s="3">
        <v>70</v>
      </c>
      <c r="V34" s="3">
        <v>-1.6</v>
      </c>
      <c r="W34" s="5">
        <f t="shared" si="5"/>
        <v>1.6</v>
      </c>
      <c r="X34" s="2">
        <f t="shared" si="4"/>
        <v>1.5350538079102616</v>
      </c>
      <c r="Y34" s="6">
        <f t="shared" si="6"/>
        <v>1.6476593230301635E-3</v>
      </c>
    </row>
    <row r="35" spans="1:25" x14ac:dyDescent="0.25">
      <c r="A35">
        <v>2</v>
      </c>
      <c r="B35">
        <v>290.8732</v>
      </c>
      <c r="C35">
        <v>64.99991</v>
      </c>
      <c r="D35">
        <v>1210.2940000000001</v>
      </c>
      <c r="E35">
        <v>203.24809999999999</v>
      </c>
      <c r="G35" s="2">
        <v>0.32</v>
      </c>
      <c r="H35" s="2">
        <f t="shared" si="0"/>
        <v>-0.49485002168009401</v>
      </c>
      <c r="I35" s="2">
        <f t="shared" si="3"/>
        <v>3.4051499783199057</v>
      </c>
      <c r="J35" s="78">
        <f t="shared" si="2"/>
        <v>2541.8503511177009</v>
      </c>
      <c r="L35" s="1"/>
      <c r="U35" s="3">
        <v>75</v>
      </c>
      <c r="V35" s="3">
        <v>0</v>
      </c>
      <c r="W35" s="5">
        <f t="shared" si="5"/>
        <v>0</v>
      </c>
      <c r="X35" s="2">
        <f t="shared" si="4"/>
        <v>0</v>
      </c>
      <c r="Y35">
        <v>0</v>
      </c>
    </row>
    <row r="36" spans="1:25" x14ac:dyDescent="0.25">
      <c r="A36">
        <v>2</v>
      </c>
      <c r="B36">
        <v>302.5949</v>
      </c>
      <c r="C36">
        <v>64.999939999999995</v>
      </c>
      <c r="D36">
        <v>1256.43</v>
      </c>
      <c r="E36">
        <v>198.69669999999999</v>
      </c>
      <c r="G36" s="2">
        <v>0.46</v>
      </c>
      <c r="H36" s="2">
        <f t="shared" si="0"/>
        <v>-0.33724216831842591</v>
      </c>
      <c r="I36" s="2">
        <f t="shared" si="3"/>
        <v>3.5627578316815738</v>
      </c>
      <c r="J36" s="78">
        <f t="shared" si="2"/>
        <v>3653.9098797316938</v>
      </c>
      <c r="L36" s="1"/>
      <c r="U36" s="3">
        <v>80</v>
      </c>
      <c r="V36" s="3">
        <v>1.2</v>
      </c>
      <c r="W36" s="5">
        <f t="shared" si="5"/>
        <v>-1.2</v>
      </c>
      <c r="X36" s="2">
        <f t="shared" si="4"/>
        <v>-1.1995774043015772</v>
      </c>
      <c r="Y36" s="6">
        <f t="shared" si="6"/>
        <v>1.240188363370562E-7</v>
      </c>
    </row>
    <row r="37" spans="1:25" x14ac:dyDescent="0.25">
      <c r="A37">
        <v>2</v>
      </c>
      <c r="B37">
        <v>314.31599999999997</v>
      </c>
      <c r="C37">
        <v>65.000240000000005</v>
      </c>
      <c r="D37">
        <v>1304.481</v>
      </c>
      <c r="E37">
        <v>193.91489999999999</v>
      </c>
      <c r="G37" s="2">
        <v>0.68</v>
      </c>
      <c r="H37" s="2">
        <f t="shared" si="0"/>
        <v>-0.16749108729376366</v>
      </c>
      <c r="I37" s="2">
        <f t="shared" si="3"/>
        <v>3.7325089127062361</v>
      </c>
      <c r="J37" s="78">
        <f t="shared" si="2"/>
        <v>5401.4319961251185</v>
      </c>
      <c r="L37" s="1"/>
      <c r="U37" s="3">
        <v>85</v>
      </c>
      <c r="V37" s="3">
        <v>2.1</v>
      </c>
      <c r="W37" s="5">
        <f t="shared" si="5"/>
        <v>-2.1</v>
      </c>
      <c r="X37" s="2">
        <f t="shared" si="4"/>
        <v>-2.1628194774826008</v>
      </c>
      <c r="Y37" s="6">
        <f t="shared" si="6"/>
        <v>8.9484960344375956E-4</v>
      </c>
    </row>
    <row r="38" spans="1:25" x14ac:dyDescent="0.25">
      <c r="A38">
        <v>2</v>
      </c>
      <c r="B38">
        <v>316.23570000000001</v>
      </c>
      <c r="C38">
        <v>64.999459999999999</v>
      </c>
      <c r="D38">
        <v>1348.5419999999999</v>
      </c>
      <c r="E38">
        <v>189.76089999999999</v>
      </c>
      <c r="G38" s="2">
        <v>1</v>
      </c>
      <c r="H38" s="2">
        <f t="shared" si="0"/>
        <v>0</v>
      </c>
      <c r="I38" s="2">
        <f t="shared" si="3"/>
        <v>3.9</v>
      </c>
      <c r="J38" s="78">
        <f t="shared" si="2"/>
        <v>7943.2823472428154</v>
      </c>
      <c r="L38" s="1"/>
      <c r="U38" s="3">
        <v>90</v>
      </c>
      <c r="V38" s="3">
        <v>2.9</v>
      </c>
      <c r="W38" s="5">
        <f t="shared" si="5"/>
        <v>-2.9</v>
      </c>
      <c r="X38" s="2">
        <f t="shared" si="4"/>
        <v>-2.9533057274615304</v>
      </c>
      <c r="Y38" s="6">
        <f t="shared" si="6"/>
        <v>3.3787165044030134E-4</v>
      </c>
    </row>
    <row r="39" spans="1:25" x14ac:dyDescent="0.25">
      <c r="A39">
        <v>2</v>
      </c>
      <c r="B39">
        <v>316.72149999999999</v>
      </c>
      <c r="C39">
        <v>64.999459999999999</v>
      </c>
      <c r="D39">
        <v>1395.328</v>
      </c>
      <c r="E39">
        <v>186.58260000000001</v>
      </c>
      <c r="G39" s="2">
        <v>1.5</v>
      </c>
      <c r="H39" s="2">
        <f t="shared" si="0"/>
        <v>0.17609125905568124</v>
      </c>
      <c r="I39" s="2">
        <f t="shared" si="3"/>
        <v>4.0760912590556808</v>
      </c>
      <c r="J39" s="78">
        <f t="shared" si="2"/>
        <v>11914.923520864215</v>
      </c>
      <c r="L39" s="1"/>
      <c r="U39" s="3">
        <v>95</v>
      </c>
      <c r="V39" s="3">
        <v>3.6</v>
      </c>
      <c r="W39" s="5">
        <f t="shared" si="5"/>
        <v>-3.6</v>
      </c>
      <c r="X39" s="2">
        <f t="shared" si="4"/>
        <v>-3.6136866966483829</v>
      </c>
      <c r="Y39" s="6">
        <f t="shared" si="6"/>
        <v>1.4454140829078821E-5</v>
      </c>
    </row>
    <row r="40" spans="1:25" x14ac:dyDescent="0.25">
      <c r="A40">
        <v>2</v>
      </c>
      <c r="B40">
        <v>318.84050000000002</v>
      </c>
      <c r="C40">
        <v>65.000399999999999</v>
      </c>
      <c r="D40">
        <v>1438.5450000000001</v>
      </c>
      <c r="E40">
        <v>183.15180000000001</v>
      </c>
      <c r="G40" s="2">
        <v>2.2000000000000002</v>
      </c>
      <c r="H40" s="2">
        <f t="shared" si="0"/>
        <v>0.34242268082220628</v>
      </c>
      <c r="I40" s="2">
        <f t="shared" si="3"/>
        <v>4.2424226808222061</v>
      </c>
      <c r="J40" s="78">
        <f t="shared" si="2"/>
        <v>17475.221163934209</v>
      </c>
      <c r="L40" s="1"/>
      <c r="U40" s="3">
        <v>100</v>
      </c>
      <c r="V40" s="3">
        <v>4.2</v>
      </c>
      <c r="W40" s="5">
        <f t="shared" si="5"/>
        <v>-4.2</v>
      </c>
      <c r="X40" s="2">
        <f t="shared" si="4"/>
        <v>-4.1736408443401407</v>
      </c>
      <c r="Y40" s="6">
        <f t="shared" si="6"/>
        <v>3.9388043486434583E-5</v>
      </c>
    </row>
    <row r="41" spans="1:25" x14ac:dyDescent="0.25">
      <c r="A41">
        <v>2</v>
      </c>
      <c r="B41">
        <v>321.226</v>
      </c>
      <c r="C41">
        <v>64.999939999999995</v>
      </c>
      <c r="D41">
        <v>1480.018</v>
      </c>
      <c r="E41">
        <v>179.56540000000001</v>
      </c>
      <c r="G41" s="2">
        <v>3.2</v>
      </c>
      <c r="H41" s="2">
        <f t="shared" si="0"/>
        <v>0.50514997831990605</v>
      </c>
      <c r="I41" s="2">
        <f t="shared" si="3"/>
        <v>4.4051499783199057</v>
      </c>
      <c r="J41" s="78">
        <f t="shared" si="2"/>
        <v>25418.503511177038</v>
      </c>
      <c r="L41" s="1"/>
      <c r="U41" s="3">
        <v>105</v>
      </c>
      <c r="X41" s="2">
        <f t="shared" si="4"/>
        <v>-4.6544578403408448</v>
      </c>
    </row>
    <row r="42" spans="1:25" x14ac:dyDescent="0.25">
      <c r="A42">
        <v>2</v>
      </c>
      <c r="B42">
        <v>323.61099999999999</v>
      </c>
      <c r="C42">
        <v>65.000079999999997</v>
      </c>
      <c r="D42">
        <v>1520.3389999999999</v>
      </c>
      <c r="E42">
        <v>177.8973</v>
      </c>
      <c r="G42" s="2">
        <v>4.5999999999999996</v>
      </c>
      <c r="H42" s="2">
        <f t="shared" si="0"/>
        <v>0.66275783168157409</v>
      </c>
      <c r="I42" s="2">
        <f t="shared" si="3"/>
        <v>4.5627578316815738</v>
      </c>
      <c r="J42" s="78">
        <f t="shared" si="2"/>
        <v>36539.098797316976</v>
      </c>
      <c r="L42" s="1"/>
      <c r="U42" s="3">
        <v>110</v>
      </c>
      <c r="X42" s="2">
        <f t="shared" si="4"/>
        <v>-5.0718068708178405</v>
      </c>
    </row>
    <row r="43" spans="1:25" x14ac:dyDescent="0.25">
      <c r="A43">
        <v>2</v>
      </c>
      <c r="B43">
        <v>325.99560000000002</v>
      </c>
      <c r="C43">
        <v>64.999780000000001</v>
      </c>
      <c r="D43">
        <v>1562.296</v>
      </c>
      <c r="E43">
        <v>175.7621</v>
      </c>
      <c r="G43" s="2">
        <v>6.8</v>
      </c>
      <c r="H43" s="2">
        <f t="shared" si="0"/>
        <v>0.83250891270623628</v>
      </c>
      <c r="I43" s="2">
        <f t="shared" si="3"/>
        <v>4.7325089127062361</v>
      </c>
      <c r="J43" s="78">
        <f t="shared" si="2"/>
        <v>54014.319961251145</v>
      </c>
      <c r="L43" s="1"/>
      <c r="U43" s="3"/>
      <c r="X43" s="4" t="s">
        <v>212</v>
      </c>
      <c r="Y43" s="6">
        <f>SUM(Y32:Y40)</f>
        <v>1.4420745988438826E-2</v>
      </c>
    </row>
    <row r="44" spans="1:25" x14ac:dyDescent="0.25">
      <c r="A44">
        <v>2</v>
      </c>
      <c r="B44">
        <v>326.57819999999998</v>
      </c>
      <c r="C44">
        <v>65.000200000000007</v>
      </c>
      <c r="D44">
        <v>1603.7</v>
      </c>
      <c r="E44">
        <v>174.24879999999999</v>
      </c>
      <c r="G44" s="2">
        <v>10</v>
      </c>
      <c r="H44" s="2">
        <f t="shared" si="0"/>
        <v>1</v>
      </c>
      <c r="I44" s="2">
        <f t="shared" si="3"/>
        <v>4.9000000000000004</v>
      </c>
      <c r="J44" s="78">
        <f t="shared" si="2"/>
        <v>79432.823472428237</v>
      </c>
      <c r="U44" s="3"/>
      <c r="X44" s="2"/>
    </row>
    <row r="45" spans="1:25" x14ac:dyDescent="0.25">
      <c r="A45">
        <v>2</v>
      </c>
      <c r="B45">
        <v>327.65980000000002</v>
      </c>
      <c r="C45">
        <v>65.000439999999998</v>
      </c>
      <c r="D45">
        <v>1643.249</v>
      </c>
      <c r="E45">
        <v>172.90360000000001</v>
      </c>
      <c r="G45" s="2">
        <v>14.6</v>
      </c>
      <c r="H45" s="2">
        <f t="shared" si="0"/>
        <v>1.1643528557844371</v>
      </c>
      <c r="I45" s="2">
        <f t="shared" si="3"/>
        <v>5.0643528557844366</v>
      </c>
      <c r="J45" s="78">
        <f t="shared" si="2"/>
        <v>115971.92226974518</v>
      </c>
      <c r="L45" s="1"/>
      <c r="V45" s="4" t="s">
        <v>13</v>
      </c>
      <c r="W45" s="2">
        <v>10.977915838779282</v>
      </c>
    </row>
    <row r="46" spans="1:25" x14ac:dyDescent="0.25">
      <c r="A46">
        <v>2</v>
      </c>
      <c r="B46">
        <v>328.27480000000003</v>
      </c>
      <c r="C46">
        <v>65.000219999999999</v>
      </c>
      <c r="D46">
        <v>1684.2809999999999</v>
      </c>
      <c r="E46">
        <v>172.41560000000001</v>
      </c>
      <c r="G46" s="2">
        <v>21.5</v>
      </c>
      <c r="H46" s="2">
        <f t="shared" si="0"/>
        <v>1.3324384599156054</v>
      </c>
      <c r="I46" s="2">
        <f t="shared" si="3"/>
        <v>5.2324384599156053</v>
      </c>
      <c r="J46" s="78">
        <f t="shared" si="2"/>
        <v>170780.57046572072</v>
      </c>
      <c r="L46" s="1"/>
      <c r="V46" s="4" t="s">
        <v>14</v>
      </c>
      <c r="W46" s="2">
        <v>40.75743007251328</v>
      </c>
    </row>
    <row r="47" spans="1:25" x14ac:dyDescent="0.25">
      <c r="A47">
        <v>2</v>
      </c>
      <c r="B47">
        <v>329.3895</v>
      </c>
      <c r="C47">
        <v>65.000510000000006</v>
      </c>
      <c r="D47">
        <v>1724.9110000000001</v>
      </c>
      <c r="E47">
        <v>171.94540000000001</v>
      </c>
      <c r="G47" s="2">
        <v>31.6</v>
      </c>
      <c r="H47" s="2">
        <f t="shared" si="0"/>
        <v>1.4996870826184039</v>
      </c>
      <c r="I47" s="2">
        <f t="shared" si="3"/>
        <v>5.3996870826184038</v>
      </c>
      <c r="J47" s="78">
        <f t="shared" si="2"/>
        <v>251007.72217287341</v>
      </c>
      <c r="L47" s="1"/>
      <c r="V47" s="4" t="s">
        <v>15</v>
      </c>
      <c r="W47">
        <v>75</v>
      </c>
    </row>
    <row r="48" spans="1:25" x14ac:dyDescent="0.25">
      <c r="A48">
        <v>2</v>
      </c>
      <c r="B48">
        <v>330.60410000000002</v>
      </c>
      <c r="C48">
        <v>65.000039999999998</v>
      </c>
      <c r="D48">
        <v>1761.61</v>
      </c>
      <c r="E48">
        <v>170.9248</v>
      </c>
      <c r="G48" s="2">
        <v>46.4</v>
      </c>
      <c r="H48" s="2">
        <f t="shared" si="0"/>
        <v>1.6665179805548809</v>
      </c>
      <c r="I48" s="2">
        <f t="shared" si="3"/>
        <v>5.566517980554881</v>
      </c>
      <c r="J48" s="78">
        <f t="shared" si="2"/>
        <v>368568.30091206724</v>
      </c>
      <c r="L48" s="1"/>
    </row>
    <row r="49" spans="1:12" x14ac:dyDescent="0.25">
      <c r="A49">
        <v>2</v>
      </c>
      <c r="B49">
        <v>331.01870000000002</v>
      </c>
      <c r="C49">
        <v>65.000360000000001</v>
      </c>
      <c r="D49">
        <v>1801.5840000000001</v>
      </c>
      <c r="E49">
        <v>169.36510000000001</v>
      </c>
      <c r="G49" s="2">
        <v>68</v>
      </c>
      <c r="H49" s="2">
        <f t="shared" si="0"/>
        <v>1.8325089127062364</v>
      </c>
      <c r="I49" s="2">
        <f t="shared" si="3"/>
        <v>5.7325089127062361</v>
      </c>
      <c r="J49" s="78">
        <f t="shared" si="2"/>
        <v>540143.19961251202</v>
      </c>
      <c r="L49" s="1"/>
    </row>
    <row r="50" spans="1:12" x14ac:dyDescent="0.25">
      <c r="A50">
        <v>2</v>
      </c>
      <c r="B50">
        <v>331.3005</v>
      </c>
      <c r="C50">
        <v>64.999759999999995</v>
      </c>
      <c r="D50">
        <v>1822.0229999999999</v>
      </c>
      <c r="E50">
        <v>171.3306</v>
      </c>
      <c r="G50" s="2">
        <v>100</v>
      </c>
      <c r="H50" s="2">
        <f t="shared" si="0"/>
        <v>2</v>
      </c>
      <c r="I50" s="2">
        <f t="shared" si="3"/>
        <v>5.9</v>
      </c>
      <c r="J50" s="78">
        <f t="shared" si="2"/>
        <v>794328.23472428333</v>
      </c>
      <c r="L50" s="1"/>
    </row>
    <row r="51" spans="1:12" x14ac:dyDescent="0.25">
      <c r="A51" s="2">
        <f>V34</f>
        <v>-1.6</v>
      </c>
      <c r="B51">
        <v>7.9569999999999999</v>
      </c>
      <c r="C51">
        <v>69.984780000000001</v>
      </c>
      <c r="D51">
        <v>493.78960000000001</v>
      </c>
      <c r="E51">
        <v>200.56100000000001</v>
      </c>
      <c r="G51" s="2">
        <v>0.1</v>
      </c>
      <c r="H51" s="2">
        <f t="shared" si="0"/>
        <v>-1</v>
      </c>
      <c r="I51" s="2">
        <f>H51-$A$51</f>
        <v>0.60000000000000009</v>
      </c>
      <c r="J51" s="78">
        <f t="shared" si="2"/>
        <v>3.9810717055349736</v>
      </c>
      <c r="L51" s="1"/>
    </row>
    <row r="52" spans="1:12" x14ac:dyDescent="0.25">
      <c r="A52">
        <v>3</v>
      </c>
      <c r="B52">
        <v>12.04025</v>
      </c>
      <c r="C52">
        <v>69.996499999999997</v>
      </c>
      <c r="D52">
        <v>473.6807</v>
      </c>
      <c r="E52">
        <v>194.85659999999999</v>
      </c>
      <c r="G52" s="2">
        <v>0.15</v>
      </c>
      <c r="H52" s="2">
        <f t="shared" si="0"/>
        <v>-0.82390874094431876</v>
      </c>
      <c r="I52" s="2">
        <f t="shared" ref="I52:I69" si="7">H52-$A$51</f>
        <v>0.77609125905568133</v>
      </c>
      <c r="J52" s="78">
        <f t="shared" si="2"/>
        <v>5.9716075583024599</v>
      </c>
      <c r="L52" s="1"/>
    </row>
    <row r="53" spans="1:12" x14ac:dyDescent="0.25">
      <c r="A53">
        <v>3</v>
      </c>
      <c r="B53">
        <v>20.25638</v>
      </c>
      <c r="C53">
        <v>69.997380000000007</v>
      </c>
      <c r="D53">
        <v>489.50259999999997</v>
      </c>
      <c r="E53">
        <v>195.88669999999999</v>
      </c>
      <c r="G53" s="2">
        <v>0.22</v>
      </c>
      <c r="H53" s="2">
        <f t="shared" si="0"/>
        <v>-0.65757731917779372</v>
      </c>
      <c r="I53" s="2">
        <f t="shared" si="7"/>
        <v>0.94242268082220637</v>
      </c>
      <c r="J53" s="78">
        <f t="shared" si="2"/>
        <v>8.7583577521769431</v>
      </c>
      <c r="L53" s="1"/>
    </row>
    <row r="54" spans="1:12" x14ac:dyDescent="0.25">
      <c r="A54">
        <v>3</v>
      </c>
      <c r="B54">
        <v>28.630710000000001</v>
      </c>
      <c r="C54">
        <v>70.000950000000003</v>
      </c>
      <c r="D54">
        <v>534.02890000000002</v>
      </c>
      <c r="E54">
        <v>198.8818</v>
      </c>
      <c r="G54" s="2">
        <v>0.32</v>
      </c>
      <c r="H54" s="2">
        <f t="shared" si="0"/>
        <v>-0.49485002168009401</v>
      </c>
      <c r="I54" s="2">
        <f t="shared" si="7"/>
        <v>1.1051499783199061</v>
      </c>
      <c r="J54" s="78">
        <f t="shared" si="2"/>
        <v>12.739429457711921</v>
      </c>
      <c r="L54" s="1"/>
    </row>
    <row r="55" spans="1:12" x14ac:dyDescent="0.25">
      <c r="A55">
        <v>3</v>
      </c>
      <c r="B55">
        <v>37.005040000000001</v>
      </c>
      <c r="C55">
        <v>70.000919999999994</v>
      </c>
      <c r="D55">
        <v>577.97180000000003</v>
      </c>
      <c r="E55">
        <v>201.3202</v>
      </c>
      <c r="G55" s="2">
        <v>0.46</v>
      </c>
      <c r="H55" s="2">
        <f t="shared" si="0"/>
        <v>-0.33724216831842591</v>
      </c>
      <c r="I55" s="2">
        <f t="shared" si="7"/>
        <v>1.2627578316815742</v>
      </c>
      <c r="J55" s="78">
        <f t="shared" si="2"/>
        <v>18.312929845460879</v>
      </c>
      <c r="L55" s="1"/>
    </row>
    <row r="56" spans="1:12" x14ac:dyDescent="0.25">
      <c r="A56">
        <v>3</v>
      </c>
      <c r="B56">
        <v>45.379379999999998</v>
      </c>
      <c r="C56">
        <v>70.000690000000006</v>
      </c>
      <c r="D56">
        <v>625.17610000000002</v>
      </c>
      <c r="E56">
        <v>203.14150000000001</v>
      </c>
      <c r="G56" s="2">
        <v>0.68</v>
      </c>
      <c r="H56" s="2">
        <f t="shared" si="0"/>
        <v>-0.16749108729376366</v>
      </c>
      <c r="I56" s="2">
        <f t="shared" si="7"/>
        <v>1.4325089127062365</v>
      </c>
      <c r="J56" s="78">
        <f t="shared" si="2"/>
        <v>27.071287597637827</v>
      </c>
      <c r="L56" s="1"/>
    </row>
    <row r="57" spans="1:12" x14ac:dyDescent="0.25">
      <c r="A57">
        <v>3</v>
      </c>
      <c r="B57">
        <v>47.218339999999998</v>
      </c>
      <c r="C57">
        <v>70.000559999999993</v>
      </c>
      <c r="D57">
        <v>673.65089999999998</v>
      </c>
      <c r="E57">
        <v>204.6474</v>
      </c>
      <c r="G57" s="2">
        <v>1</v>
      </c>
      <c r="H57" s="2">
        <f t="shared" si="0"/>
        <v>0</v>
      </c>
      <c r="I57" s="2">
        <f t="shared" si="7"/>
        <v>1.6</v>
      </c>
      <c r="J57" s="78">
        <f t="shared" si="2"/>
        <v>39.810717055349755</v>
      </c>
      <c r="L57" s="1"/>
    </row>
    <row r="58" spans="1:12" x14ac:dyDescent="0.25">
      <c r="A58">
        <v>3</v>
      </c>
      <c r="B58">
        <v>47.557169999999999</v>
      </c>
      <c r="C58">
        <v>70.000399999999999</v>
      </c>
      <c r="D58">
        <v>723.61030000000005</v>
      </c>
      <c r="E58">
        <v>205.49760000000001</v>
      </c>
      <c r="G58" s="2">
        <v>1.5</v>
      </c>
      <c r="H58" s="2">
        <f t="shared" si="0"/>
        <v>0.17609125905568124</v>
      </c>
      <c r="I58" s="2">
        <f t="shared" si="7"/>
        <v>1.7760912590556814</v>
      </c>
      <c r="J58" s="78">
        <f t="shared" si="2"/>
        <v>59.71607558302464</v>
      </c>
      <c r="L58" s="1"/>
    </row>
    <row r="59" spans="1:12" x14ac:dyDescent="0.25">
      <c r="A59">
        <v>3</v>
      </c>
      <c r="B59">
        <v>48.996499999999997</v>
      </c>
      <c r="C59">
        <v>70.000410000000002</v>
      </c>
      <c r="D59">
        <v>768.02189999999996</v>
      </c>
      <c r="E59">
        <v>205.53380000000001</v>
      </c>
      <c r="G59" s="2">
        <v>2.2000000000000002</v>
      </c>
      <c r="H59" s="2">
        <f t="shared" si="0"/>
        <v>0.34242268082220628</v>
      </c>
      <c r="I59" s="2">
        <f t="shared" si="7"/>
        <v>1.9424226808222063</v>
      </c>
      <c r="J59" s="78">
        <f t="shared" si="2"/>
        <v>87.583577521769456</v>
      </c>
      <c r="L59" s="1"/>
    </row>
    <row r="60" spans="1:12" x14ac:dyDescent="0.25">
      <c r="A60">
        <v>3</v>
      </c>
      <c r="B60">
        <v>50.702500000000001</v>
      </c>
      <c r="C60">
        <v>70.001149999999996</v>
      </c>
      <c r="D60">
        <v>811.76710000000003</v>
      </c>
      <c r="E60">
        <v>205.13499999999999</v>
      </c>
      <c r="G60" s="2">
        <v>3.2</v>
      </c>
      <c r="H60" s="2">
        <f t="shared" si="0"/>
        <v>0.50514997831990605</v>
      </c>
      <c r="I60" s="2">
        <f t="shared" si="7"/>
        <v>2.1051499783199059</v>
      </c>
      <c r="J60" s="78">
        <f t="shared" si="2"/>
        <v>127.39429457711913</v>
      </c>
      <c r="L60" s="1"/>
    </row>
    <row r="61" spans="1:12" x14ac:dyDescent="0.25">
      <c r="A61">
        <v>3</v>
      </c>
      <c r="B61">
        <v>52.239840000000001</v>
      </c>
      <c r="C61">
        <v>70.000630000000001</v>
      </c>
      <c r="D61">
        <v>854.01580000000001</v>
      </c>
      <c r="E61">
        <v>204.43870000000001</v>
      </c>
      <c r="G61" s="2">
        <v>4.5999999999999996</v>
      </c>
      <c r="H61" s="2">
        <f t="shared" si="0"/>
        <v>0.66275783168157409</v>
      </c>
      <c r="I61" s="2">
        <f t="shared" si="7"/>
        <v>2.262757831681574</v>
      </c>
      <c r="J61" s="78">
        <f t="shared" si="2"/>
        <v>183.12929845460883</v>
      </c>
      <c r="L61" s="1"/>
    </row>
    <row r="62" spans="1:12" x14ac:dyDescent="0.25">
      <c r="A62">
        <v>3</v>
      </c>
      <c r="B62">
        <v>53.777169999999998</v>
      </c>
      <c r="C62">
        <v>70.000259999999997</v>
      </c>
      <c r="D62">
        <v>898.55489999999998</v>
      </c>
      <c r="E62">
        <v>203.3218</v>
      </c>
      <c r="G62" s="2">
        <v>6.8</v>
      </c>
      <c r="H62" s="2">
        <f t="shared" si="0"/>
        <v>0.83250891270623628</v>
      </c>
      <c r="I62" s="2">
        <f t="shared" si="7"/>
        <v>2.4325089127062363</v>
      </c>
      <c r="J62" s="78">
        <f t="shared" si="2"/>
        <v>270.71287597637831</v>
      </c>
      <c r="L62" s="1"/>
    </row>
    <row r="63" spans="1:12" x14ac:dyDescent="0.25">
      <c r="A63">
        <v>3</v>
      </c>
      <c r="B63">
        <v>54.264330000000001</v>
      </c>
      <c r="C63">
        <v>70.000380000000007</v>
      </c>
      <c r="D63">
        <v>944.40710000000001</v>
      </c>
      <c r="E63">
        <v>202.2379</v>
      </c>
      <c r="G63" s="2">
        <v>10</v>
      </c>
      <c r="H63" s="2">
        <f t="shared" si="0"/>
        <v>1</v>
      </c>
      <c r="I63" s="2">
        <f t="shared" si="7"/>
        <v>2.6</v>
      </c>
      <c r="J63" s="78">
        <f t="shared" si="2"/>
        <v>398.10717055349761</v>
      </c>
      <c r="L63" s="1"/>
    </row>
    <row r="64" spans="1:12" x14ac:dyDescent="0.25">
      <c r="A64">
        <v>3</v>
      </c>
      <c r="B64">
        <v>54.917999999999999</v>
      </c>
      <c r="C64">
        <v>70.000380000000007</v>
      </c>
      <c r="D64">
        <v>985.64469999999994</v>
      </c>
      <c r="E64">
        <v>201.18299999999999</v>
      </c>
      <c r="G64" s="2">
        <v>14.6</v>
      </c>
      <c r="H64" s="2">
        <f t="shared" si="0"/>
        <v>1.1643528557844371</v>
      </c>
      <c r="I64" s="2">
        <f t="shared" si="7"/>
        <v>2.7643528557844372</v>
      </c>
      <c r="J64" s="78">
        <f t="shared" si="2"/>
        <v>581.23646900810672</v>
      </c>
      <c r="L64" s="1"/>
    </row>
    <row r="65" spans="1:12" x14ac:dyDescent="0.25">
      <c r="A65">
        <v>3</v>
      </c>
      <c r="B65">
        <v>55.355179999999997</v>
      </c>
      <c r="C65">
        <v>70.000380000000007</v>
      </c>
      <c r="D65">
        <v>1029.2239999999999</v>
      </c>
      <c r="E65">
        <v>200.12530000000001</v>
      </c>
      <c r="G65" s="2">
        <v>21.5</v>
      </c>
      <c r="H65" s="2">
        <f t="shared" si="0"/>
        <v>1.3324384599156054</v>
      </c>
      <c r="I65" s="2">
        <f t="shared" si="7"/>
        <v>2.9324384599156055</v>
      </c>
      <c r="J65" s="78">
        <f t="shared" si="2"/>
        <v>855.93041669001991</v>
      </c>
      <c r="L65" s="1"/>
    </row>
    <row r="66" spans="1:12" x14ac:dyDescent="0.25">
      <c r="A66">
        <v>3</v>
      </c>
      <c r="B66">
        <v>56.042340000000003</v>
      </c>
      <c r="C66">
        <v>70.00018</v>
      </c>
      <c r="D66">
        <v>1069.7850000000001</v>
      </c>
      <c r="E66">
        <v>199.3049</v>
      </c>
      <c r="G66" s="2">
        <v>31.6</v>
      </c>
      <c r="H66" s="2">
        <f t="shared" si="0"/>
        <v>1.4996870826184039</v>
      </c>
      <c r="I66" s="2">
        <f t="shared" si="7"/>
        <v>3.099687082618404</v>
      </c>
      <c r="J66" s="78">
        <f t="shared" si="2"/>
        <v>1258.0186589490522</v>
      </c>
      <c r="L66" s="1"/>
    </row>
    <row r="67" spans="1:12" x14ac:dyDescent="0.25">
      <c r="A67">
        <v>3</v>
      </c>
      <c r="B67">
        <v>56.829500000000003</v>
      </c>
      <c r="C67">
        <v>70.000739999999993</v>
      </c>
      <c r="D67">
        <v>1106.345</v>
      </c>
      <c r="E67">
        <v>197.4299</v>
      </c>
      <c r="G67" s="2">
        <v>46.4</v>
      </c>
      <c r="H67" s="2">
        <f t="shared" si="0"/>
        <v>1.6665179805548809</v>
      </c>
      <c r="I67" s="2">
        <f t="shared" si="7"/>
        <v>3.2665179805548812</v>
      </c>
      <c r="J67" s="78">
        <f t="shared" si="2"/>
        <v>1847.2172713682298</v>
      </c>
      <c r="L67" s="1"/>
    </row>
    <row r="68" spans="1:12" x14ac:dyDescent="0.25">
      <c r="A68">
        <v>3</v>
      </c>
      <c r="B68">
        <v>57.168500000000002</v>
      </c>
      <c r="C68">
        <v>70.001469999999998</v>
      </c>
      <c r="D68">
        <v>1149.43</v>
      </c>
      <c r="E68">
        <v>195.29759999999999</v>
      </c>
      <c r="G68" s="2">
        <v>68</v>
      </c>
      <c r="H68" s="2">
        <f t="shared" ref="H68:H131" si="8">LOG10(G68)</f>
        <v>1.8325089127062364</v>
      </c>
      <c r="I68" s="2">
        <f t="shared" si="7"/>
        <v>3.4325089127062363</v>
      </c>
      <c r="J68" s="78">
        <f t="shared" ref="J68:J131" si="9">10^(I68)</f>
        <v>2707.1287597637838</v>
      </c>
      <c r="L68" s="1"/>
    </row>
    <row r="69" spans="1:12" x14ac:dyDescent="0.25">
      <c r="A69">
        <v>3</v>
      </c>
      <c r="B69">
        <v>57.375500000000002</v>
      </c>
      <c r="C69">
        <v>70.000900000000001</v>
      </c>
      <c r="D69">
        <v>1178.6010000000001</v>
      </c>
      <c r="E69">
        <v>195.6062</v>
      </c>
      <c r="G69" s="2">
        <v>100</v>
      </c>
      <c r="H69" s="2">
        <f t="shared" si="8"/>
        <v>2</v>
      </c>
      <c r="I69" s="2">
        <f t="shared" si="7"/>
        <v>3.6</v>
      </c>
      <c r="J69" s="78">
        <f t="shared" si="9"/>
        <v>3981.0717055349769</v>
      </c>
      <c r="L69" s="1"/>
    </row>
    <row r="70" spans="1:12" x14ac:dyDescent="0.25">
      <c r="A70" s="2">
        <f>V35</f>
        <v>0</v>
      </c>
      <c r="B70">
        <v>69.103840000000005</v>
      </c>
      <c r="C70">
        <v>74.999750000000006</v>
      </c>
      <c r="D70">
        <v>93.074820000000003</v>
      </c>
      <c r="E70">
        <v>77.794880000000006</v>
      </c>
      <c r="G70" s="2">
        <v>0.1</v>
      </c>
      <c r="H70" s="2">
        <f t="shared" si="8"/>
        <v>-1</v>
      </c>
      <c r="I70" s="2">
        <f>H70-$A$70</f>
        <v>-1</v>
      </c>
      <c r="J70" s="78">
        <f t="shared" si="9"/>
        <v>0.1</v>
      </c>
      <c r="L70" s="1"/>
    </row>
    <row r="71" spans="1:12" x14ac:dyDescent="0.25">
      <c r="A71">
        <v>4</v>
      </c>
      <c r="B71">
        <v>72.144750000000002</v>
      </c>
      <c r="C71">
        <v>74.999030000000005</v>
      </c>
      <c r="D71">
        <v>109.4228</v>
      </c>
      <c r="E71">
        <v>88.576490000000007</v>
      </c>
      <c r="G71" s="2">
        <v>0.15</v>
      </c>
      <c r="H71" s="2">
        <f t="shared" si="8"/>
        <v>-0.82390874094431876</v>
      </c>
      <c r="I71" s="2">
        <f t="shared" ref="I71:I88" si="10">H71-$A$70</f>
        <v>-0.82390874094431876</v>
      </c>
      <c r="J71" s="78">
        <f t="shared" si="9"/>
        <v>0.14999999999999997</v>
      </c>
      <c r="L71" s="1"/>
    </row>
    <row r="72" spans="1:12" x14ac:dyDescent="0.25">
      <c r="A72">
        <v>4</v>
      </c>
      <c r="B72">
        <v>80.388379999999998</v>
      </c>
      <c r="C72">
        <v>74.999700000000004</v>
      </c>
      <c r="D72">
        <v>128.88489999999999</v>
      </c>
      <c r="E72">
        <v>99.651840000000007</v>
      </c>
      <c r="G72" s="2">
        <v>0.22</v>
      </c>
      <c r="H72" s="2">
        <f t="shared" si="8"/>
        <v>-0.65757731917779372</v>
      </c>
      <c r="I72" s="2">
        <f t="shared" si="10"/>
        <v>-0.65757731917779372</v>
      </c>
      <c r="J72" s="78">
        <f t="shared" si="9"/>
        <v>0.21999999999999997</v>
      </c>
      <c r="L72" s="1"/>
    </row>
    <row r="73" spans="1:12" x14ac:dyDescent="0.25">
      <c r="A73">
        <v>4</v>
      </c>
      <c r="B73">
        <v>90.470200000000006</v>
      </c>
      <c r="C73">
        <v>75.000299999999996</v>
      </c>
      <c r="D73">
        <v>154.1653</v>
      </c>
      <c r="E73">
        <v>112.31480000000001</v>
      </c>
      <c r="G73" s="2">
        <v>0.32</v>
      </c>
      <c r="H73" s="2">
        <f t="shared" si="8"/>
        <v>-0.49485002168009401</v>
      </c>
      <c r="I73" s="2">
        <f t="shared" si="10"/>
        <v>-0.49485002168009401</v>
      </c>
      <c r="J73" s="78">
        <f t="shared" si="9"/>
        <v>0.32</v>
      </c>
      <c r="L73" s="1"/>
    </row>
    <row r="74" spans="1:12" x14ac:dyDescent="0.25">
      <c r="A74">
        <v>4</v>
      </c>
      <c r="B74">
        <v>100.5472</v>
      </c>
      <c r="C74">
        <v>74.99991</v>
      </c>
      <c r="D74">
        <v>182.3681</v>
      </c>
      <c r="E74">
        <v>124.90009999999999</v>
      </c>
      <c r="G74" s="2">
        <v>0.46</v>
      </c>
      <c r="H74" s="2">
        <f t="shared" si="8"/>
        <v>-0.33724216831842591</v>
      </c>
      <c r="I74" s="2">
        <f t="shared" si="10"/>
        <v>-0.33724216831842591</v>
      </c>
      <c r="J74" s="78">
        <f t="shared" si="9"/>
        <v>0.46</v>
      </c>
      <c r="L74" s="1"/>
    </row>
    <row r="75" spans="1:12" x14ac:dyDescent="0.25">
      <c r="A75">
        <v>4</v>
      </c>
      <c r="B75">
        <v>109.7867</v>
      </c>
      <c r="C75">
        <v>75.00009</v>
      </c>
      <c r="D75">
        <v>215.51169999999999</v>
      </c>
      <c r="E75">
        <v>137.9513</v>
      </c>
      <c r="G75" s="2">
        <v>0.68</v>
      </c>
      <c r="H75" s="2">
        <f t="shared" si="8"/>
        <v>-0.16749108729376366</v>
      </c>
      <c r="I75" s="2">
        <f t="shared" si="10"/>
        <v>-0.16749108729376366</v>
      </c>
      <c r="J75" s="78">
        <f t="shared" si="9"/>
        <v>0.67999999999999994</v>
      </c>
      <c r="L75" s="1"/>
    </row>
    <row r="76" spans="1:12" x14ac:dyDescent="0.25">
      <c r="A76">
        <v>4</v>
      </c>
      <c r="B76">
        <v>111.6658</v>
      </c>
      <c r="C76">
        <v>75.000489999999999</v>
      </c>
      <c r="D76">
        <v>249.88120000000001</v>
      </c>
      <c r="E76">
        <v>149.97290000000001</v>
      </c>
      <c r="G76" s="2">
        <v>1</v>
      </c>
      <c r="H76" s="2">
        <f t="shared" si="8"/>
        <v>0</v>
      </c>
      <c r="I76" s="2">
        <f t="shared" si="10"/>
        <v>0</v>
      </c>
      <c r="J76" s="78">
        <f t="shared" si="9"/>
        <v>1</v>
      </c>
      <c r="L76" s="1"/>
    </row>
    <row r="77" spans="1:12" x14ac:dyDescent="0.25">
      <c r="A77">
        <v>4</v>
      </c>
      <c r="B77">
        <v>112.057</v>
      </c>
      <c r="C77">
        <v>74.999899999999997</v>
      </c>
      <c r="D77">
        <v>288.8802</v>
      </c>
      <c r="E77">
        <v>162.28559999999999</v>
      </c>
      <c r="G77" s="2">
        <v>1.5</v>
      </c>
      <c r="H77" s="2">
        <f t="shared" si="8"/>
        <v>0.17609125905568124</v>
      </c>
      <c r="I77" s="2">
        <f t="shared" si="10"/>
        <v>0.17609125905568124</v>
      </c>
      <c r="J77" s="78">
        <f t="shared" si="9"/>
        <v>1.5</v>
      </c>
    </row>
    <row r="78" spans="1:12" x14ac:dyDescent="0.25">
      <c r="A78">
        <v>4</v>
      </c>
      <c r="B78">
        <v>113.511</v>
      </c>
      <c r="C78">
        <v>75</v>
      </c>
      <c r="D78">
        <v>328.45100000000002</v>
      </c>
      <c r="E78">
        <v>172.8466</v>
      </c>
      <c r="G78" s="2">
        <v>2.2000000000000002</v>
      </c>
      <c r="H78" s="2">
        <f t="shared" si="8"/>
        <v>0.34242268082220628</v>
      </c>
      <c r="I78" s="2">
        <f t="shared" si="10"/>
        <v>0.34242268082220628</v>
      </c>
      <c r="J78" s="78">
        <f t="shared" si="9"/>
        <v>2.2000000000000006</v>
      </c>
      <c r="L78" s="1"/>
    </row>
    <row r="79" spans="1:12" x14ac:dyDescent="0.25">
      <c r="A79">
        <v>4</v>
      </c>
      <c r="B79">
        <v>115.22929999999999</v>
      </c>
      <c r="C79">
        <v>75.000410000000002</v>
      </c>
      <c r="D79">
        <v>369.19830000000002</v>
      </c>
      <c r="E79">
        <v>182.34350000000001</v>
      </c>
      <c r="G79" s="2">
        <v>3.2</v>
      </c>
      <c r="H79" s="2">
        <f t="shared" si="8"/>
        <v>0.50514997831990605</v>
      </c>
      <c r="I79" s="2">
        <f t="shared" si="10"/>
        <v>0.50514997831990605</v>
      </c>
      <c r="J79" s="78">
        <f t="shared" si="9"/>
        <v>3.2000000000000006</v>
      </c>
      <c r="L79" s="1"/>
    </row>
    <row r="80" spans="1:12" x14ac:dyDescent="0.25">
      <c r="A80">
        <v>4</v>
      </c>
      <c r="B80">
        <v>116.9462</v>
      </c>
      <c r="C80">
        <v>74.999750000000006</v>
      </c>
      <c r="D80">
        <v>410.37830000000002</v>
      </c>
      <c r="E80">
        <v>190.55709999999999</v>
      </c>
      <c r="G80" s="2">
        <v>4.5999999999999996</v>
      </c>
      <c r="H80" s="2">
        <f t="shared" si="8"/>
        <v>0.66275783168157409</v>
      </c>
      <c r="I80" s="2">
        <f t="shared" si="10"/>
        <v>0.66275783168157409</v>
      </c>
      <c r="J80" s="78">
        <f t="shared" si="9"/>
        <v>4.6000000000000014</v>
      </c>
      <c r="L80" s="1"/>
    </row>
    <row r="81" spans="1:12" x14ac:dyDescent="0.25">
      <c r="A81">
        <v>4</v>
      </c>
      <c r="B81">
        <v>118.6615</v>
      </c>
      <c r="C81">
        <v>75.00009</v>
      </c>
      <c r="D81">
        <v>456.12299999999999</v>
      </c>
      <c r="E81">
        <v>198.3502</v>
      </c>
      <c r="G81" s="2">
        <v>6.8</v>
      </c>
      <c r="H81" s="2">
        <f t="shared" si="8"/>
        <v>0.83250891270623628</v>
      </c>
      <c r="I81" s="2">
        <f t="shared" si="10"/>
        <v>0.83250891270623628</v>
      </c>
      <c r="J81" s="78">
        <f t="shared" si="9"/>
        <v>6.8000000000000007</v>
      </c>
      <c r="L81" s="1"/>
    </row>
    <row r="82" spans="1:12" x14ac:dyDescent="0.25">
      <c r="A82">
        <v>4</v>
      </c>
      <c r="B82">
        <v>119.17449999999999</v>
      </c>
      <c r="C82">
        <v>75.000140000000002</v>
      </c>
      <c r="D82">
        <v>502.37459999999999</v>
      </c>
      <c r="E82">
        <v>205.17660000000001</v>
      </c>
      <c r="G82" s="2">
        <v>10</v>
      </c>
      <c r="H82" s="2">
        <f t="shared" si="8"/>
        <v>1</v>
      </c>
      <c r="I82" s="2">
        <f t="shared" si="10"/>
        <v>1</v>
      </c>
      <c r="J82" s="78">
        <f t="shared" si="9"/>
        <v>10</v>
      </c>
      <c r="L82" s="1"/>
    </row>
    <row r="83" spans="1:12" x14ac:dyDescent="0.25">
      <c r="A83">
        <v>4</v>
      </c>
      <c r="B83">
        <v>119.9203</v>
      </c>
      <c r="C83">
        <v>75.000380000000007</v>
      </c>
      <c r="D83">
        <v>548.73760000000004</v>
      </c>
      <c r="E83">
        <v>210.61160000000001</v>
      </c>
      <c r="G83" s="2">
        <v>14.6</v>
      </c>
      <c r="H83" s="2">
        <f t="shared" si="8"/>
        <v>1.1643528557844371</v>
      </c>
      <c r="I83" s="2">
        <f t="shared" si="10"/>
        <v>1.1643528557844371</v>
      </c>
      <c r="J83" s="78">
        <f t="shared" si="9"/>
        <v>14.600000000000009</v>
      </c>
      <c r="L83" s="1"/>
    </row>
    <row r="84" spans="1:12" x14ac:dyDescent="0.25">
      <c r="A84">
        <v>4</v>
      </c>
      <c r="B84">
        <v>120.3993</v>
      </c>
      <c r="C84">
        <v>75.000559999999993</v>
      </c>
      <c r="D84">
        <v>596.5068</v>
      </c>
      <c r="E84">
        <v>215.63839999999999</v>
      </c>
      <c r="G84" s="2">
        <v>21.5</v>
      </c>
      <c r="H84" s="2">
        <f t="shared" si="8"/>
        <v>1.3324384599156054</v>
      </c>
      <c r="I84" s="2">
        <f t="shared" si="10"/>
        <v>1.3324384599156054</v>
      </c>
      <c r="J84" s="78">
        <f t="shared" si="9"/>
        <v>21.500000000000007</v>
      </c>
      <c r="L84" s="1"/>
    </row>
    <row r="85" spans="1:12" x14ac:dyDescent="0.25">
      <c r="A85">
        <v>4</v>
      </c>
      <c r="B85">
        <v>121.17829999999999</v>
      </c>
      <c r="C85">
        <v>75.000410000000002</v>
      </c>
      <c r="D85">
        <v>643.90800000000002</v>
      </c>
      <c r="E85">
        <v>219.5342</v>
      </c>
      <c r="G85" s="2">
        <v>31.6</v>
      </c>
      <c r="H85" s="2">
        <f t="shared" si="8"/>
        <v>1.4996870826184039</v>
      </c>
      <c r="I85" s="2">
        <f t="shared" si="10"/>
        <v>1.4996870826184039</v>
      </c>
      <c r="J85" s="78">
        <f t="shared" si="9"/>
        <v>31.600000000000012</v>
      </c>
      <c r="L85" s="1"/>
    </row>
    <row r="86" spans="1:12" x14ac:dyDescent="0.25">
      <c r="A86">
        <v>4</v>
      </c>
      <c r="B86">
        <v>122.05929999999999</v>
      </c>
      <c r="C86">
        <v>75.000489999999999</v>
      </c>
      <c r="D86">
        <v>687.67489999999998</v>
      </c>
      <c r="E86">
        <v>220.78319999999999</v>
      </c>
      <c r="G86" s="2">
        <v>46.4</v>
      </c>
      <c r="H86" s="2">
        <f t="shared" si="8"/>
        <v>1.6665179805548809</v>
      </c>
      <c r="I86" s="2">
        <f t="shared" si="10"/>
        <v>1.6665179805548809</v>
      </c>
      <c r="J86" s="78">
        <f t="shared" si="9"/>
        <v>46.400000000000013</v>
      </c>
      <c r="L86" s="1"/>
    </row>
    <row r="87" spans="1:12" x14ac:dyDescent="0.25">
      <c r="A87">
        <v>4</v>
      </c>
      <c r="B87">
        <v>122.4118</v>
      </c>
      <c r="C87">
        <v>75.000609999999995</v>
      </c>
      <c r="D87">
        <v>732.81979999999999</v>
      </c>
      <c r="E87">
        <v>222.10560000000001</v>
      </c>
      <c r="G87" s="2">
        <v>68</v>
      </c>
      <c r="H87" s="2">
        <f t="shared" si="8"/>
        <v>1.8325089127062364</v>
      </c>
      <c r="I87" s="2">
        <f t="shared" si="10"/>
        <v>1.8325089127062364</v>
      </c>
      <c r="J87" s="78">
        <f t="shared" si="9"/>
        <v>68.000000000000014</v>
      </c>
      <c r="L87" s="1"/>
    </row>
    <row r="88" spans="1:12" x14ac:dyDescent="0.25">
      <c r="A88">
        <v>4</v>
      </c>
      <c r="B88">
        <v>122.642</v>
      </c>
      <c r="C88">
        <v>75.001130000000003</v>
      </c>
      <c r="D88">
        <v>768.28710000000001</v>
      </c>
      <c r="E88">
        <v>224.6848</v>
      </c>
      <c r="G88" s="2">
        <v>100</v>
      </c>
      <c r="H88" s="2">
        <f t="shared" si="8"/>
        <v>2</v>
      </c>
      <c r="I88" s="2">
        <f t="shared" si="10"/>
        <v>2</v>
      </c>
      <c r="J88" s="78">
        <f t="shared" si="9"/>
        <v>100</v>
      </c>
      <c r="L88" s="1"/>
    </row>
    <row r="89" spans="1:12" x14ac:dyDescent="0.25">
      <c r="A89" s="2">
        <f>V36</f>
        <v>1.2</v>
      </c>
      <c r="B89">
        <v>132.79900000000001</v>
      </c>
      <c r="C89">
        <v>79.974890000000002</v>
      </c>
      <c r="D89">
        <v>26.106940000000002</v>
      </c>
      <c r="E89">
        <v>19.190460000000002</v>
      </c>
      <c r="G89" s="2">
        <v>0.1</v>
      </c>
      <c r="H89" s="2">
        <f t="shared" si="8"/>
        <v>-1</v>
      </c>
      <c r="I89" s="2">
        <f>H89-$A$89</f>
        <v>-2.2000000000000002</v>
      </c>
      <c r="J89" s="78">
        <f t="shared" si="9"/>
        <v>6.3095734448019251E-3</v>
      </c>
      <c r="L89" s="1"/>
    </row>
    <row r="90" spans="1:12" x14ac:dyDescent="0.25">
      <c r="A90">
        <v>5</v>
      </c>
      <c r="B90">
        <v>137.23840000000001</v>
      </c>
      <c r="C90">
        <v>79.998469999999998</v>
      </c>
      <c r="D90">
        <v>29.332159999999998</v>
      </c>
      <c r="E90">
        <v>22.786760000000001</v>
      </c>
      <c r="G90" s="2">
        <v>0.15</v>
      </c>
      <c r="H90" s="2">
        <f t="shared" si="8"/>
        <v>-0.82390874094431876</v>
      </c>
      <c r="I90" s="2">
        <f t="shared" ref="I90:I107" si="11">H90-$A$89</f>
        <v>-2.0239087409443188</v>
      </c>
      <c r="J90" s="78">
        <f t="shared" si="9"/>
        <v>9.4643601672028902E-3</v>
      </c>
      <c r="L90" s="1"/>
    </row>
    <row r="91" spans="1:12" x14ac:dyDescent="0.25">
      <c r="A91">
        <v>5</v>
      </c>
      <c r="B91">
        <v>147.15770000000001</v>
      </c>
      <c r="C91">
        <v>79.999939999999995</v>
      </c>
      <c r="D91">
        <v>34.350360000000002</v>
      </c>
      <c r="E91">
        <v>27.979320000000001</v>
      </c>
      <c r="G91" s="2">
        <v>0.22</v>
      </c>
      <c r="H91" s="2">
        <f t="shared" si="8"/>
        <v>-0.65757731917779372</v>
      </c>
      <c r="I91" s="2">
        <f t="shared" si="11"/>
        <v>-1.8575773191777936</v>
      </c>
      <c r="J91" s="78">
        <f t="shared" si="9"/>
        <v>1.3881061578564249E-2</v>
      </c>
      <c r="L91" s="1"/>
    </row>
    <row r="92" spans="1:12" x14ac:dyDescent="0.25">
      <c r="A92">
        <v>5</v>
      </c>
      <c r="B92">
        <v>158.08019999999999</v>
      </c>
      <c r="C92">
        <v>80.000069999999994</v>
      </c>
      <c r="D92">
        <v>41.194580000000002</v>
      </c>
      <c r="E92">
        <v>34.702199999999998</v>
      </c>
      <c r="G92" s="2">
        <v>0.32</v>
      </c>
      <c r="H92" s="2">
        <f t="shared" si="8"/>
        <v>-0.49485002168009401</v>
      </c>
      <c r="I92" s="2">
        <f t="shared" si="11"/>
        <v>-1.6948500216800939</v>
      </c>
      <c r="J92" s="78">
        <f t="shared" si="9"/>
        <v>2.0190635023366182E-2</v>
      </c>
      <c r="L92" s="1"/>
    </row>
    <row r="93" spans="1:12" x14ac:dyDescent="0.25">
      <c r="A93">
        <v>5</v>
      </c>
      <c r="B93">
        <v>168.9992</v>
      </c>
      <c r="C93">
        <v>80.000100000000003</v>
      </c>
      <c r="D93">
        <v>49.47898</v>
      </c>
      <c r="E93">
        <v>42.382539999999999</v>
      </c>
      <c r="G93" s="2">
        <v>0.46</v>
      </c>
      <c r="H93" s="2">
        <f t="shared" si="8"/>
        <v>-0.33724216831842591</v>
      </c>
      <c r="I93" s="2">
        <f t="shared" si="11"/>
        <v>-1.5372421683184259</v>
      </c>
      <c r="J93" s="78">
        <f t="shared" si="9"/>
        <v>2.9024037846088889E-2</v>
      </c>
      <c r="L93" s="1"/>
    </row>
    <row r="94" spans="1:12" x14ac:dyDescent="0.25">
      <c r="A94">
        <v>5</v>
      </c>
      <c r="B94">
        <v>179.92320000000001</v>
      </c>
      <c r="C94">
        <v>80</v>
      </c>
      <c r="D94">
        <v>60.372979999999998</v>
      </c>
      <c r="E94">
        <v>51.809249999999999</v>
      </c>
      <c r="G94" s="2">
        <v>0.68</v>
      </c>
      <c r="H94" s="2">
        <f t="shared" si="8"/>
        <v>-0.16749108729376366</v>
      </c>
      <c r="I94" s="2">
        <f t="shared" si="11"/>
        <v>-1.3674910872937636</v>
      </c>
      <c r="J94" s="78">
        <f t="shared" si="9"/>
        <v>4.2905099424653148E-2</v>
      </c>
      <c r="L94" s="1"/>
    </row>
    <row r="95" spans="1:12" x14ac:dyDescent="0.25">
      <c r="A95">
        <v>5</v>
      </c>
      <c r="B95">
        <v>181.83580000000001</v>
      </c>
      <c r="C95">
        <v>79.999840000000006</v>
      </c>
      <c r="D95">
        <v>72.675399999999996</v>
      </c>
      <c r="E95">
        <v>61.88288</v>
      </c>
      <c r="G95" s="2">
        <v>1</v>
      </c>
      <c r="H95" s="2">
        <f t="shared" si="8"/>
        <v>0</v>
      </c>
      <c r="I95" s="2">
        <f t="shared" si="11"/>
        <v>-1.2</v>
      </c>
      <c r="J95" s="78">
        <f t="shared" si="9"/>
        <v>6.3095734448019317E-2</v>
      </c>
      <c r="L95" s="1"/>
    </row>
    <row r="96" spans="1:12" x14ac:dyDescent="0.25">
      <c r="A96">
        <v>5</v>
      </c>
      <c r="B96">
        <v>182.27950000000001</v>
      </c>
      <c r="C96">
        <v>80.000240000000005</v>
      </c>
      <c r="D96">
        <v>88.307119999999998</v>
      </c>
      <c r="E96">
        <v>73.680109999999999</v>
      </c>
      <c r="G96" s="2">
        <v>1.5</v>
      </c>
      <c r="H96" s="2">
        <f t="shared" si="8"/>
        <v>0.17609125905568124</v>
      </c>
      <c r="I96" s="2">
        <f t="shared" si="11"/>
        <v>-1.0239087409443188</v>
      </c>
      <c r="J96" s="78">
        <f t="shared" si="9"/>
        <v>9.4643601672028968E-2</v>
      </c>
      <c r="L96" s="1"/>
    </row>
    <row r="97" spans="1:12" x14ac:dyDescent="0.25">
      <c r="A97">
        <v>5</v>
      </c>
      <c r="B97">
        <v>184.08850000000001</v>
      </c>
      <c r="C97">
        <v>80.000240000000005</v>
      </c>
      <c r="D97">
        <v>106.28270000000001</v>
      </c>
      <c r="E97">
        <v>85.75788</v>
      </c>
      <c r="G97" s="2">
        <v>2.2000000000000002</v>
      </c>
      <c r="H97" s="2">
        <f t="shared" si="8"/>
        <v>0.34242268082220628</v>
      </c>
      <c r="I97" s="2">
        <f t="shared" si="11"/>
        <v>-0.85757731917779367</v>
      </c>
      <c r="J97" s="78">
        <f t="shared" si="9"/>
        <v>0.13881061578564249</v>
      </c>
      <c r="L97" s="1"/>
    </row>
    <row r="98" spans="1:12" x14ac:dyDescent="0.25">
      <c r="A98">
        <v>5</v>
      </c>
      <c r="B98">
        <v>185.99420000000001</v>
      </c>
      <c r="C98">
        <v>80.000349999999997</v>
      </c>
      <c r="D98">
        <v>126.8644</v>
      </c>
      <c r="E98">
        <v>98.420450000000002</v>
      </c>
      <c r="G98" s="2">
        <v>3.2</v>
      </c>
      <c r="H98" s="2">
        <f t="shared" si="8"/>
        <v>0.50514997831990605</v>
      </c>
      <c r="I98" s="2">
        <f t="shared" si="11"/>
        <v>-0.69485002168009391</v>
      </c>
      <c r="J98" s="78">
        <f t="shared" si="9"/>
        <v>0.20190635023366185</v>
      </c>
      <c r="L98" s="1"/>
    </row>
    <row r="99" spans="1:12" x14ac:dyDescent="0.25">
      <c r="A99">
        <v>5</v>
      </c>
      <c r="B99">
        <v>187.8938</v>
      </c>
      <c r="C99">
        <v>79.999719999999996</v>
      </c>
      <c r="D99">
        <v>149.83449999999999</v>
      </c>
      <c r="E99">
        <v>111.2137</v>
      </c>
      <c r="G99" s="2">
        <v>4.5999999999999996</v>
      </c>
      <c r="H99" s="2">
        <f t="shared" si="8"/>
        <v>0.66275783168157409</v>
      </c>
      <c r="I99" s="2">
        <f t="shared" si="11"/>
        <v>-0.53724216831842586</v>
      </c>
      <c r="J99" s="78">
        <f t="shared" si="9"/>
        <v>0.2902403784608889</v>
      </c>
      <c r="L99" s="1"/>
    </row>
    <row r="100" spans="1:12" x14ac:dyDescent="0.25">
      <c r="A100">
        <v>5</v>
      </c>
      <c r="B100">
        <v>189.7877</v>
      </c>
      <c r="C100">
        <v>79.999650000000003</v>
      </c>
      <c r="D100">
        <v>178.0198</v>
      </c>
      <c r="E100">
        <v>125.3484</v>
      </c>
      <c r="G100" s="2">
        <v>6.8</v>
      </c>
      <c r="H100" s="2">
        <f t="shared" si="8"/>
        <v>0.83250891270623628</v>
      </c>
      <c r="I100" s="2">
        <f t="shared" si="11"/>
        <v>-0.36749108729376367</v>
      </c>
      <c r="J100" s="78">
        <f t="shared" si="9"/>
        <v>0.42905099424653137</v>
      </c>
      <c r="L100" s="1"/>
    </row>
    <row r="101" spans="1:12" x14ac:dyDescent="0.25">
      <c r="A101">
        <v>5</v>
      </c>
      <c r="B101">
        <v>190.327</v>
      </c>
      <c r="C101">
        <v>79.999880000000005</v>
      </c>
      <c r="D101">
        <v>209.11369999999999</v>
      </c>
      <c r="E101">
        <v>139.40629999999999</v>
      </c>
      <c r="G101" s="2">
        <v>10</v>
      </c>
      <c r="H101" s="2">
        <f t="shared" si="8"/>
        <v>1</v>
      </c>
      <c r="I101" s="2">
        <f t="shared" si="11"/>
        <v>-0.19999999999999996</v>
      </c>
      <c r="J101" s="78">
        <f t="shared" si="9"/>
        <v>0.63095734448019325</v>
      </c>
      <c r="L101" s="1"/>
    </row>
    <row r="102" spans="1:12" x14ac:dyDescent="0.25">
      <c r="A102">
        <v>5</v>
      </c>
      <c r="B102">
        <v>191.0795</v>
      </c>
      <c r="C102">
        <v>80.000339999999994</v>
      </c>
      <c r="D102">
        <v>242.95</v>
      </c>
      <c r="E102">
        <v>153.0369</v>
      </c>
      <c r="G102" s="2">
        <v>14.6</v>
      </c>
      <c r="H102" s="2">
        <f t="shared" si="8"/>
        <v>1.1643528557844371</v>
      </c>
      <c r="I102" s="2">
        <f t="shared" si="11"/>
        <v>-3.5647144215562809E-2</v>
      </c>
      <c r="J102" s="78">
        <f t="shared" si="9"/>
        <v>0.92119772294108238</v>
      </c>
      <c r="L102" s="1"/>
    </row>
    <row r="103" spans="1:12" x14ac:dyDescent="0.25">
      <c r="A103">
        <v>5</v>
      </c>
      <c r="B103">
        <v>191.56399999999999</v>
      </c>
      <c r="C103">
        <v>80.000299999999996</v>
      </c>
      <c r="D103">
        <v>280.86399999999998</v>
      </c>
      <c r="E103">
        <v>166.86959999999999</v>
      </c>
      <c r="G103" s="2">
        <v>21.5</v>
      </c>
      <c r="H103" s="2">
        <f t="shared" si="8"/>
        <v>1.3324384599156054</v>
      </c>
      <c r="I103" s="2">
        <f t="shared" si="11"/>
        <v>0.13243845991560543</v>
      </c>
      <c r="J103" s="78">
        <f t="shared" si="9"/>
        <v>1.3565582906324158</v>
      </c>
      <c r="L103" s="1"/>
    </row>
    <row r="104" spans="1:12" x14ac:dyDescent="0.25">
      <c r="A104">
        <v>5</v>
      </c>
      <c r="B104">
        <v>192.3485</v>
      </c>
      <c r="C104">
        <v>79.999899999999997</v>
      </c>
      <c r="D104">
        <v>322.17790000000002</v>
      </c>
      <c r="E104">
        <v>179.84540000000001</v>
      </c>
      <c r="G104" s="2">
        <v>31.6</v>
      </c>
      <c r="H104" s="2">
        <f t="shared" si="8"/>
        <v>1.4996870826184039</v>
      </c>
      <c r="I104" s="2">
        <f t="shared" si="11"/>
        <v>0.29968708261840393</v>
      </c>
      <c r="J104" s="78">
        <f t="shared" si="9"/>
        <v>1.9938252085574113</v>
      </c>
      <c r="L104" s="1"/>
    </row>
    <row r="105" spans="1:12" x14ac:dyDescent="0.25">
      <c r="A105">
        <v>5</v>
      </c>
      <c r="B105">
        <v>193.2345</v>
      </c>
      <c r="C105">
        <v>80.000640000000004</v>
      </c>
      <c r="D105">
        <v>362.35820000000001</v>
      </c>
      <c r="E105">
        <v>190.33090000000001</v>
      </c>
      <c r="G105" s="2">
        <v>46.4</v>
      </c>
      <c r="H105" s="2">
        <f t="shared" si="8"/>
        <v>1.6665179805548809</v>
      </c>
      <c r="I105" s="2">
        <f t="shared" si="11"/>
        <v>0.46651798055488092</v>
      </c>
      <c r="J105" s="78">
        <f t="shared" si="9"/>
        <v>2.927642078388097</v>
      </c>
      <c r="L105" s="1"/>
    </row>
    <row r="106" spans="1:12" x14ac:dyDescent="0.25">
      <c r="A106">
        <v>5</v>
      </c>
      <c r="B106">
        <v>193.6003</v>
      </c>
      <c r="C106">
        <v>80.001059999999995</v>
      </c>
      <c r="D106">
        <v>408.33089999999999</v>
      </c>
      <c r="E106">
        <v>200.553</v>
      </c>
      <c r="G106" s="2">
        <v>68</v>
      </c>
      <c r="H106" s="2">
        <f t="shared" si="8"/>
        <v>1.8325089127062364</v>
      </c>
      <c r="I106" s="2">
        <f t="shared" si="11"/>
        <v>0.63250891270623644</v>
      </c>
      <c r="J106" s="78">
        <f t="shared" si="9"/>
        <v>4.2905099424653157</v>
      </c>
      <c r="L106" s="1"/>
    </row>
    <row r="107" spans="1:12" x14ac:dyDescent="0.25">
      <c r="A107">
        <v>5</v>
      </c>
      <c r="B107">
        <v>193.8545</v>
      </c>
      <c r="C107">
        <v>80.000709999999998</v>
      </c>
      <c r="D107">
        <v>450.32170000000002</v>
      </c>
      <c r="E107">
        <v>211.7791</v>
      </c>
      <c r="G107" s="2">
        <v>100</v>
      </c>
      <c r="H107" s="2">
        <f t="shared" si="8"/>
        <v>2</v>
      </c>
      <c r="I107" s="2">
        <f t="shared" si="11"/>
        <v>0.8</v>
      </c>
      <c r="J107" s="78">
        <f t="shared" si="9"/>
        <v>6.3095734448019343</v>
      </c>
      <c r="L107" s="1"/>
    </row>
    <row r="108" spans="1:12" x14ac:dyDescent="0.25">
      <c r="A108" s="2">
        <f>V37</f>
        <v>2.1</v>
      </c>
      <c r="B108">
        <v>205.0635</v>
      </c>
      <c r="C108">
        <v>84.99342</v>
      </c>
      <c r="D108">
        <v>15.760260000000001</v>
      </c>
      <c r="E108">
        <v>5.8354929999999996</v>
      </c>
      <c r="G108" s="2">
        <v>0.1</v>
      </c>
      <c r="H108" s="2">
        <f t="shared" si="8"/>
        <v>-1</v>
      </c>
      <c r="I108" s="2">
        <f>H108-$A$108</f>
        <v>-3.1</v>
      </c>
      <c r="J108" s="78">
        <f t="shared" si="9"/>
        <v>7.9432823472428099E-4</v>
      </c>
      <c r="L108" s="1"/>
    </row>
    <row r="109" spans="1:12" x14ac:dyDescent="0.25">
      <c r="A109">
        <v>6</v>
      </c>
      <c r="B109">
        <v>207.76759999999999</v>
      </c>
      <c r="C109">
        <v>85.000050000000002</v>
      </c>
      <c r="D109">
        <v>16.85425</v>
      </c>
      <c r="E109">
        <v>6.9912520000000002</v>
      </c>
      <c r="G109" s="2">
        <v>0.15</v>
      </c>
      <c r="H109" s="2">
        <f t="shared" si="8"/>
        <v>-0.82390874094431876</v>
      </c>
      <c r="I109" s="2">
        <f t="shared" ref="I109:I126" si="12">H109-$A$108</f>
        <v>-2.9239087409443187</v>
      </c>
      <c r="J109" s="78">
        <f t="shared" si="9"/>
        <v>1.1914923520864218E-3</v>
      </c>
      <c r="L109" s="1"/>
    </row>
    <row r="110" spans="1:12" x14ac:dyDescent="0.25">
      <c r="A110">
        <v>6</v>
      </c>
      <c r="B110">
        <v>215.99520000000001</v>
      </c>
      <c r="C110">
        <v>85.000010000000003</v>
      </c>
      <c r="D110">
        <v>18.297920000000001</v>
      </c>
      <c r="E110">
        <v>8.4394159999999996</v>
      </c>
      <c r="G110" s="2">
        <v>0.22</v>
      </c>
      <c r="H110" s="2">
        <f t="shared" si="8"/>
        <v>-0.65757731917779372</v>
      </c>
      <c r="I110" s="2">
        <f t="shared" si="12"/>
        <v>-2.7575773191777939</v>
      </c>
      <c r="J110" s="78">
        <f t="shared" si="9"/>
        <v>1.7475221163934182E-3</v>
      </c>
      <c r="L110" s="1"/>
    </row>
    <row r="111" spans="1:12" x14ac:dyDescent="0.25">
      <c r="A111">
        <v>6</v>
      </c>
      <c r="B111">
        <v>225.23320000000001</v>
      </c>
      <c r="C111">
        <v>84.999880000000005</v>
      </c>
      <c r="D111">
        <v>20.205469999999998</v>
      </c>
      <c r="E111">
        <v>10.434699999999999</v>
      </c>
      <c r="G111" s="2">
        <v>0.32</v>
      </c>
      <c r="H111" s="2">
        <f t="shared" si="8"/>
        <v>-0.49485002168009401</v>
      </c>
      <c r="I111" s="2">
        <f t="shared" si="12"/>
        <v>-2.5948500216800943</v>
      </c>
      <c r="J111" s="78">
        <f t="shared" si="9"/>
        <v>2.5418503511176979E-3</v>
      </c>
      <c r="L111" s="1"/>
    </row>
    <row r="112" spans="1:12" x14ac:dyDescent="0.25">
      <c r="A112">
        <v>6</v>
      </c>
      <c r="B112">
        <v>235.30840000000001</v>
      </c>
      <c r="C112">
        <v>85.000010000000003</v>
      </c>
      <c r="D112">
        <v>22.499320000000001</v>
      </c>
      <c r="E112">
        <v>12.89852</v>
      </c>
      <c r="G112" s="2">
        <v>0.46</v>
      </c>
      <c r="H112" s="2">
        <f t="shared" si="8"/>
        <v>-0.33724216831842591</v>
      </c>
      <c r="I112" s="2">
        <f t="shared" si="12"/>
        <v>-2.4372421683184262</v>
      </c>
      <c r="J112" s="78">
        <f t="shared" si="9"/>
        <v>3.6539098797316889E-3</v>
      </c>
      <c r="L112" s="1"/>
    </row>
    <row r="113" spans="1:12" x14ac:dyDescent="0.25">
      <c r="A113">
        <v>6</v>
      </c>
      <c r="B113">
        <v>245.38480000000001</v>
      </c>
      <c r="C113">
        <v>85.000240000000005</v>
      </c>
      <c r="D113">
        <v>25.484500000000001</v>
      </c>
      <c r="E113">
        <v>16.191189999999999</v>
      </c>
      <c r="G113" s="2">
        <v>0.68</v>
      </c>
      <c r="H113" s="2">
        <f t="shared" si="8"/>
        <v>-0.16749108729376366</v>
      </c>
      <c r="I113" s="2">
        <f t="shared" si="12"/>
        <v>-2.2674910872937639</v>
      </c>
      <c r="J113" s="78">
        <f t="shared" si="9"/>
        <v>5.4014319961251068E-3</v>
      </c>
      <c r="L113" s="1"/>
    </row>
    <row r="114" spans="1:12" x14ac:dyDescent="0.25">
      <c r="A114">
        <v>6</v>
      </c>
      <c r="B114">
        <v>247.29400000000001</v>
      </c>
      <c r="C114">
        <v>85.000479999999996</v>
      </c>
      <c r="D114">
        <v>28.851299999999998</v>
      </c>
      <c r="E114">
        <v>20.04044</v>
      </c>
      <c r="G114" s="2">
        <v>1</v>
      </c>
      <c r="H114" s="2">
        <f t="shared" si="8"/>
        <v>0</v>
      </c>
      <c r="I114" s="2">
        <f t="shared" si="12"/>
        <v>-2.1</v>
      </c>
      <c r="J114" s="78">
        <f t="shared" si="9"/>
        <v>7.9432823472428121E-3</v>
      </c>
      <c r="L114" s="1"/>
    </row>
    <row r="115" spans="1:12" x14ac:dyDescent="0.25">
      <c r="A115">
        <v>6</v>
      </c>
      <c r="B115">
        <v>247.73679999999999</v>
      </c>
      <c r="C115">
        <v>84.999260000000007</v>
      </c>
      <c r="D115">
        <v>33.267859999999999</v>
      </c>
      <c r="E115">
        <v>25.031140000000001</v>
      </c>
      <c r="G115" s="2">
        <v>1.5</v>
      </c>
      <c r="H115" s="2">
        <f t="shared" si="8"/>
        <v>0.17609125905568124</v>
      </c>
      <c r="I115" s="2">
        <f t="shared" si="12"/>
        <v>-1.9239087409443187</v>
      </c>
      <c r="J115" s="78">
        <f t="shared" si="9"/>
        <v>1.1914923520864221E-2</v>
      </c>
      <c r="L115" s="1"/>
    </row>
    <row r="116" spans="1:12" x14ac:dyDescent="0.25">
      <c r="A116">
        <v>6</v>
      </c>
      <c r="B116">
        <v>249.54650000000001</v>
      </c>
      <c r="C116">
        <v>85.000739999999993</v>
      </c>
      <c r="D116">
        <v>38.645040000000002</v>
      </c>
      <c r="E116">
        <v>30.78668</v>
      </c>
      <c r="G116" s="2">
        <v>2.2000000000000002</v>
      </c>
      <c r="H116" s="2">
        <f t="shared" si="8"/>
        <v>0.34242268082220628</v>
      </c>
      <c r="I116" s="2">
        <f t="shared" si="12"/>
        <v>-1.7575773191777939</v>
      </c>
      <c r="J116" s="78">
        <f t="shared" si="9"/>
        <v>1.7475221163934188E-2</v>
      </c>
      <c r="L116" s="1"/>
    </row>
    <row r="117" spans="1:12" x14ac:dyDescent="0.25">
      <c r="A117">
        <v>6</v>
      </c>
      <c r="B117">
        <v>251.62219999999999</v>
      </c>
      <c r="C117">
        <v>84.99991</v>
      </c>
      <c r="D117">
        <v>45.243940000000002</v>
      </c>
      <c r="E117">
        <v>37.539099999999998</v>
      </c>
      <c r="G117" s="2">
        <v>3.2</v>
      </c>
      <c r="H117" s="2">
        <f t="shared" si="8"/>
        <v>0.50514997831990605</v>
      </c>
      <c r="I117" s="2">
        <f t="shared" si="12"/>
        <v>-1.594850021680094</v>
      </c>
      <c r="J117" s="78">
        <f t="shared" si="9"/>
        <v>2.5418503511176992E-2</v>
      </c>
      <c r="L117" s="1"/>
    </row>
    <row r="118" spans="1:12" x14ac:dyDescent="0.25">
      <c r="A118">
        <v>6</v>
      </c>
      <c r="B118">
        <v>253.52869999999999</v>
      </c>
      <c r="C118">
        <v>84.999619999999993</v>
      </c>
      <c r="D118">
        <v>53.181100000000001</v>
      </c>
      <c r="E118">
        <v>45.205889999999997</v>
      </c>
      <c r="G118" s="2">
        <v>4.5999999999999996</v>
      </c>
      <c r="H118" s="2">
        <f t="shared" si="8"/>
        <v>0.66275783168157409</v>
      </c>
      <c r="I118" s="2">
        <f t="shared" si="12"/>
        <v>-1.437242168318426</v>
      </c>
      <c r="J118" s="78">
        <f t="shared" si="9"/>
        <v>3.6539098797316927E-2</v>
      </c>
      <c r="L118" s="1"/>
    </row>
    <row r="119" spans="1:12" x14ac:dyDescent="0.25">
      <c r="A119">
        <v>6</v>
      </c>
      <c r="B119">
        <v>257.79939999999999</v>
      </c>
      <c r="C119">
        <v>84.842420000000004</v>
      </c>
      <c r="D119">
        <v>71.378810000000001</v>
      </c>
      <c r="E119">
        <v>60.91469</v>
      </c>
      <c r="G119" s="2">
        <v>6.8</v>
      </c>
      <c r="H119" s="2">
        <f t="shared" si="8"/>
        <v>0.83250891270623628</v>
      </c>
      <c r="I119" s="2">
        <f t="shared" si="12"/>
        <v>-1.2674910872937639</v>
      </c>
      <c r="J119" s="78">
        <f t="shared" si="9"/>
        <v>5.4014319961251098E-2</v>
      </c>
      <c r="L119" s="1"/>
    </row>
    <row r="120" spans="1:12" x14ac:dyDescent="0.25">
      <c r="A120">
        <v>6</v>
      </c>
      <c r="B120">
        <v>258.3408</v>
      </c>
      <c r="C120">
        <v>84.929959999999994</v>
      </c>
      <c r="D120">
        <v>83.854939999999999</v>
      </c>
      <c r="E120">
        <v>70.977429999999998</v>
      </c>
      <c r="G120" s="2">
        <v>10</v>
      </c>
      <c r="H120" s="2">
        <f t="shared" si="8"/>
        <v>1</v>
      </c>
      <c r="I120" s="2">
        <f t="shared" si="12"/>
        <v>-1.1000000000000001</v>
      </c>
      <c r="J120" s="78">
        <f t="shared" si="9"/>
        <v>7.9432823472428096E-2</v>
      </c>
      <c r="L120" s="1"/>
    </row>
    <row r="121" spans="1:12" x14ac:dyDescent="0.25">
      <c r="A121">
        <v>6</v>
      </c>
      <c r="B121">
        <v>259.1816</v>
      </c>
      <c r="C121">
        <v>84.993610000000004</v>
      </c>
      <c r="D121">
        <v>97.681889999999996</v>
      </c>
      <c r="E121">
        <v>81.462389999999999</v>
      </c>
      <c r="G121" s="2">
        <v>14.6</v>
      </c>
      <c r="H121" s="2">
        <f t="shared" si="8"/>
        <v>1.1643528557844371</v>
      </c>
      <c r="I121" s="2">
        <f t="shared" si="12"/>
        <v>-0.93564714421556294</v>
      </c>
      <c r="J121" s="78">
        <f t="shared" si="9"/>
        <v>0.11597192226974508</v>
      </c>
      <c r="L121" s="1"/>
    </row>
    <row r="122" spans="1:12" x14ac:dyDescent="0.25">
      <c r="A122">
        <v>6</v>
      </c>
      <c r="B122">
        <v>259.70580000000001</v>
      </c>
      <c r="C122">
        <v>85.009190000000004</v>
      </c>
      <c r="D122">
        <v>116.0951</v>
      </c>
      <c r="E122">
        <v>94.334119999999999</v>
      </c>
      <c r="G122" s="2">
        <v>21.5</v>
      </c>
      <c r="H122" s="2">
        <f t="shared" si="8"/>
        <v>1.3324384599156054</v>
      </c>
      <c r="I122" s="2">
        <f t="shared" si="12"/>
        <v>-0.7675615400843947</v>
      </c>
      <c r="J122" s="78">
        <f t="shared" si="9"/>
        <v>0.17078057046572045</v>
      </c>
      <c r="L122" s="1"/>
    </row>
    <row r="123" spans="1:12" x14ac:dyDescent="0.25">
      <c r="A123">
        <v>6</v>
      </c>
      <c r="B123">
        <v>260.49200000000002</v>
      </c>
      <c r="C123">
        <v>85.01549</v>
      </c>
      <c r="D123">
        <v>137.6859</v>
      </c>
      <c r="E123">
        <v>107.71680000000001</v>
      </c>
      <c r="G123" s="2">
        <v>31.6</v>
      </c>
      <c r="H123" s="2">
        <f t="shared" si="8"/>
        <v>1.4996870826184039</v>
      </c>
      <c r="I123" s="2">
        <f t="shared" si="12"/>
        <v>-0.6003129173815962</v>
      </c>
      <c r="J123" s="78">
        <f t="shared" si="9"/>
        <v>0.25100772217287293</v>
      </c>
      <c r="L123" s="1"/>
    </row>
    <row r="124" spans="1:12" x14ac:dyDescent="0.25">
      <c r="A124">
        <v>6</v>
      </c>
      <c r="B124">
        <v>261.45839999999998</v>
      </c>
      <c r="C124">
        <v>85.007819999999995</v>
      </c>
      <c r="D124">
        <v>159.84639999999999</v>
      </c>
      <c r="E124">
        <v>120.6722</v>
      </c>
      <c r="G124" s="2">
        <v>46.4</v>
      </c>
      <c r="H124" s="2">
        <f t="shared" si="8"/>
        <v>1.6665179805548809</v>
      </c>
      <c r="I124" s="2">
        <f t="shared" si="12"/>
        <v>-0.43348201944511922</v>
      </c>
      <c r="J124" s="78">
        <f t="shared" si="9"/>
        <v>0.36856830091206649</v>
      </c>
      <c r="L124" s="1"/>
    </row>
    <row r="125" spans="1:12" x14ac:dyDescent="0.25">
      <c r="A125">
        <v>6</v>
      </c>
      <c r="B125">
        <v>261.79880000000003</v>
      </c>
      <c r="C125">
        <v>85.004589999999993</v>
      </c>
      <c r="D125">
        <v>192.13980000000001</v>
      </c>
      <c r="E125">
        <v>135.83459999999999</v>
      </c>
      <c r="G125" s="2">
        <v>68</v>
      </c>
      <c r="H125" s="2">
        <f t="shared" si="8"/>
        <v>1.8325089127062364</v>
      </c>
      <c r="I125" s="2">
        <f t="shared" si="12"/>
        <v>-0.2674910872937637</v>
      </c>
      <c r="J125" s="78">
        <f t="shared" si="9"/>
        <v>0.54014319961251134</v>
      </c>
      <c r="L125" s="1"/>
    </row>
    <row r="126" spans="1:12" x14ac:dyDescent="0.25">
      <c r="A126">
        <v>6</v>
      </c>
      <c r="B126">
        <v>262.029</v>
      </c>
      <c r="C126">
        <v>85.002430000000004</v>
      </c>
      <c r="D126">
        <v>219.71180000000001</v>
      </c>
      <c r="E126">
        <v>152.72120000000001</v>
      </c>
      <c r="G126" s="2">
        <v>100</v>
      </c>
      <c r="H126" s="2">
        <f t="shared" si="8"/>
        <v>2</v>
      </c>
      <c r="I126" s="2">
        <f t="shared" si="12"/>
        <v>-0.10000000000000009</v>
      </c>
      <c r="J126" s="78">
        <f t="shared" si="9"/>
        <v>0.79432823472428127</v>
      </c>
      <c r="L126" s="1"/>
    </row>
    <row r="127" spans="1:12" x14ac:dyDescent="0.25">
      <c r="A127" s="2">
        <f>V38</f>
        <v>2.9</v>
      </c>
      <c r="B127">
        <v>271.67660000000001</v>
      </c>
      <c r="C127">
        <v>89.966549999999998</v>
      </c>
      <c r="D127">
        <v>12.72977</v>
      </c>
      <c r="E127">
        <v>2.7742100000000001</v>
      </c>
      <c r="G127" s="2">
        <v>0.1</v>
      </c>
      <c r="H127" s="2">
        <f t="shared" si="8"/>
        <v>-1</v>
      </c>
      <c r="I127" s="2">
        <f>H127-$A$127</f>
        <v>-3.9</v>
      </c>
      <c r="J127" s="78">
        <f t="shared" si="9"/>
        <v>1.2589254117941672E-4</v>
      </c>
      <c r="L127" s="1"/>
    </row>
    <row r="128" spans="1:12" x14ac:dyDescent="0.25">
      <c r="A128">
        <v>7</v>
      </c>
      <c r="B128">
        <v>274.38080000000002</v>
      </c>
      <c r="C128">
        <v>89.999679999999998</v>
      </c>
      <c r="D128">
        <v>13.23512</v>
      </c>
      <c r="E128">
        <v>3.129928</v>
      </c>
      <c r="G128" s="2">
        <v>0.15</v>
      </c>
      <c r="H128" s="2">
        <f t="shared" si="8"/>
        <v>-0.82390874094431876</v>
      </c>
      <c r="I128" s="2">
        <f t="shared" ref="I128:I145" si="13">H128-$A$127</f>
        <v>-3.7239087409443186</v>
      </c>
      <c r="J128" s="78">
        <f t="shared" si="9"/>
        <v>1.8883881176912494E-4</v>
      </c>
      <c r="L128" s="1"/>
    </row>
    <row r="129" spans="1:12" x14ac:dyDescent="0.25">
      <c r="A129">
        <v>7</v>
      </c>
      <c r="B129">
        <v>281.75779999999997</v>
      </c>
      <c r="C129">
        <v>89.99991</v>
      </c>
      <c r="D129">
        <v>13.8683</v>
      </c>
      <c r="E129">
        <v>3.5810629999999999</v>
      </c>
      <c r="G129" s="2">
        <v>0.22</v>
      </c>
      <c r="H129" s="2">
        <f t="shared" si="8"/>
        <v>-0.65757731917779372</v>
      </c>
      <c r="I129" s="2">
        <f t="shared" si="13"/>
        <v>-3.5575773191777937</v>
      </c>
      <c r="J129" s="78">
        <f t="shared" si="9"/>
        <v>2.7696359059471655E-4</v>
      </c>
      <c r="L129" s="1"/>
    </row>
    <row r="130" spans="1:12" x14ac:dyDescent="0.25">
      <c r="A130">
        <v>7</v>
      </c>
      <c r="B130">
        <v>289.30059999999997</v>
      </c>
      <c r="C130">
        <v>89.999750000000006</v>
      </c>
      <c r="D130">
        <v>14.694319999999999</v>
      </c>
      <c r="E130">
        <v>4.2150499999999997</v>
      </c>
      <c r="G130" s="2">
        <v>0.32</v>
      </c>
      <c r="H130" s="2">
        <f t="shared" si="8"/>
        <v>-0.49485002168009401</v>
      </c>
      <c r="I130" s="2">
        <f t="shared" si="13"/>
        <v>-3.3948500216800941</v>
      </c>
      <c r="J130" s="78">
        <f t="shared" si="9"/>
        <v>4.0285613177413321E-4</v>
      </c>
      <c r="L130" s="1"/>
    </row>
    <row r="131" spans="1:12" x14ac:dyDescent="0.25">
      <c r="A131">
        <v>7</v>
      </c>
      <c r="B131">
        <v>296.84399999999999</v>
      </c>
      <c r="C131">
        <v>89.999719999999996</v>
      </c>
      <c r="D131">
        <v>15.627800000000001</v>
      </c>
      <c r="E131">
        <v>5.00739</v>
      </c>
      <c r="G131" s="2">
        <v>0.46</v>
      </c>
      <c r="H131" s="2">
        <f t="shared" si="8"/>
        <v>-0.33724216831842591</v>
      </c>
      <c r="I131" s="2">
        <f t="shared" si="13"/>
        <v>-3.237242168318426</v>
      </c>
      <c r="J131" s="78">
        <f t="shared" si="9"/>
        <v>5.7910568942531632E-4</v>
      </c>
      <c r="L131" s="1"/>
    </row>
    <row r="132" spans="1:12" x14ac:dyDescent="0.25">
      <c r="A132">
        <v>7</v>
      </c>
      <c r="B132">
        <v>305.22390000000001</v>
      </c>
      <c r="C132">
        <v>89.999880000000005</v>
      </c>
      <c r="D132">
        <v>16.794060000000002</v>
      </c>
      <c r="E132">
        <v>6.0963240000000001</v>
      </c>
      <c r="G132" s="2">
        <v>0.68</v>
      </c>
      <c r="H132" s="2">
        <f t="shared" ref="H132:H183" si="14">LOG10(G132)</f>
        <v>-0.16749108729376366</v>
      </c>
      <c r="I132" s="2">
        <f t="shared" si="13"/>
        <v>-3.0674910872937637</v>
      </c>
      <c r="J132" s="78">
        <f t="shared" ref="J132:J183" si="15">10^(I132)</f>
        <v>8.5606928002003287E-4</v>
      </c>
      <c r="L132" s="1"/>
    </row>
    <row r="133" spans="1:12" x14ac:dyDescent="0.25">
      <c r="A133">
        <v>7</v>
      </c>
      <c r="B133">
        <v>307.07220000000001</v>
      </c>
      <c r="C133">
        <v>89.999660000000006</v>
      </c>
      <c r="D133">
        <v>18.04196</v>
      </c>
      <c r="E133">
        <v>7.4197389999999999</v>
      </c>
      <c r="G133" s="2">
        <v>1</v>
      </c>
      <c r="H133" s="2">
        <f t="shared" si="14"/>
        <v>0</v>
      </c>
      <c r="I133" s="2">
        <f t="shared" si="13"/>
        <v>-2.9</v>
      </c>
      <c r="J133" s="78">
        <f t="shared" si="15"/>
        <v>1.2589254117941662E-3</v>
      </c>
      <c r="L133" s="1"/>
    </row>
    <row r="134" spans="1:12" x14ac:dyDescent="0.25">
      <c r="A134">
        <v>7</v>
      </c>
      <c r="B134">
        <v>307.42200000000003</v>
      </c>
      <c r="C134">
        <v>89.999920000000003</v>
      </c>
      <c r="D134">
        <v>19.574839999999998</v>
      </c>
      <c r="E134">
        <v>9.1727740000000004</v>
      </c>
      <c r="G134" s="2">
        <v>1.5</v>
      </c>
      <c r="H134" s="2">
        <f t="shared" si="14"/>
        <v>0.17609125905568124</v>
      </c>
      <c r="I134" s="2">
        <f t="shared" si="13"/>
        <v>-2.7239087409443186</v>
      </c>
      <c r="J134" s="78">
        <f t="shared" si="15"/>
        <v>1.8883881176912499E-3</v>
      </c>
      <c r="L134" s="1"/>
    </row>
    <row r="135" spans="1:12" x14ac:dyDescent="0.25">
      <c r="A135">
        <v>7</v>
      </c>
      <c r="B135">
        <v>309.04340000000002</v>
      </c>
      <c r="C135">
        <v>89.999840000000006</v>
      </c>
      <c r="D135">
        <v>21.40222</v>
      </c>
      <c r="E135">
        <v>11.299189999999999</v>
      </c>
      <c r="G135" s="2">
        <v>2.2000000000000002</v>
      </c>
      <c r="H135" s="2">
        <f t="shared" si="14"/>
        <v>0.34242268082220628</v>
      </c>
      <c r="I135" s="2">
        <f t="shared" si="13"/>
        <v>-2.5575773191777937</v>
      </c>
      <c r="J135" s="78">
        <f t="shared" si="15"/>
        <v>2.7696359059471661E-3</v>
      </c>
      <c r="L135" s="1"/>
    </row>
    <row r="136" spans="1:12" x14ac:dyDescent="0.25">
      <c r="A136">
        <v>7</v>
      </c>
      <c r="B136">
        <v>310.93360000000001</v>
      </c>
      <c r="C136">
        <v>90.000309999999999</v>
      </c>
      <c r="D136">
        <v>23.618490000000001</v>
      </c>
      <c r="E136">
        <v>13.912470000000001</v>
      </c>
      <c r="G136" s="2">
        <v>3.2</v>
      </c>
      <c r="H136" s="2">
        <f t="shared" si="14"/>
        <v>0.50514997831990605</v>
      </c>
      <c r="I136" s="2">
        <f t="shared" si="13"/>
        <v>-2.3948500216800941</v>
      </c>
      <c r="J136" s="78">
        <f t="shared" si="15"/>
        <v>4.0285613177413332E-3</v>
      </c>
      <c r="L136" s="1"/>
    </row>
    <row r="137" spans="1:12" x14ac:dyDescent="0.25">
      <c r="A137">
        <v>7</v>
      </c>
      <c r="B137">
        <v>312.82740000000001</v>
      </c>
      <c r="C137">
        <v>89.99991</v>
      </c>
      <c r="D137">
        <v>26.281099999999999</v>
      </c>
      <c r="E137">
        <v>17.0487</v>
      </c>
      <c r="G137" s="2">
        <v>4.5999999999999996</v>
      </c>
      <c r="H137" s="2">
        <f t="shared" si="14"/>
        <v>0.66275783168157409</v>
      </c>
      <c r="I137" s="2">
        <f t="shared" si="13"/>
        <v>-2.237242168318426</v>
      </c>
      <c r="J137" s="78">
        <f t="shared" si="15"/>
        <v>5.7910568942531639E-3</v>
      </c>
      <c r="L137" s="1"/>
    </row>
    <row r="138" spans="1:12" x14ac:dyDescent="0.25">
      <c r="A138">
        <v>7</v>
      </c>
      <c r="B138">
        <v>314.73349999999999</v>
      </c>
      <c r="C138">
        <v>89.999880000000005</v>
      </c>
      <c r="D138">
        <v>29.867999999999999</v>
      </c>
      <c r="E138">
        <v>21.229299999999999</v>
      </c>
      <c r="G138" s="2">
        <v>6.8</v>
      </c>
      <c r="H138" s="2">
        <f t="shared" si="14"/>
        <v>0.83250891270623628</v>
      </c>
      <c r="I138" s="2">
        <f t="shared" si="13"/>
        <v>-2.0674910872937637</v>
      </c>
      <c r="J138" s="78">
        <f t="shared" si="15"/>
        <v>8.5606928002003313E-3</v>
      </c>
      <c r="L138" s="1"/>
    </row>
    <row r="139" spans="1:12" x14ac:dyDescent="0.25">
      <c r="A139">
        <v>7</v>
      </c>
      <c r="B139">
        <v>315.28980000000001</v>
      </c>
      <c r="C139">
        <v>90.000060000000005</v>
      </c>
      <c r="D139">
        <v>34.3065</v>
      </c>
      <c r="E139">
        <v>26.311520000000002</v>
      </c>
      <c r="G139" s="2">
        <v>10</v>
      </c>
      <c r="H139" s="2">
        <f t="shared" si="14"/>
        <v>1</v>
      </c>
      <c r="I139" s="2">
        <f t="shared" si="13"/>
        <v>-1.9</v>
      </c>
      <c r="J139" s="78">
        <f t="shared" si="15"/>
        <v>1.2589254117941664E-2</v>
      </c>
      <c r="L139" s="1"/>
    </row>
    <row r="140" spans="1:12" x14ac:dyDescent="0.25">
      <c r="A140">
        <v>7</v>
      </c>
      <c r="B140">
        <v>316.14589999999998</v>
      </c>
      <c r="C140">
        <v>90.000119999999995</v>
      </c>
      <c r="D140">
        <v>39.740299999999998</v>
      </c>
      <c r="E140">
        <v>32.428939999999997</v>
      </c>
      <c r="G140" s="2">
        <v>14.6</v>
      </c>
      <c r="H140" s="2">
        <f t="shared" si="14"/>
        <v>1.1643528557844371</v>
      </c>
      <c r="I140" s="2">
        <f t="shared" si="13"/>
        <v>-1.7356471442155628</v>
      </c>
      <c r="J140" s="78">
        <f t="shared" si="15"/>
        <v>1.8380311012194839E-2</v>
      </c>
      <c r="L140" s="1"/>
    </row>
    <row r="141" spans="1:12" x14ac:dyDescent="0.25">
      <c r="A141">
        <v>7</v>
      </c>
      <c r="B141">
        <v>316.6354</v>
      </c>
      <c r="C141">
        <v>90.000159999999994</v>
      </c>
      <c r="D141">
        <v>47.036020000000001</v>
      </c>
      <c r="E141">
        <v>40.149410000000003</v>
      </c>
      <c r="G141" s="2">
        <v>21.5</v>
      </c>
      <c r="H141" s="2">
        <f t="shared" si="14"/>
        <v>1.3324384599156054</v>
      </c>
      <c r="I141" s="2">
        <f t="shared" si="13"/>
        <v>-1.5675615400843945</v>
      </c>
      <c r="J141" s="78">
        <f t="shared" si="15"/>
        <v>2.7066896353574597E-2</v>
      </c>
      <c r="L141" s="1"/>
    </row>
    <row r="142" spans="1:12" x14ac:dyDescent="0.25">
      <c r="A142">
        <v>7</v>
      </c>
      <c r="B142">
        <v>317.41680000000002</v>
      </c>
      <c r="C142">
        <v>89.99991</v>
      </c>
      <c r="D142">
        <v>56.865499999999997</v>
      </c>
      <c r="E142">
        <v>49.295020000000001</v>
      </c>
      <c r="G142" s="2">
        <v>31.6</v>
      </c>
      <c r="H142" s="2">
        <f t="shared" si="14"/>
        <v>1.4996870826184039</v>
      </c>
      <c r="I142" s="2">
        <f t="shared" si="13"/>
        <v>-1.400312917381596</v>
      </c>
      <c r="J142" s="78">
        <f t="shared" si="15"/>
        <v>3.9782043012695688E-2</v>
      </c>
      <c r="L142" s="1"/>
    </row>
    <row r="143" spans="1:12" x14ac:dyDescent="0.25">
      <c r="A143">
        <v>7</v>
      </c>
      <c r="B143">
        <v>318.11880000000002</v>
      </c>
      <c r="C143">
        <v>90.000200000000007</v>
      </c>
      <c r="D143">
        <v>66.214699999999993</v>
      </c>
      <c r="E143">
        <v>58.72251</v>
      </c>
      <c r="G143" s="2">
        <v>46.4</v>
      </c>
      <c r="H143" s="2">
        <f t="shared" si="14"/>
        <v>1.6665179805548809</v>
      </c>
      <c r="I143" s="2">
        <f t="shared" si="13"/>
        <v>-1.233482019445119</v>
      </c>
      <c r="J143" s="78">
        <f t="shared" si="15"/>
        <v>5.8414139107249366E-2</v>
      </c>
      <c r="L143" s="1"/>
    </row>
    <row r="144" spans="1:12" x14ac:dyDescent="0.25">
      <c r="A144">
        <v>7</v>
      </c>
      <c r="B144">
        <v>318.4812</v>
      </c>
      <c r="C144">
        <v>90.000789999999995</v>
      </c>
      <c r="D144">
        <v>82.694180000000003</v>
      </c>
      <c r="E144">
        <v>70.440939999999998</v>
      </c>
      <c r="G144" s="2">
        <v>68</v>
      </c>
      <c r="H144" s="2">
        <f t="shared" si="14"/>
        <v>1.8325089127062364</v>
      </c>
      <c r="I144" s="2">
        <f t="shared" si="13"/>
        <v>-1.0674910872937635</v>
      </c>
      <c r="J144" s="78">
        <f t="shared" si="15"/>
        <v>8.5606928002003368E-2</v>
      </c>
    </row>
    <row r="145" spans="1:12" x14ac:dyDescent="0.25">
      <c r="A145">
        <v>7</v>
      </c>
      <c r="B145">
        <v>318.68869999999998</v>
      </c>
      <c r="C145">
        <v>90.000579999999999</v>
      </c>
      <c r="D145">
        <v>93.186419999999998</v>
      </c>
      <c r="E145">
        <v>84.691739999999996</v>
      </c>
      <c r="G145" s="2">
        <v>100</v>
      </c>
      <c r="H145" s="2">
        <f t="shared" si="14"/>
        <v>2</v>
      </c>
      <c r="I145" s="2">
        <f t="shared" si="13"/>
        <v>-0.89999999999999991</v>
      </c>
      <c r="J145" s="78">
        <f t="shared" si="15"/>
        <v>0.12589254117941673</v>
      </c>
      <c r="L145" s="1"/>
    </row>
    <row r="146" spans="1:12" x14ac:dyDescent="0.25">
      <c r="A146" s="2">
        <f>V39</f>
        <v>3.6</v>
      </c>
      <c r="B146">
        <v>328.3433</v>
      </c>
      <c r="C146">
        <v>94.966130000000007</v>
      </c>
      <c r="D146">
        <v>10.840529999999999</v>
      </c>
      <c r="E146">
        <v>1.8038940000000001</v>
      </c>
      <c r="G146" s="2">
        <v>0.1</v>
      </c>
      <c r="H146" s="2">
        <f t="shared" si="14"/>
        <v>-1</v>
      </c>
      <c r="I146" s="2">
        <f>H146-$A$146</f>
        <v>-4.5999999999999996</v>
      </c>
      <c r="J146" s="78">
        <f t="shared" si="15"/>
        <v>2.5118864315095791E-5</v>
      </c>
      <c r="L146" s="1"/>
    </row>
    <row r="147" spans="1:12" x14ac:dyDescent="0.25">
      <c r="A147">
        <v>8</v>
      </c>
      <c r="B147">
        <v>330.71210000000002</v>
      </c>
      <c r="C147">
        <v>94.997879999999995</v>
      </c>
      <c r="D147">
        <v>11.172079999999999</v>
      </c>
      <c r="E147">
        <v>1.945776</v>
      </c>
      <c r="G147" s="2">
        <v>0.15</v>
      </c>
      <c r="H147" s="2">
        <f t="shared" si="14"/>
        <v>-0.82390874094431876</v>
      </c>
      <c r="I147" s="2">
        <f t="shared" ref="I147:I164" si="16">H147-$A$146</f>
        <v>-4.4239087409443192</v>
      </c>
      <c r="J147" s="78">
        <f t="shared" si="15"/>
        <v>3.7678296472643657E-5</v>
      </c>
      <c r="L147" s="1"/>
    </row>
    <row r="148" spans="1:12" x14ac:dyDescent="0.25">
      <c r="A148">
        <v>8</v>
      </c>
      <c r="B148">
        <v>338.0872</v>
      </c>
      <c r="C148">
        <v>94.999750000000006</v>
      </c>
      <c r="D148">
        <v>11.54082</v>
      </c>
      <c r="E148">
        <v>2.1154069999999998</v>
      </c>
      <c r="G148" s="2">
        <v>0.22</v>
      </c>
      <c r="H148" s="2">
        <f t="shared" si="14"/>
        <v>-0.65757731917779372</v>
      </c>
      <c r="I148" s="2">
        <f t="shared" si="16"/>
        <v>-4.2575773191777939</v>
      </c>
      <c r="J148" s="78">
        <f t="shared" si="15"/>
        <v>5.5261501493210685E-5</v>
      </c>
      <c r="L148" s="1"/>
    </row>
    <row r="149" spans="1:12" x14ac:dyDescent="0.25">
      <c r="A149">
        <v>8</v>
      </c>
      <c r="B149">
        <v>346.46269999999998</v>
      </c>
      <c r="C149">
        <v>94.999719999999996</v>
      </c>
      <c r="D149">
        <v>12.055260000000001</v>
      </c>
      <c r="E149">
        <v>2.354365</v>
      </c>
      <c r="G149" s="2">
        <v>0.32</v>
      </c>
      <c r="H149" s="2">
        <f t="shared" si="14"/>
        <v>-0.49485002168009401</v>
      </c>
      <c r="I149" s="2">
        <f t="shared" si="16"/>
        <v>-4.0948500216800943</v>
      </c>
      <c r="J149" s="78">
        <f t="shared" si="15"/>
        <v>8.0380365808306484E-5</v>
      </c>
      <c r="L149" s="1"/>
    </row>
    <row r="150" spans="1:12" x14ac:dyDescent="0.25">
      <c r="A150">
        <v>8</v>
      </c>
      <c r="B150">
        <v>354.83850000000001</v>
      </c>
      <c r="C150">
        <v>94.99991</v>
      </c>
      <c r="D150">
        <v>12.625249999999999</v>
      </c>
      <c r="E150">
        <v>2.6566179999999999</v>
      </c>
      <c r="G150" s="2">
        <v>0.46</v>
      </c>
      <c r="H150" s="2">
        <f t="shared" si="14"/>
        <v>-0.33724216831842591</v>
      </c>
      <c r="I150" s="2">
        <f t="shared" si="16"/>
        <v>-3.9372421683184262</v>
      </c>
      <c r="J150" s="78">
        <f t="shared" si="15"/>
        <v>1.155467758494405E-4</v>
      </c>
      <c r="L150" s="1"/>
    </row>
    <row r="151" spans="1:12" x14ac:dyDescent="0.25">
      <c r="A151">
        <v>8</v>
      </c>
      <c r="B151">
        <v>363.21469999999999</v>
      </c>
      <c r="C151">
        <v>95.000150000000005</v>
      </c>
      <c r="D151">
        <v>13.29208</v>
      </c>
      <c r="E151">
        <v>3.0677319999999999</v>
      </c>
      <c r="G151" s="2">
        <v>0.68</v>
      </c>
      <c r="H151" s="2">
        <f t="shared" si="14"/>
        <v>-0.16749108729376366</v>
      </c>
      <c r="I151" s="2">
        <f t="shared" si="16"/>
        <v>-3.7674910872937639</v>
      </c>
      <c r="J151" s="78">
        <f t="shared" si="15"/>
        <v>1.7080827734265106E-4</v>
      </c>
      <c r="L151" s="1"/>
    </row>
    <row r="152" spans="1:12" x14ac:dyDescent="0.25">
      <c r="A152">
        <v>8</v>
      </c>
      <c r="B152">
        <v>365.0575</v>
      </c>
      <c r="C152">
        <v>94.999080000000006</v>
      </c>
      <c r="D152">
        <v>13.949859999999999</v>
      </c>
      <c r="E152">
        <v>3.5743149999999999</v>
      </c>
      <c r="G152" s="2">
        <v>1</v>
      </c>
      <c r="H152" s="2">
        <f t="shared" si="14"/>
        <v>0</v>
      </c>
      <c r="I152" s="2">
        <f t="shared" si="16"/>
        <v>-3.6</v>
      </c>
      <c r="J152" s="78">
        <f t="shared" si="15"/>
        <v>2.5118864315095774E-4</v>
      </c>
      <c r="L152" s="1"/>
    </row>
    <row r="153" spans="1:12" x14ac:dyDescent="0.25">
      <c r="A153">
        <v>8</v>
      </c>
      <c r="B153">
        <v>365.4006</v>
      </c>
      <c r="C153">
        <v>94.998909999999995</v>
      </c>
      <c r="D153">
        <v>14.71692</v>
      </c>
      <c r="E153">
        <v>4.2398660000000001</v>
      </c>
      <c r="G153" s="2">
        <v>1.5</v>
      </c>
      <c r="H153" s="2">
        <f t="shared" si="14"/>
        <v>0.17609125905568124</v>
      </c>
      <c r="I153" s="2">
        <f t="shared" si="16"/>
        <v>-3.4239087409443187</v>
      </c>
      <c r="J153" s="78">
        <f t="shared" si="15"/>
        <v>3.7678296472643669E-4</v>
      </c>
      <c r="L153" s="1"/>
    </row>
    <row r="154" spans="1:12" x14ac:dyDescent="0.25">
      <c r="A154">
        <v>8</v>
      </c>
      <c r="B154">
        <v>366.84480000000002</v>
      </c>
      <c r="C154">
        <v>95.000659999999996</v>
      </c>
      <c r="D154">
        <v>15.57686</v>
      </c>
      <c r="E154">
        <v>5.0601560000000001</v>
      </c>
      <c r="G154" s="2">
        <v>2.2000000000000002</v>
      </c>
      <c r="H154" s="2">
        <f t="shared" si="14"/>
        <v>0.34242268082220628</v>
      </c>
      <c r="I154" s="2">
        <f t="shared" si="16"/>
        <v>-3.2575773191777939</v>
      </c>
      <c r="J154" s="78">
        <f t="shared" si="15"/>
        <v>5.5261501493210699E-4</v>
      </c>
      <c r="L154" s="1"/>
    </row>
    <row r="155" spans="1:12" x14ac:dyDescent="0.25">
      <c r="A155">
        <v>8</v>
      </c>
      <c r="B155">
        <v>368.38799999999998</v>
      </c>
      <c r="C155">
        <v>95.000309999999999</v>
      </c>
      <c r="D155">
        <v>16.568660000000001</v>
      </c>
      <c r="E155">
        <v>6.0814950000000003</v>
      </c>
      <c r="G155" s="2">
        <v>3.2</v>
      </c>
      <c r="H155" s="2">
        <f t="shared" si="14"/>
        <v>0.50514997831990605</v>
      </c>
      <c r="I155" s="2">
        <f t="shared" si="16"/>
        <v>-3.0948500216800943</v>
      </c>
      <c r="J155" s="78">
        <f t="shared" si="15"/>
        <v>8.0380365808306489E-4</v>
      </c>
      <c r="L155" s="1"/>
    </row>
    <row r="156" spans="1:12" x14ac:dyDescent="0.25">
      <c r="A156">
        <v>8</v>
      </c>
      <c r="B156">
        <v>370.10070000000002</v>
      </c>
      <c r="C156">
        <v>94.999619999999993</v>
      </c>
      <c r="D156">
        <v>17.71621</v>
      </c>
      <c r="E156">
        <v>7.343286</v>
      </c>
      <c r="G156" s="2">
        <v>4.5999999999999996</v>
      </c>
      <c r="H156" s="2">
        <f t="shared" si="14"/>
        <v>0.66275783168157409</v>
      </c>
      <c r="I156" s="2">
        <f t="shared" si="16"/>
        <v>-2.9372421683184262</v>
      </c>
      <c r="J156" s="78">
        <f t="shared" si="15"/>
        <v>1.1554677584944054E-3</v>
      </c>
      <c r="L156" s="1"/>
    </row>
    <row r="157" spans="1:12" x14ac:dyDescent="0.25">
      <c r="A157">
        <v>8</v>
      </c>
      <c r="B157">
        <v>371.81599999999997</v>
      </c>
      <c r="C157">
        <v>94.999989999999997</v>
      </c>
      <c r="D157">
        <v>19.217590000000001</v>
      </c>
      <c r="E157">
        <v>9.065042</v>
      </c>
      <c r="G157" s="2">
        <v>6.8</v>
      </c>
      <c r="H157" s="2">
        <f t="shared" si="14"/>
        <v>0.83250891270623628</v>
      </c>
      <c r="I157" s="2">
        <f t="shared" si="16"/>
        <v>-2.7674910872937639</v>
      </c>
      <c r="J157" s="78">
        <f t="shared" si="15"/>
        <v>1.7080827734265126E-3</v>
      </c>
      <c r="L157" s="1"/>
    </row>
    <row r="158" spans="1:12" x14ac:dyDescent="0.25">
      <c r="A158">
        <v>8</v>
      </c>
      <c r="B158">
        <v>372.33519999999999</v>
      </c>
      <c r="C158">
        <v>95.00009</v>
      </c>
      <c r="D158">
        <v>21.028659999999999</v>
      </c>
      <c r="E158">
        <v>11.242470000000001</v>
      </c>
      <c r="G158" s="2">
        <v>10</v>
      </c>
      <c r="H158" s="2">
        <f t="shared" si="14"/>
        <v>1</v>
      </c>
      <c r="I158" s="2">
        <f t="shared" si="16"/>
        <v>-2.6</v>
      </c>
      <c r="J158" s="78">
        <f t="shared" si="15"/>
        <v>2.5118864315095777E-3</v>
      </c>
      <c r="L158" s="1"/>
    </row>
    <row r="159" spans="1:12" x14ac:dyDescent="0.25">
      <c r="A159">
        <v>8</v>
      </c>
      <c r="B159">
        <v>373.08800000000002</v>
      </c>
      <c r="C159">
        <v>94.999880000000005</v>
      </c>
      <c r="D159">
        <v>23.16968</v>
      </c>
      <c r="E159">
        <v>13.97002</v>
      </c>
      <c r="G159" s="2">
        <v>14.6</v>
      </c>
      <c r="H159" s="2">
        <f t="shared" si="14"/>
        <v>1.1643528557844371</v>
      </c>
      <c r="I159" s="2">
        <f t="shared" si="16"/>
        <v>-2.4356471442155629</v>
      </c>
      <c r="J159" s="78">
        <f t="shared" si="15"/>
        <v>3.667354190003985E-3</v>
      </c>
      <c r="L159" s="1"/>
    </row>
    <row r="160" spans="1:12" x14ac:dyDescent="0.25">
      <c r="A160">
        <v>8</v>
      </c>
      <c r="B160">
        <v>373.53300000000002</v>
      </c>
      <c r="C160">
        <v>95.000119999999995</v>
      </c>
      <c r="D160">
        <v>26.229649999999999</v>
      </c>
      <c r="E160">
        <v>17.68216</v>
      </c>
      <c r="G160" s="2">
        <v>21.5</v>
      </c>
      <c r="H160" s="2">
        <f t="shared" si="14"/>
        <v>1.3324384599156054</v>
      </c>
      <c r="I160" s="2">
        <f t="shared" si="16"/>
        <v>-2.2675615400843947</v>
      </c>
      <c r="J160" s="78">
        <f t="shared" si="15"/>
        <v>5.400555827745593E-3</v>
      </c>
      <c r="L160" s="1"/>
    </row>
    <row r="161" spans="1:12" x14ac:dyDescent="0.25">
      <c r="A161">
        <v>8</v>
      </c>
      <c r="B161">
        <v>374.13499999999999</v>
      </c>
      <c r="C161">
        <v>94.999989999999997</v>
      </c>
      <c r="D161">
        <v>30.73208</v>
      </c>
      <c r="E161">
        <v>22.280259999999998</v>
      </c>
      <c r="G161" s="2">
        <v>31.6</v>
      </c>
      <c r="H161" s="2">
        <f t="shared" si="14"/>
        <v>1.4996870826184039</v>
      </c>
      <c r="I161" s="2">
        <f t="shared" si="16"/>
        <v>-2.1003129173815962</v>
      </c>
      <c r="J161" s="78">
        <f t="shared" si="15"/>
        <v>7.9375611235702713E-3</v>
      </c>
      <c r="L161" s="1"/>
    </row>
    <row r="162" spans="1:12" x14ac:dyDescent="0.25">
      <c r="A162">
        <v>8</v>
      </c>
      <c r="B162">
        <v>375.00900000000001</v>
      </c>
      <c r="C162">
        <v>95.000360000000001</v>
      </c>
      <c r="D162">
        <v>33.46902</v>
      </c>
      <c r="E162">
        <v>26.675319999999999</v>
      </c>
      <c r="G162" s="2">
        <v>46.4</v>
      </c>
      <c r="H162" s="2">
        <f t="shared" si="14"/>
        <v>1.6665179805548809</v>
      </c>
      <c r="I162" s="2">
        <f t="shared" si="16"/>
        <v>-1.9334820194451192</v>
      </c>
      <c r="J162" s="78">
        <f t="shared" si="15"/>
        <v>1.1655153042204448E-2</v>
      </c>
      <c r="L162" s="1"/>
    </row>
    <row r="163" spans="1:12" x14ac:dyDescent="0.25">
      <c r="A163">
        <v>8</v>
      </c>
      <c r="B163">
        <v>375.34949999999998</v>
      </c>
      <c r="C163">
        <v>95.000579999999999</v>
      </c>
      <c r="D163">
        <v>41.88494</v>
      </c>
      <c r="E163">
        <v>33.07141</v>
      </c>
      <c r="G163" s="2">
        <v>68</v>
      </c>
      <c r="H163" s="2">
        <f t="shared" si="14"/>
        <v>1.8325089127062364</v>
      </c>
      <c r="I163" s="2">
        <f t="shared" si="16"/>
        <v>-1.7674910872937637</v>
      </c>
      <c r="J163" s="78">
        <f t="shared" si="15"/>
        <v>1.7080827734265145E-2</v>
      </c>
      <c r="L163" s="1"/>
    </row>
    <row r="164" spans="1:12" x14ac:dyDescent="0.25">
      <c r="A164">
        <v>8</v>
      </c>
      <c r="B164">
        <v>375.55500000000001</v>
      </c>
      <c r="C164">
        <v>95.000219999999999</v>
      </c>
      <c r="D164">
        <v>42.713520000000003</v>
      </c>
      <c r="E164">
        <v>41.69464</v>
      </c>
      <c r="G164" s="2">
        <v>100</v>
      </c>
      <c r="H164" s="2">
        <f t="shared" si="14"/>
        <v>2</v>
      </c>
      <c r="I164" s="2">
        <f t="shared" si="16"/>
        <v>-1.6</v>
      </c>
      <c r="J164" s="78">
        <f t="shared" si="15"/>
        <v>2.511886431509578E-2</v>
      </c>
      <c r="L164" s="1"/>
    </row>
    <row r="165" spans="1:12" x14ac:dyDescent="0.25">
      <c r="A165" s="2">
        <f>V40</f>
        <v>4.2</v>
      </c>
      <c r="B165">
        <v>388.01749999999998</v>
      </c>
      <c r="C165">
        <v>99.989620000000002</v>
      </c>
      <c r="D165">
        <v>9.2533480000000008</v>
      </c>
      <c r="E165">
        <v>1.373254</v>
      </c>
      <c r="G165" s="2">
        <v>0.1</v>
      </c>
      <c r="H165" s="2">
        <f t="shared" si="14"/>
        <v>-1</v>
      </c>
      <c r="I165" s="2">
        <f>H165-$A$165</f>
        <v>-5.2</v>
      </c>
      <c r="J165" s="78">
        <f t="shared" si="15"/>
        <v>6.3095734448019212E-6</v>
      </c>
      <c r="L165" s="1"/>
    </row>
    <row r="166" spans="1:12" x14ac:dyDescent="0.25">
      <c r="A166">
        <v>9</v>
      </c>
      <c r="B166">
        <v>391.05840000000001</v>
      </c>
      <c r="C166">
        <v>100.0003</v>
      </c>
      <c r="D166">
        <v>9.5517459999999996</v>
      </c>
      <c r="E166">
        <v>1.4501310000000001</v>
      </c>
      <c r="G166" s="2">
        <v>0.15</v>
      </c>
      <c r="H166" s="2">
        <f t="shared" si="14"/>
        <v>-0.82390874094431876</v>
      </c>
      <c r="I166" s="2">
        <f t="shared" ref="I166:I183" si="17">H166-$A$165</f>
        <v>-5.0239087409443188</v>
      </c>
      <c r="J166" s="78">
        <f t="shared" si="15"/>
        <v>9.4643601672028919E-6</v>
      </c>
      <c r="L166" s="1"/>
    </row>
    <row r="167" spans="1:12" x14ac:dyDescent="0.25">
      <c r="A167">
        <v>9</v>
      </c>
      <c r="B167">
        <v>397.59589999999997</v>
      </c>
      <c r="C167">
        <v>99.999679999999998</v>
      </c>
      <c r="D167">
        <v>9.8949809999999996</v>
      </c>
      <c r="E167">
        <v>1.54061</v>
      </c>
      <c r="G167" s="2">
        <v>0.22</v>
      </c>
      <c r="H167" s="2">
        <f t="shared" si="14"/>
        <v>-0.65757731917779372</v>
      </c>
      <c r="I167" s="2">
        <f t="shared" si="17"/>
        <v>-4.8575773191777936</v>
      </c>
      <c r="J167" s="78">
        <f t="shared" si="15"/>
        <v>1.3881061578564237E-5</v>
      </c>
      <c r="L167" s="1"/>
    </row>
    <row r="168" spans="1:12" x14ac:dyDescent="0.25">
      <c r="A168">
        <v>9</v>
      </c>
      <c r="B168">
        <v>405.97070000000002</v>
      </c>
      <c r="C168">
        <v>99.99991</v>
      </c>
      <c r="D168">
        <v>10.31288</v>
      </c>
      <c r="E168">
        <v>1.6575599999999999</v>
      </c>
      <c r="G168" s="2">
        <v>0.32</v>
      </c>
      <c r="H168" s="2">
        <f t="shared" si="14"/>
        <v>-0.49485002168009401</v>
      </c>
      <c r="I168" s="2">
        <f t="shared" si="17"/>
        <v>-4.6948500216800939</v>
      </c>
      <c r="J168" s="78">
        <f t="shared" si="15"/>
        <v>2.0190635023366168E-5</v>
      </c>
      <c r="L168" s="1"/>
    </row>
    <row r="169" spans="1:12" x14ac:dyDescent="0.25">
      <c r="A169">
        <v>9</v>
      </c>
      <c r="B169">
        <v>414.34559999999999</v>
      </c>
      <c r="C169">
        <v>99.99991</v>
      </c>
      <c r="D169">
        <v>10.75249</v>
      </c>
      <c r="E169">
        <v>1.7984899999999999</v>
      </c>
      <c r="G169" s="2">
        <v>0.46</v>
      </c>
      <c r="H169" s="2">
        <f t="shared" si="14"/>
        <v>-0.33724216831842591</v>
      </c>
      <c r="I169" s="2">
        <f t="shared" si="17"/>
        <v>-4.5372421683184259</v>
      </c>
      <c r="J169" s="78">
        <f t="shared" si="15"/>
        <v>2.9024037846088861E-5</v>
      </c>
      <c r="L169" s="1"/>
    </row>
    <row r="170" spans="1:12" x14ac:dyDescent="0.25">
      <c r="A170">
        <v>9</v>
      </c>
      <c r="B170">
        <v>422.72059999999999</v>
      </c>
      <c r="C170">
        <v>100.0003</v>
      </c>
      <c r="D170">
        <v>11.24316</v>
      </c>
      <c r="E170">
        <v>1.9846079999999999</v>
      </c>
      <c r="G170" s="2">
        <v>0.68</v>
      </c>
      <c r="H170" s="2">
        <f t="shared" si="14"/>
        <v>-0.16749108729376366</v>
      </c>
      <c r="I170" s="2">
        <f t="shared" si="17"/>
        <v>-4.3674910872937636</v>
      </c>
      <c r="J170" s="78">
        <f t="shared" si="15"/>
        <v>4.2905099424653145E-5</v>
      </c>
      <c r="L170" s="1"/>
    </row>
    <row r="171" spans="1:12" x14ac:dyDescent="0.25">
      <c r="A171">
        <v>9</v>
      </c>
      <c r="B171">
        <v>424.56180000000001</v>
      </c>
      <c r="C171">
        <v>99.99991</v>
      </c>
      <c r="D171">
        <v>11.70074</v>
      </c>
      <c r="E171">
        <v>2.202979</v>
      </c>
      <c r="G171" s="2">
        <v>1</v>
      </c>
      <c r="H171" s="2">
        <f t="shared" si="14"/>
        <v>0</v>
      </c>
      <c r="I171" s="2">
        <f t="shared" si="17"/>
        <v>-4.2</v>
      </c>
      <c r="J171" s="78">
        <f t="shared" si="15"/>
        <v>6.3095734448019279E-5</v>
      </c>
      <c r="L171" s="1"/>
    </row>
    <row r="172" spans="1:12" x14ac:dyDescent="0.25">
      <c r="A172">
        <v>9</v>
      </c>
      <c r="B172">
        <v>424.90320000000003</v>
      </c>
      <c r="C172">
        <v>99.999369999999999</v>
      </c>
      <c r="D172">
        <v>12.21129</v>
      </c>
      <c r="E172">
        <v>2.4912339999999999</v>
      </c>
      <c r="G172" s="2">
        <v>1.5</v>
      </c>
      <c r="H172" s="2">
        <f t="shared" si="14"/>
        <v>0.17609125905568124</v>
      </c>
      <c r="I172" s="2">
        <f t="shared" si="17"/>
        <v>-4.0239087409443188</v>
      </c>
      <c r="J172" s="78">
        <f t="shared" si="15"/>
        <v>9.4643601672028858E-5</v>
      </c>
      <c r="L172" s="1"/>
    </row>
    <row r="173" spans="1:12" x14ac:dyDescent="0.25">
      <c r="A173">
        <v>9</v>
      </c>
      <c r="B173">
        <v>426.34519999999998</v>
      </c>
      <c r="C173">
        <v>100.0001</v>
      </c>
      <c r="D173">
        <v>12.753500000000001</v>
      </c>
      <c r="E173">
        <v>2.8425980000000002</v>
      </c>
      <c r="G173" s="2">
        <v>2.2000000000000002</v>
      </c>
      <c r="H173" s="2">
        <f t="shared" si="14"/>
        <v>0.34242268082220628</v>
      </c>
      <c r="I173" s="2">
        <f t="shared" si="17"/>
        <v>-3.857577319177794</v>
      </c>
      <c r="J173" s="78">
        <f t="shared" si="15"/>
        <v>1.3881061578564229E-4</v>
      </c>
      <c r="L173" s="1"/>
    </row>
    <row r="174" spans="1:12" x14ac:dyDescent="0.25">
      <c r="A174">
        <v>9</v>
      </c>
      <c r="B174">
        <v>428.05430000000001</v>
      </c>
      <c r="C174">
        <v>99.999989999999997</v>
      </c>
      <c r="D174">
        <v>13.34796</v>
      </c>
      <c r="E174">
        <v>3.2802159999999998</v>
      </c>
      <c r="G174" s="2">
        <v>3.2</v>
      </c>
      <c r="H174" s="2">
        <f t="shared" si="14"/>
        <v>0.50514997831990605</v>
      </c>
      <c r="I174" s="2">
        <f t="shared" si="17"/>
        <v>-3.6948500216800939</v>
      </c>
      <c r="J174" s="78">
        <f t="shared" si="15"/>
        <v>2.0190635023366153E-4</v>
      </c>
      <c r="L174" s="1"/>
    </row>
    <row r="175" spans="1:12" x14ac:dyDescent="0.25">
      <c r="A175">
        <v>9</v>
      </c>
      <c r="B175">
        <v>429.76400000000001</v>
      </c>
      <c r="C175">
        <v>100.00060000000001</v>
      </c>
      <c r="D175">
        <v>14.00217</v>
      </c>
      <c r="E175">
        <v>3.8197380000000001</v>
      </c>
      <c r="G175" s="2">
        <v>4.5999999999999996</v>
      </c>
      <c r="H175" s="2">
        <f t="shared" si="14"/>
        <v>0.66275783168157409</v>
      </c>
      <c r="I175" s="2">
        <f t="shared" si="17"/>
        <v>-3.5372421683184259</v>
      </c>
      <c r="J175" s="78">
        <f t="shared" si="15"/>
        <v>2.9024037846088892E-4</v>
      </c>
      <c r="L175" s="1"/>
    </row>
    <row r="176" spans="1:12" x14ac:dyDescent="0.25">
      <c r="A176">
        <v>9</v>
      </c>
      <c r="B176">
        <v>431.47480000000002</v>
      </c>
      <c r="C176">
        <v>99.99982</v>
      </c>
      <c r="D176">
        <v>14.81527</v>
      </c>
      <c r="E176">
        <v>4.5681570000000002</v>
      </c>
      <c r="G176" s="2">
        <v>6.8</v>
      </c>
      <c r="H176" s="2">
        <f t="shared" si="14"/>
        <v>0.83250891270623628</v>
      </c>
      <c r="I176" s="2">
        <f t="shared" si="17"/>
        <v>-3.367491087293764</v>
      </c>
      <c r="J176" s="78">
        <f t="shared" si="15"/>
        <v>4.2905099424653069E-4</v>
      </c>
      <c r="L176" s="1"/>
    </row>
    <row r="177" spans="1:12" x14ac:dyDescent="0.25">
      <c r="A177">
        <v>9</v>
      </c>
      <c r="B177">
        <v>431.98779999999999</v>
      </c>
      <c r="C177">
        <v>99.999719999999996</v>
      </c>
      <c r="D177">
        <v>15.74677</v>
      </c>
      <c r="E177">
        <v>5.5310600000000001</v>
      </c>
      <c r="G177" s="2">
        <v>10</v>
      </c>
      <c r="H177" s="2">
        <f t="shared" si="14"/>
        <v>1</v>
      </c>
      <c r="I177" s="2">
        <f t="shared" si="17"/>
        <v>-3.2</v>
      </c>
      <c r="J177" s="78">
        <f t="shared" si="15"/>
        <v>6.3095734448019244E-4</v>
      </c>
      <c r="L177" s="1"/>
    </row>
    <row r="178" spans="1:12" x14ac:dyDescent="0.25">
      <c r="A178">
        <v>9</v>
      </c>
      <c r="B178">
        <v>432.90600000000001</v>
      </c>
      <c r="C178">
        <v>99.999920000000003</v>
      </c>
      <c r="D178">
        <v>16.791910000000001</v>
      </c>
      <c r="E178">
        <v>6.8060790000000004</v>
      </c>
      <c r="G178" s="2">
        <v>14.6</v>
      </c>
      <c r="H178" s="2">
        <f t="shared" si="14"/>
        <v>1.1643528557844371</v>
      </c>
      <c r="I178" s="2">
        <f t="shared" si="17"/>
        <v>-3.035647144215563</v>
      </c>
      <c r="J178" s="78">
        <f t="shared" si="15"/>
        <v>9.2119772294108114E-4</v>
      </c>
      <c r="L178" s="1"/>
    </row>
    <row r="179" spans="1:12" x14ac:dyDescent="0.25">
      <c r="A179">
        <v>9</v>
      </c>
      <c r="B179">
        <v>433.30799999999999</v>
      </c>
      <c r="C179">
        <v>100.00020000000001</v>
      </c>
      <c r="D179">
        <v>18.40692</v>
      </c>
      <c r="E179">
        <v>8.6757179999999998</v>
      </c>
      <c r="G179" s="2">
        <v>21.5</v>
      </c>
      <c r="H179" s="2">
        <f t="shared" si="14"/>
        <v>1.3324384599156054</v>
      </c>
      <c r="I179" s="2">
        <f t="shared" si="17"/>
        <v>-2.8675615400843948</v>
      </c>
      <c r="J179" s="78">
        <f t="shared" si="15"/>
        <v>1.3565582906324136E-3</v>
      </c>
      <c r="L179" s="1"/>
    </row>
    <row r="180" spans="1:12" x14ac:dyDescent="0.25">
      <c r="A180">
        <v>9</v>
      </c>
      <c r="B180">
        <v>434.08179999999999</v>
      </c>
      <c r="C180">
        <v>99.999970000000005</v>
      </c>
      <c r="D180">
        <v>21.012599999999999</v>
      </c>
      <c r="E180">
        <v>11.0222</v>
      </c>
      <c r="G180" s="2">
        <v>31.6</v>
      </c>
      <c r="H180" s="2">
        <f t="shared" si="14"/>
        <v>1.4996870826184039</v>
      </c>
      <c r="I180" s="2">
        <f t="shared" si="17"/>
        <v>-2.7003129173815963</v>
      </c>
      <c r="J180" s="78">
        <f t="shared" si="15"/>
        <v>1.993825208557409E-3</v>
      </c>
      <c r="L180" s="1"/>
    </row>
    <row r="181" spans="1:12" x14ac:dyDescent="0.25">
      <c r="A181">
        <v>9</v>
      </c>
      <c r="B181">
        <v>434.9556</v>
      </c>
      <c r="C181">
        <v>100.0004</v>
      </c>
      <c r="D181">
        <v>21.310020000000002</v>
      </c>
      <c r="E181">
        <v>12.69904</v>
      </c>
      <c r="G181" s="2">
        <v>46.4</v>
      </c>
      <c r="H181" s="2">
        <f t="shared" si="14"/>
        <v>1.6665179805548809</v>
      </c>
      <c r="I181" s="2">
        <f t="shared" si="17"/>
        <v>-2.5334820194451195</v>
      </c>
      <c r="J181" s="78">
        <f t="shared" si="15"/>
        <v>2.9276420783880914E-3</v>
      </c>
      <c r="L181" s="1"/>
    </row>
    <row r="182" spans="1:12" x14ac:dyDescent="0.25">
      <c r="A182">
        <v>9</v>
      </c>
      <c r="B182">
        <v>435.27620000000002</v>
      </c>
      <c r="C182">
        <v>100.0003</v>
      </c>
      <c r="D182">
        <v>26.674689999999998</v>
      </c>
      <c r="E182">
        <v>15.90512</v>
      </c>
      <c r="G182" s="2">
        <v>68</v>
      </c>
      <c r="H182" s="2">
        <f t="shared" si="14"/>
        <v>1.8325089127062364</v>
      </c>
      <c r="I182" s="2">
        <f t="shared" si="17"/>
        <v>-2.3674910872937636</v>
      </c>
      <c r="J182" s="78">
        <f t="shared" si="15"/>
        <v>4.290509942465312E-3</v>
      </c>
      <c r="L182" s="1"/>
    </row>
    <row r="183" spans="1:12" x14ac:dyDescent="0.25">
      <c r="A183">
        <v>9</v>
      </c>
      <c r="B183">
        <v>435.46319999999997</v>
      </c>
      <c r="C183">
        <v>100.0005</v>
      </c>
      <c r="D183">
        <v>23.490760000000002</v>
      </c>
      <c r="E183">
        <v>20.726479999999999</v>
      </c>
      <c r="G183" s="2">
        <v>100</v>
      </c>
      <c r="H183" s="2">
        <f t="shared" si="14"/>
        <v>2</v>
      </c>
      <c r="I183" s="2">
        <f t="shared" si="17"/>
        <v>-2.2000000000000002</v>
      </c>
      <c r="J183" s="78">
        <f t="shared" si="15"/>
        <v>6.3095734448019251E-3</v>
      </c>
      <c r="L183" s="1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V186"/>
  <sheetViews>
    <sheetView zoomScale="90" zoomScaleNormal="90" workbookViewId="0">
      <selection activeCell="T6" sqref="T6:V46"/>
    </sheetView>
  </sheetViews>
  <sheetFormatPr defaultRowHeight="15" x14ac:dyDescent="0.25"/>
  <cols>
    <col min="16" max="16" width="11" bestFit="1" customWidth="1"/>
    <col min="17" max="17" width="11.7109375" customWidth="1"/>
    <col min="18" max="18" width="10.7109375" customWidth="1"/>
    <col min="19" max="19" width="3.28515625" customWidth="1"/>
    <col min="20" max="22" width="11.7109375" customWidth="1"/>
    <col min="23" max="23" width="5" customWidth="1"/>
  </cols>
  <sheetData>
    <row r="1" spans="2:22" x14ac:dyDescent="0.25">
      <c r="P1" s="82" t="s">
        <v>50</v>
      </c>
      <c r="Q1" s="82"/>
      <c r="R1" s="82"/>
      <c r="T1" s="82" t="s">
        <v>51</v>
      </c>
      <c r="U1" s="82"/>
      <c r="V1" s="82"/>
    </row>
    <row r="3" spans="2:22" x14ac:dyDescent="0.25">
      <c r="P3" s="44" t="s">
        <v>48</v>
      </c>
      <c r="Q3" s="44" t="s">
        <v>46</v>
      </c>
      <c r="R3" s="44" t="s">
        <v>3</v>
      </c>
      <c r="T3" s="44" t="s">
        <v>48</v>
      </c>
      <c r="U3" s="44" t="s">
        <v>46</v>
      </c>
      <c r="V3" s="44" t="s">
        <v>3</v>
      </c>
    </row>
    <row r="4" spans="2:22" x14ac:dyDescent="0.25">
      <c r="B4" t="s">
        <v>49</v>
      </c>
      <c r="P4" s="44" t="s">
        <v>45</v>
      </c>
      <c r="Q4" s="44" t="s">
        <v>47</v>
      </c>
      <c r="R4" s="44" t="s">
        <v>47</v>
      </c>
      <c r="T4" s="44" t="s">
        <v>45</v>
      </c>
      <c r="U4" s="44" t="s">
        <v>47</v>
      </c>
      <c r="V4" s="44" t="s">
        <v>47</v>
      </c>
    </row>
    <row r="6" spans="2:22" x14ac:dyDescent="0.25">
      <c r="P6" s="43">
        <v>6.3095734448019212E-6</v>
      </c>
      <c r="Q6">
        <v>9.2533480000000008</v>
      </c>
      <c r="R6">
        <v>1.373254</v>
      </c>
      <c r="T6" s="53">
        <v>6.3095734448019212E-6</v>
      </c>
      <c r="U6" s="43">
        <v>9.2533480000000008</v>
      </c>
      <c r="V6" s="43">
        <v>1.373254</v>
      </c>
    </row>
    <row r="7" spans="2:22" x14ac:dyDescent="0.25">
      <c r="P7" s="43">
        <v>9.4643601672028919E-6</v>
      </c>
      <c r="Q7">
        <v>9.5517459999999996</v>
      </c>
      <c r="R7">
        <v>1.4501310000000001</v>
      </c>
      <c r="T7" s="53">
        <v>1.3881061578564237E-5</v>
      </c>
      <c r="U7" s="43">
        <v>9.8949809999999996</v>
      </c>
      <c r="V7" s="43">
        <v>1.54061</v>
      </c>
    </row>
    <row r="8" spans="2:22" x14ac:dyDescent="0.25">
      <c r="P8" s="43">
        <v>1.3881061578564237E-5</v>
      </c>
      <c r="Q8">
        <v>9.8949809999999996</v>
      </c>
      <c r="R8">
        <v>1.54061</v>
      </c>
      <c r="T8" s="53">
        <v>2.9024037846088861E-5</v>
      </c>
      <c r="U8" s="43">
        <v>10.75249</v>
      </c>
      <c r="V8" s="43">
        <v>1.7984899999999999</v>
      </c>
    </row>
    <row r="9" spans="2:22" x14ac:dyDescent="0.25">
      <c r="P9" s="43">
        <v>2.0190635023366168E-5</v>
      </c>
      <c r="Q9">
        <v>10.31288</v>
      </c>
      <c r="R9">
        <v>1.6575599999999999</v>
      </c>
      <c r="T9" s="53">
        <v>6.3095734448019279E-5</v>
      </c>
      <c r="U9" s="43">
        <v>11.70074</v>
      </c>
      <c r="V9" s="43">
        <v>2.202979</v>
      </c>
    </row>
    <row r="10" spans="2:22" x14ac:dyDescent="0.25">
      <c r="P10" s="43">
        <v>2.5118864315095791E-5</v>
      </c>
      <c r="Q10">
        <v>10.840529999999999</v>
      </c>
      <c r="R10">
        <v>1.8038940000000001</v>
      </c>
      <c r="T10" s="53">
        <v>1.3881061578564229E-4</v>
      </c>
      <c r="U10" s="43">
        <v>12.753500000000001</v>
      </c>
      <c r="V10" s="43">
        <v>2.8425980000000002</v>
      </c>
    </row>
    <row r="11" spans="2:22" x14ac:dyDescent="0.25">
      <c r="P11" s="43">
        <v>2.9024037846088861E-5</v>
      </c>
      <c r="Q11">
        <v>10.75249</v>
      </c>
      <c r="R11">
        <v>1.7984899999999999</v>
      </c>
      <c r="T11" s="53">
        <v>2.9024037846088892E-4</v>
      </c>
      <c r="U11" s="43">
        <v>14.00217</v>
      </c>
      <c r="V11" s="43">
        <v>3.8197380000000001</v>
      </c>
    </row>
    <row r="12" spans="2:22" x14ac:dyDescent="0.25">
      <c r="P12" s="43">
        <v>3.7678296472643657E-5</v>
      </c>
      <c r="Q12">
        <v>11.172079999999999</v>
      </c>
      <c r="R12">
        <v>1.945776</v>
      </c>
      <c r="T12" s="53">
        <v>6.3095734448019244E-4</v>
      </c>
      <c r="U12" s="43">
        <v>15.74677</v>
      </c>
      <c r="V12" s="43">
        <v>5.5310600000000001</v>
      </c>
    </row>
    <row r="13" spans="2:22" x14ac:dyDescent="0.25">
      <c r="P13" s="43">
        <v>4.2905099424653145E-5</v>
      </c>
      <c r="Q13">
        <v>11.24316</v>
      </c>
      <c r="R13">
        <v>1.9846079999999999</v>
      </c>
      <c r="T13" s="53">
        <v>1.3565582906324136E-3</v>
      </c>
      <c r="U13" s="43">
        <v>18.40692</v>
      </c>
      <c r="V13" s="43">
        <v>8.6757179999999998</v>
      </c>
    </row>
    <row r="14" spans="2:22" x14ac:dyDescent="0.25">
      <c r="P14" s="43">
        <v>5.5261501493210685E-5</v>
      </c>
      <c r="Q14">
        <v>11.54082</v>
      </c>
      <c r="R14">
        <v>2.1154069999999998</v>
      </c>
      <c r="T14" s="53">
        <v>2.5118864315095777E-3</v>
      </c>
      <c r="U14" s="43">
        <v>21.028659999999999</v>
      </c>
      <c r="V14" s="43">
        <v>11.242470000000001</v>
      </c>
    </row>
    <row r="15" spans="2:22" x14ac:dyDescent="0.25">
      <c r="P15" s="43">
        <v>6.3095734448019279E-5</v>
      </c>
      <c r="Q15">
        <v>11.70074</v>
      </c>
      <c r="R15">
        <v>2.202979</v>
      </c>
      <c r="T15" s="53">
        <v>5.400555827745593E-3</v>
      </c>
      <c r="U15" s="43">
        <v>26.229649999999999</v>
      </c>
      <c r="V15" s="43">
        <v>17.68216</v>
      </c>
    </row>
    <row r="16" spans="2:22" x14ac:dyDescent="0.25">
      <c r="P16" s="43">
        <v>8.0380365808306484E-5</v>
      </c>
      <c r="Q16">
        <v>12.055260000000001</v>
      </c>
      <c r="R16">
        <v>2.354365</v>
      </c>
      <c r="T16" s="53">
        <v>1.2589254117941664E-2</v>
      </c>
      <c r="U16" s="43">
        <v>34.3065</v>
      </c>
      <c r="V16" s="43">
        <v>26.311520000000002</v>
      </c>
    </row>
    <row r="17" spans="16:22" x14ac:dyDescent="0.25">
      <c r="P17" s="43">
        <v>9.4643601672028858E-5</v>
      </c>
      <c r="Q17">
        <v>12.21129</v>
      </c>
      <c r="R17">
        <v>2.4912339999999999</v>
      </c>
      <c r="T17" s="53">
        <v>2.7066896353574597E-2</v>
      </c>
      <c r="U17" s="43">
        <v>47.036020000000001</v>
      </c>
      <c r="V17" s="43">
        <v>40.149410000000003</v>
      </c>
    </row>
    <row r="18" spans="16:22" x14ac:dyDescent="0.25">
      <c r="P18" s="43">
        <v>1.155467758494405E-4</v>
      </c>
      <c r="Q18">
        <v>12.625249999999999</v>
      </c>
      <c r="R18">
        <v>2.6566179999999999</v>
      </c>
      <c r="T18" s="53">
        <v>5.8414139107249366E-2</v>
      </c>
      <c r="U18" s="43">
        <v>66.214699999999993</v>
      </c>
      <c r="V18" s="43">
        <v>58.72251</v>
      </c>
    </row>
    <row r="19" spans="16:22" x14ac:dyDescent="0.25">
      <c r="P19" s="43">
        <v>1.2589254117941672E-4</v>
      </c>
      <c r="Q19">
        <v>12.72977</v>
      </c>
      <c r="R19">
        <v>2.7742100000000001</v>
      </c>
      <c r="T19" s="53">
        <v>8.5606928002003368E-2</v>
      </c>
      <c r="U19" s="43">
        <v>82.694180000000003</v>
      </c>
      <c r="V19" s="43">
        <v>70.440939999999998</v>
      </c>
    </row>
    <row r="20" spans="16:22" x14ac:dyDescent="0.25">
      <c r="P20" s="43">
        <v>1.3881061578564229E-4</v>
      </c>
      <c r="Q20">
        <v>12.753500000000001</v>
      </c>
      <c r="R20">
        <v>2.8425980000000002</v>
      </c>
      <c r="T20" s="53">
        <v>0.13881061578564249</v>
      </c>
      <c r="U20" s="43">
        <v>106.28270000000001</v>
      </c>
      <c r="V20" s="43">
        <v>85.75788</v>
      </c>
    </row>
    <row r="21" spans="16:22" x14ac:dyDescent="0.25">
      <c r="P21" s="43">
        <v>1.7080827734265106E-4</v>
      </c>
      <c r="Q21">
        <v>13.29208</v>
      </c>
      <c r="R21">
        <v>3.0677319999999999</v>
      </c>
      <c r="T21" s="53">
        <v>0.21999999999999997</v>
      </c>
      <c r="U21" s="43">
        <v>128.88489999999999</v>
      </c>
      <c r="V21" s="43">
        <v>99.651840000000007</v>
      </c>
    </row>
    <row r="22" spans="16:22" x14ac:dyDescent="0.25">
      <c r="P22" s="43">
        <v>1.8883881176912494E-4</v>
      </c>
      <c r="Q22">
        <v>13.23512</v>
      </c>
      <c r="R22">
        <v>3.129928</v>
      </c>
      <c r="T22" s="53">
        <v>0.36856830091206649</v>
      </c>
      <c r="U22" s="43">
        <v>159.84639999999999</v>
      </c>
      <c r="V22" s="43">
        <v>120.6722</v>
      </c>
    </row>
    <row r="23" spans="16:22" x14ac:dyDescent="0.25">
      <c r="P23" s="43">
        <v>2.0190635023366153E-4</v>
      </c>
      <c r="Q23">
        <v>13.34796</v>
      </c>
      <c r="R23">
        <v>3.2802159999999998</v>
      </c>
      <c r="T23" s="53">
        <v>0.67999999999999994</v>
      </c>
      <c r="U23" s="43">
        <v>215.51169999999999</v>
      </c>
      <c r="V23" s="43">
        <v>137.9513</v>
      </c>
    </row>
    <row r="24" spans="16:22" x14ac:dyDescent="0.25">
      <c r="P24" s="43">
        <v>2.5118864315095774E-4</v>
      </c>
      <c r="Q24">
        <v>13.949859999999999</v>
      </c>
      <c r="R24">
        <v>3.5743149999999999</v>
      </c>
      <c r="T24" s="53">
        <v>1.5</v>
      </c>
      <c r="U24" s="43">
        <v>288.8802</v>
      </c>
      <c r="V24" s="43">
        <v>162.28559999999999</v>
      </c>
    </row>
    <row r="25" spans="16:22" x14ac:dyDescent="0.25">
      <c r="P25" s="43">
        <v>2.7696359059471655E-4</v>
      </c>
      <c r="Q25">
        <v>13.8683</v>
      </c>
      <c r="R25">
        <v>3.5810629999999999</v>
      </c>
      <c r="T25" s="53">
        <v>3.2000000000000006</v>
      </c>
      <c r="U25" s="43">
        <v>369.19830000000002</v>
      </c>
      <c r="V25" s="43">
        <v>182.34350000000001</v>
      </c>
    </row>
    <row r="26" spans="16:22" x14ac:dyDescent="0.25">
      <c r="P26" s="43">
        <v>2.9024037846088892E-4</v>
      </c>
      <c r="Q26">
        <v>14.00217</v>
      </c>
      <c r="R26">
        <v>3.8197380000000001</v>
      </c>
      <c r="T26" s="53">
        <v>6.8000000000000007</v>
      </c>
      <c r="U26" s="43">
        <v>456.12299999999999</v>
      </c>
      <c r="V26" s="43">
        <v>198.3502</v>
      </c>
    </row>
    <row r="27" spans="16:22" x14ac:dyDescent="0.25">
      <c r="P27" s="43">
        <v>3.7678296472643669E-4</v>
      </c>
      <c r="Q27">
        <v>14.71692</v>
      </c>
      <c r="R27">
        <v>4.2398660000000001</v>
      </c>
      <c r="T27" s="53">
        <v>18.312929845460879</v>
      </c>
      <c r="U27" s="43">
        <v>577.97180000000003</v>
      </c>
      <c r="V27" s="43">
        <v>201.3202</v>
      </c>
    </row>
    <row r="28" spans="16:22" x14ac:dyDescent="0.25">
      <c r="P28" s="43">
        <v>4.0285613177413321E-4</v>
      </c>
      <c r="Q28">
        <v>14.694319999999999</v>
      </c>
      <c r="R28">
        <v>4.2150499999999997</v>
      </c>
      <c r="T28" s="53">
        <v>31.600000000000012</v>
      </c>
      <c r="U28" s="43">
        <v>643.90800000000002</v>
      </c>
      <c r="V28" s="43">
        <v>219.5342</v>
      </c>
    </row>
    <row r="29" spans="16:22" x14ac:dyDescent="0.25">
      <c r="P29" s="43">
        <v>4.2905099424653069E-4</v>
      </c>
      <c r="Q29">
        <v>14.81527</v>
      </c>
      <c r="R29">
        <v>4.5681570000000002</v>
      </c>
      <c r="T29" s="53">
        <v>59.71607558302464</v>
      </c>
      <c r="U29" s="43">
        <v>723.61030000000005</v>
      </c>
      <c r="V29" s="43">
        <v>205.49760000000001</v>
      </c>
    </row>
    <row r="30" spans="16:22" x14ac:dyDescent="0.25">
      <c r="P30" s="43">
        <v>5.5261501493210699E-4</v>
      </c>
      <c r="Q30">
        <v>15.57686</v>
      </c>
      <c r="R30">
        <v>5.0601560000000001</v>
      </c>
      <c r="T30" s="53">
        <v>127.39429457711913</v>
      </c>
      <c r="U30" s="43">
        <v>811.76710000000003</v>
      </c>
      <c r="V30" s="43">
        <v>205.13499999999999</v>
      </c>
    </row>
    <row r="31" spans="16:22" x14ac:dyDescent="0.25">
      <c r="P31" s="43">
        <v>5.7910568942531632E-4</v>
      </c>
      <c r="Q31">
        <v>15.627800000000001</v>
      </c>
      <c r="R31">
        <v>5.00739</v>
      </c>
      <c r="T31" s="53">
        <v>270.71287597637831</v>
      </c>
      <c r="U31" s="43">
        <v>898.55489999999998</v>
      </c>
      <c r="V31" s="43">
        <v>203.3218</v>
      </c>
    </row>
    <row r="32" spans="16:22" x14ac:dyDescent="0.25">
      <c r="P32" s="43">
        <v>6.3095734448019244E-4</v>
      </c>
      <c r="Q32">
        <v>15.74677</v>
      </c>
      <c r="R32">
        <v>5.5310600000000001</v>
      </c>
      <c r="T32" s="53">
        <v>556.02976430699744</v>
      </c>
      <c r="U32" s="43">
        <v>1003.414</v>
      </c>
      <c r="V32" s="43">
        <v>224.62479999999999</v>
      </c>
    </row>
    <row r="33" spans="16:22" x14ac:dyDescent="0.25">
      <c r="P33" s="43">
        <v>7.9432823472428099E-4</v>
      </c>
      <c r="Q33">
        <v>15.760260000000001</v>
      </c>
      <c r="R33">
        <v>5.8354929999999996</v>
      </c>
      <c r="T33" s="53">
        <v>1191.4923520864234</v>
      </c>
      <c r="U33" s="43">
        <v>1110.02</v>
      </c>
      <c r="V33" s="43">
        <v>214.2122</v>
      </c>
    </row>
    <row r="34" spans="16:22" x14ac:dyDescent="0.25">
      <c r="P34" s="43">
        <v>8.0380365808306489E-4</v>
      </c>
      <c r="Q34">
        <v>16.568660000000001</v>
      </c>
      <c r="R34">
        <v>6.0814950000000003</v>
      </c>
      <c r="T34" s="53">
        <v>2541.8503511177009</v>
      </c>
      <c r="U34" s="43">
        <v>1210.2940000000001</v>
      </c>
      <c r="V34" s="43">
        <v>203.24809999999999</v>
      </c>
    </row>
    <row r="35" spans="16:22" x14ac:dyDescent="0.25">
      <c r="P35" s="43">
        <v>8.5606928002003287E-4</v>
      </c>
      <c r="Q35">
        <v>16.794060000000002</v>
      </c>
      <c r="R35">
        <v>6.0963240000000001</v>
      </c>
      <c r="T35" s="53">
        <v>5401.4319961251185</v>
      </c>
      <c r="U35" s="43">
        <v>1304.481</v>
      </c>
      <c r="V35" s="43">
        <v>193.91489999999999</v>
      </c>
    </row>
    <row r="36" spans="16:22" x14ac:dyDescent="0.25">
      <c r="P36" s="43">
        <v>9.2119772294108114E-4</v>
      </c>
      <c r="Q36">
        <v>16.791910000000001</v>
      </c>
      <c r="R36">
        <v>6.8060790000000004</v>
      </c>
      <c r="T36" s="53">
        <v>11914.923520864215</v>
      </c>
      <c r="U36" s="43">
        <v>1395.328</v>
      </c>
      <c r="V36" s="43">
        <v>186.58260000000001</v>
      </c>
    </row>
    <row r="37" spans="16:22" x14ac:dyDescent="0.25">
      <c r="P37" s="43">
        <v>1.1554677584944054E-3</v>
      </c>
      <c r="Q37">
        <v>17.71621</v>
      </c>
      <c r="R37">
        <v>7.343286</v>
      </c>
      <c r="T37" s="53">
        <v>25418.503511177038</v>
      </c>
      <c r="U37" s="43">
        <v>1480.018</v>
      </c>
      <c r="V37" s="43">
        <v>179.56540000000001</v>
      </c>
    </row>
    <row r="38" spans="16:22" x14ac:dyDescent="0.25">
      <c r="P38" s="43">
        <v>1.1914923520864218E-3</v>
      </c>
      <c r="Q38">
        <v>16.85425</v>
      </c>
      <c r="R38">
        <v>6.9912520000000002</v>
      </c>
      <c r="T38" s="53">
        <v>54014.319961251145</v>
      </c>
      <c r="U38" s="43">
        <v>1562.296</v>
      </c>
      <c r="V38" s="43">
        <v>175.7621</v>
      </c>
    </row>
    <row r="39" spans="16:22" x14ac:dyDescent="0.25">
      <c r="P39" s="43">
        <v>1.2589254117941662E-3</v>
      </c>
      <c r="Q39">
        <v>18.04196</v>
      </c>
      <c r="R39">
        <v>7.4197389999999999</v>
      </c>
      <c r="T39" s="53">
        <v>115971.92226974518</v>
      </c>
      <c r="U39" s="43">
        <v>1643.249</v>
      </c>
      <c r="V39" s="43">
        <v>172.90360000000001</v>
      </c>
    </row>
    <row r="40" spans="16:22" x14ac:dyDescent="0.25">
      <c r="P40" s="43">
        <v>1.3565582906324136E-3</v>
      </c>
      <c r="Q40">
        <v>18.40692</v>
      </c>
      <c r="R40">
        <v>8.6757179999999998</v>
      </c>
      <c r="T40" s="53">
        <v>251007.72217287341</v>
      </c>
      <c r="U40" s="43">
        <v>1724.9110000000001</v>
      </c>
      <c r="V40" s="43">
        <v>171.94540000000001</v>
      </c>
    </row>
    <row r="41" spans="16:22" x14ac:dyDescent="0.25">
      <c r="P41" s="43">
        <v>1.7080827734265126E-3</v>
      </c>
      <c r="Q41">
        <v>19.217590000000001</v>
      </c>
      <c r="R41">
        <v>9.065042</v>
      </c>
      <c r="T41" s="53">
        <v>540143.19961251202</v>
      </c>
      <c r="U41" s="43">
        <v>1801.5840000000001</v>
      </c>
      <c r="V41" s="43">
        <v>169.36510000000001</v>
      </c>
    </row>
    <row r="42" spans="16:22" x14ac:dyDescent="0.25">
      <c r="P42" s="43">
        <v>1.7475221163934182E-3</v>
      </c>
      <c r="Q42">
        <v>18.297920000000001</v>
      </c>
      <c r="R42">
        <v>8.4394159999999996</v>
      </c>
      <c r="T42" s="53">
        <v>1500000.0000000037</v>
      </c>
      <c r="U42" s="43">
        <v>1877.809</v>
      </c>
      <c r="V42" s="43">
        <v>129.7192</v>
      </c>
    </row>
    <row r="43" spans="16:22" x14ac:dyDescent="0.25">
      <c r="P43" s="43">
        <v>1.8883881176912499E-3</v>
      </c>
      <c r="Q43">
        <v>19.574839999999998</v>
      </c>
      <c r="R43">
        <v>9.1727740000000004</v>
      </c>
      <c r="T43" s="53">
        <v>4600000.0000000093</v>
      </c>
      <c r="U43" s="43">
        <v>1966.98</v>
      </c>
      <c r="V43" s="43">
        <v>125.2085</v>
      </c>
    </row>
    <row r="44" spans="16:22" x14ac:dyDescent="0.25">
      <c r="P44" s="43">
        <v>1.993825208557409E-3</v>
      </c>
      <c r="Q44">
        <v>21.012599999999999</v>
      </c>
      <c r="R44">
        <v>11.0222</v>
      </c>
      <c r="T44" s="53">
        <v>14600000.000000028</v>
      </c>
      <c r="U44" s="43">
        <v>2056.576</v>
      </c>
      <c r="V44" s="43">
        <v>124.0275</v>
      </c>
    </row>
    <row r="45" spans="16:22" x14ac:dyDescent="0.25">
      <c r="P45" s="43">
        <v>2.5118864315095777E-3</v>
      </c>
      <c r="Q45">
        <v>21.028659999999999</v>
      </c>
      <c r="R45">
        <v>11.242470000000001</v>
      </c>
      <c r="T45" s="53">
        <v>46400000.000000134</v>
      </c>
      <c r="U45" s="43">
        <v>2145.627</v>
      </c>
      <c r="V45" s="43">
        <v>124.6859</v>
      </c>
    </row>
    <row r="46" spans="16:22" x14ac:dyDescent="0.25">
      <c r="P46" s="43">
        <v>2.5418503511176979E-3</v>
      </c>
      <c r="Q46">
        <v>20.205469999999998</v>
      </c>
      <c r="R46">
        <v>10.434699999999999</v>
      </c>
      <c r="T46" s="53">
        <v>100000000</v>
      </c>
      <c r="U46" s="43">
        <v>2180.3760000000002</v>
      </c>
      <c r="V46" s="43">
        <v>128.73769999999999</v>
      </c>
    </row>
    <row r="47" spans="16:22" x14ac:dyDescent="0.25">
      <c r="P47" s="43">
        <v>2.7696359059471661E-3</v>
      </c>
      <c r="Q47">
        <v>21.40222</v>
      </c>
      <c r="R47">
        <v>11.299189999999999</v>
      </c>
    </row>
    <row r="48" spans="16:22" x14ac:dyDescent="0.25">
      <c r="P48" s="43">
        <v>2.9276420783880914E-3</v>
      </c>
      <c r="Q48">
        <v>21.310020000000002</v>
      </c>
      <c r="R48">
        <v>12.69904</v>
      </c>
    </row>
    <row r="49" spans="16:18" x14ac:dyDescent="0.25">
      <c r="P49" s="43">
        <v>3.6539098797316889E-3</v>
      </c>
      <c r="Q49">
        <v>22.499320000000001</v>
      </c>
      <c r="R49">
        <v>12.89852</v>
      </c>
    </row>
    <row r="50" spans="16:18" x14ac:dyDescent="0.25">
      <c r="P50" s="43">
        <v>3.667354190003985E-3</v>
      </c>
      <c r="Q50">
        <v>23.16968</v>
      </c>
      <c r="R50">
        <v>13.97002</v>
      </c>
    </row>
    <row r="51" spans="16:18" x14ac:dyDescent="0.25">
      <c r="P51" s="43">
        <v>4.0285613177413332E-3</v>
      </c>
      <c r="Q51">
        <v>23.618490000000001</v>
      </c>
      <c r="R51">
        <v>13.912470000000001</v>
      </c>
    </row>
    <row r="52" spans="16:18" x14ac:dyDescent="0.25">
      <c r="P52" s="43">
        <v>4.290509942465312E-3</v>
      </c>
      <c r="Q52">
        <v>26.674689999999998</v>
      </c>
      <c r="R52">
        <v>15.90512</v>
      </c>
    </row>
    <row r="53" spans="16:18" x14ac:dyDescent="0.25">
      <c r="P53" s="43">
        <v>5.400555827745593E-3</v>
      </c>
      <c r="Q53">
        <v>26.229649999999999</v>
      </c>
      <c r="R53">
        <v>17.68216</v>
      </c>
    </row>
    <row r="54" spans="16:18" x14ac:dyDescent="0.25">
      <c r="P54" s="43">
        <v>5.4014319961251068E-3</v>
      </c>
      <c r="Q54">
        <v>25.484500000000001</v>
      </c>
      <c r="R54">
        <v>16.191189999999999</v>
      </c>
    </row>
    <row r="55" spans="16:18" x14ac:dyDescent="0.25">
      <c r="P55" s="43">
        <v>5.7910568942531639E-3</v>
      </c>
      <c r="Q55">
        <v>26.281099999999999</v>
      </c>
      <c r="R55">
        <v>17.0487</v>
      </c>
    </row>
    <row r="56" spans="16:18" x14ac:dyDescent="0.25">
      <c r="P56" s="43">
        <v>6.3095734448019251E-3</v>
      </c>
      <c r="Q56">
        <v>26.106940000000002</v>
      </c>
      <c r="R56">
        <v>19.190460000000002</v>
      </c>
    </row>
    <row r="57" spans="16:18" x14ac:dyDescent="0.25">
      <c r="P57" s="43">
        <v>6.3095734448019251E-3</v>
      </c>
      <c r="Q57">
        <v>23.490760000000002</v>
      </c>
      <c r="R57">
        <v>20.726479999999999</v>
      </c>
    </row>
    <row r="58" spans="16:18" x14ac:dyDescent="0.25">
      <c r="P58" s="43">
        <v>7.9375611235702713E-3</v>
      </c>
      <c r="Q58">
        <v>30.73208</v>
      </c>
      <c r="R58">
        <v>22.280259999999998</v>
      </c>
    </row>
    <row r="59" spans="16:18" x14ac:dyDescent="0.25">
      <c r="P59" s="43">
        <v>7.9432823472428121E-3</v>
      </c>
      <c r="Q59">
        <v>28.851299999999998</v>
      </c>
      <c r="R59">
        <v>20.04044</v>
      </c>
    </row>
    <row r="60" spans="16:18" x14ac:dyDescent="0.25">
      <c r="P60" s="43">
        <v>8.5606928002003313E-3</v>
      </c>
      <c r="Q60">
        <v>29.867999999999999</v>
      </c>
      <c r="R60">
        <v>21.229299999999999</v>
      </c>
    </row>
    <row r="61" spans="16:18" x14ac:dyDescent="0.25">
      <c r="P61" s="43">
        <v>9.4643601672028902E-3</v>
      </c>
      <c r="Q61">
        <v>29.332159999999998</v>
      </c>
      <c r="R61">
        <v>22.786760000000001</v>
      </c>
    </row>
    <row r="62" spans="16:18" x14ac:dyDescent="0.25">
      <c r="P62" s="43">
        <v>1.1655153042204448E-2</v>
      </c>
      <c r="Q62">
        <v>33.46902</v>
      </c>
      <c r="R62">
        <v>26.675319999999999</v>
      </c>
    </row>
    <row r="63" spans="16:18" x14ac:dyDescent="0.25">
      <c r="P63" s="43">
        <v>1.1914923520864221E-2</v>
      </c>
      <c r="Q63">
        <v>33.267859999999999</v>
      </c>
      <c r="R63">
        <v>25.031140000000001</v>
      </c>
    </row>
    <row r="64" spans="16:18" x14ac:dyDescent="0.25">
      <c r="P64" s="43">
        <v>1.2589254117941664E-2</v>
      </c>
      <c r="Q64">
        <v>34.3065</v>
      </c>
      <c r="R64">
        <v>26.311520000000002</v>
      </c>
    </row>
    <row r="65" spans="16:18" x14ac:dyDescent="0.25">
      <c r="P65" s="43">
        <v>1.3881061578564249E-2</v>
      </c>
      <c r="Q65">
        <v>34.350360000000002</v>
      </c>
      <c r="R65">
        <v>27.979320000000001</v>
      </c>
    </row>
    <row r="66" spans="16:18" x14ac:dyDescent="0.25">
      <c r="P66" s="43">
        <v>1.7080827734265145E-2</v>
      </c>
      <c r="Q66">
        <v>41.88494</v>
      </c>
      <c r="R66">
        <v>33.07141</v>
      </c>
    </row>
    <row r="67" spans="16:18" x14ac:dyDescent="0.25">
      <c r="P67" s="43">
        <v>1.7475221163934188E-2</v>
      </c>
      <c r="Q67">
        <v>38.645040000000002</v>
      </c>
      <c r="R67">
        <v>30.78668</v>
      </c>
    </row>
    <row r="68" spans="16:18" x14ac:dyDescent="0.25">
      <c r="P68" s="43">
        <v>1.8380311012194839E-2</v>
      </c>
      <c r="Q68">
        <v>39.740299999999998</v>
      </c>
      <c r="R68">
        <v>32.428939999999997</v>
      </c>
    </row>
    <row r="69" spans="16:18" x14ac:dyDescent="0.25">
      <c r="P69" s="43">
        <v>2.0190635023366182E-2</v>
      </c>
      <c r="Q69">
        <v>41.194580000000002</v>
      </c>
      <c r="R69">
        <v>34.702199999999998</v>
      </c>
    </row>
    <row r="70" spans="16:18" x14ac:dyDescent="0.25">
      <c r="P70" s="43">
        <v>2.511886431509578E-2</v>
      </c>
      <c r="Q70">
        <v>42.713520000000003</v>
      </c>
      <c r="R70">
        <v>41.69464</v>
      </c>
    </row>
    <row r="71" spans="16:18" x14ac:dyDescent="0.25">
      <c r="P71" s="43">
        <v>2.5418503511176992E-2</v>
      </c>
      <c r="Q71">
        <v>45.243940000000002</v>
      </c>
      <c r="R71">
        <v>37.539099999999998</v>
      </c>
    </row>
    <row r="72" spans="16:18" x14ac:dyDescent="0.25">
      <c r="P72" s="43">
        <v>2.7066896353574597E-2</v>
      </c>
      <c r="Q72">
        <v>47.036020000000001</v>
      </c>
      <c r="R72">
        <v>40.149410000000003</v>
      </c>
    </row>
    <row r="73" spans="16:18" x14ac:dyDescent="0.25">
      <c r="P73" s="43">
        <v>2.9024037846088889E-2</v>
      </c>
      <c r="Q73">
        <v>49.47898</v>
      </c>
      <c r="R73">
        <v>42.382539999999999</v>
      </c>
    </row>
    <row r="74" spans="16:18" x14ac:dyDescent="0.25">
      <c r="P74" s="43">
        <v>3.6539098797316927E-2</v>
      </c>
      <c r="Q74">
        <v>53.181100000000001</v>
      </c>
      <c r="R74">
        <v>45.205889999999997</v>
      </c>
    </row>
    <row r="75" spans="16:18" x14ac:dyDescent="0.25">
      <c r="P75" s="43">
        <v>3.9782043012695688E-2</v>
      </c>
      <c r="Q75">
        <v>56.865499999999997</v>
      </c>
      <c r="R75">
        <v>49.295020000000001</v>
      </c>
    </row>
    <row r="76" spans="16:18" x14ac:dyDescent="0.25">
      <c r="P76" s="43">
        <v>4.2905099424653148E-2</v>
      </c>
      <c r="Q76">
        <v>60.372979999999998</v>
      </c>
      <c r="R76">
        <v>51.809249999999999</v>
      </c>
    </row>
    <row r="77" spans="16:18" x14ac:dyDescent="0.25">
      <c r="P77" s="43">
        <v>5.4014319961251098E-2</v>
      </c>
      <c r="Q77">
        <v>71.378810000000001</v>
      </c>
      <c r="R77">
        <v>60.91469</v>
      </c>
    </row>
    <row r="78" spans="16:18" x14ac:dyDescent="0.25">
      <c r="P78" s="43">
        <v>5.8414139107249366E-2</v>
      </c>
      <c r="Q78">
        <v>66.214699999999993</v>
      </c>
      <c r="R78">
        <v>58.72251</v>
      </c>
    </row>
    <row r="79" spans="16:18" x14ac:dyDescent="0.25">
      <c r="P79" s="43">
        <v>6.3095734448019317E-2</v>
      </c>
      <c r="Q79">
        <v>72.675399999999996</v>
      </c>
      <c r="R79">
        <v>61.88288</v>
      </c>
    </row>
    <row r="80" spans="16:18" x14ac:dyDescent="0.25">
      <c r="P80" s="43">
        <v>7.9432823472428096E-2</v>
      </c>
      <c r="Q80">
        <v>83.854939999999999</v>
      </c>
      <c r="R80">
        <v>70.977429999999998</v>
      </c>
    </row>
    <row r="81" spans="16:18" x14ac:dyDescent="0.25">
      <c r="P81" s="43">
        <v>8.5606928002003368E-2</v>
      </c>
      <c r="Q81">
        <v>82.694180000000003</v>
      </c>
      <c r="R81">
        <v>70.440939999999998</v>
      </c>
    </row>
    <row r="82" spans="16:18" x14ac:dyDescent="0.25">
      <c r="P82" s="43">
        <v>9.4643601672028968E-2</v>
      </c>
      <c r="Q82">
        <v>88.307119999999998</v>
      </c>
      <c r="R82">
        <v>73.680109999999999</v>
      </c>
    </row>
    <row r="83" spans="16:18" x14ac:dyDescent="0.25">
      <c r="P83" s="43">
        <v>0.1</v>
      </c>
      <c r="Q83">
        <v>93.074820000000003</v>
      </c>
      <c r="R83">
        <v>77.794880000000006</v>
      </c>
    </row>
    <row r="84" spans="16:18" x14ac:dyDescent="0.25">
      <c r="P84" s="43">
        <v>0.11597192226974508</v>
      </c>
      <c r="Q84">
        <v>97.681889999999996</v>
      </c>
      <c r="R84">
        <v>81.462389999999999</v>
      </c>
    </row>
    <row r="85" spans="16:18" x14ac:dyDescent="0.25">
      <c r="P85" s="43">
        <v>0.12589254117941673</v>
      </c>
      <c r="Q85">
        <v>93.186419999999998</v>
      </c>
      <c r="R85">
        <v>84.691739999999996</v>
      </c>
    </row>
    <row r="86" spans="16:18" x14ac:dyDescent="0.25">
      <c r="P86" s="43">
        <v>0.13881061578564249</v>
      </c>
      <c r="Q86">
        <v>106.28270000000001</v>
      </c>
      <c r="R86">
        <v>85.75788</v>
      </c>
    </row>
    <row r="87" spans="16:18" x14ac:dyDescent="0.25">
      <c r="P87" s="43">
        <v>0.14999999999999997</v>
      </c>
      <c r="Q87">
        <v>109.4228</v>
      </c>
      <c r="R87">
        <v>88.576490000000007</v>
      </c>
    </row>
    <row r="88" spans="16:18" x14ac:dyDescent="0.25">
      <c r="P88" s="43">
        <v>0.17078057046572045</v>
      </c>
      <c r="Q88">
        <v>116.0951</v>
      </c>
      <c r="R88">
        <v>94.334119999999999</v>
      </c>
    </row>
    <row r="89" spans="16:18" x14ac:dyDescent="0.25">
      <c r="P89" s="43">
        <v>0.20190635023366185</v>
      </c>
      <c r="Q89">
        <v>126.8644</v>
      </c>
      <c r="R89">
        <v>98.420450000000002</v>
      </c>
    </row>
    <row r="90" spans="16:18" x14ac:dyDescent="0.25">
      <c r="P90" s="43">
        <v>0.21999999999999997</v>
      </c>
      <c r="Q90">
        <v>128.88489999999999</v>
      </c>
      <c r="R90">
        <v>99.651840000000007</v>
      </c>
    </row>
    <row r="91" spans="16:18" x14ac:dyDescent="0.25">
      <c r="P91" s="43">
        <v>0.25100772217287293</v>
      </c>
      <c r="Q91">
        <v>137.6859</v>
      </c>
      <c r="R91">
        <v>107.71680000000001</v>
      </c>
    </row>
    <row r="92" spans="16:18" x14ac:dyDescent="0.25">
      <c r="P92" s="43">
        <v>0.2902403784608889</v>
      </c>
      <c r="Q92">
        <v>149.83449999999999</v>
      </c>
      <c r="R92">
        <v>111.2137</v>
      </c>
    </row>
    <row r="93" spans="16:18" x14ac:dyDescent="0.25">
      <c r="P93" s="43">
        <v>0.32</v>
      </c>
      <c r="Q93">
        <v>154.1653</v>
      </c>
      <c r="R93">
        <v>112.31480000000001</v>
      </c>
    </row>
    <row r="94" spans="16:18" x14ac:dyDescent="0.25">
      <c r="P94" s="43">
        <v>0.36856830091206649</v>
      </c>
      <c r="Q94">
        <v>159.84639999999999</v>
      </c>
      <c r="R94">
        <v>120.6722</v>
      </c>
    </row>
    <row r="95" spans="16:18" x14ac:dyDescent="0.25">
      <c r="P95" s="43">
        <v>0.42905099424653137</v>
      </c>
      <c r="Q95">
        <v>178.0198</v>
      </c>
      <c r="R95">
        <v>125.3484</v>
      </c>
    </row>
    <row r="96" spans="16:18" x14ac:dyDescent="0.25">
      <c r="P96" s="43">
        <v>0.46</v>
      </c>
      <c r="Q96">
        <v>182.3681</v>
      </c>
      <c r="R96">
        <v>124.90009999999999</v>
      </c>
    </row>
    <row r="97" spans="16:18" x14ac:dyDescent="0.25">
      <c r="P97" s="43">
        <v>0.54014319961251134</v>
      </c>
      <c r="Q97">
        <v>192.13980000000001</v>
      </c>
      <c r="R97">
        <v>135.83459999999999</v>
      </c>
    </row>
    <row r="98" spans="16:18" x14ac:dyDescent="0.25">
      <c r="P98" s="43">
        <v>0.63095734448019325</v>
      </c>
      <c r="Q98">
        <v>209.11369999999999</v>
      </c>
      <c r="R98">
        <v>139.40629999999999</v>
      </c>
    </row>
    <row r="99" spans="16:18" x14ac:dyDescent="0.25">
      <c r="P99" s="43">
        <v>0.67999999999999994</v>
      </c>
      <c r="Q99">
        <v>215.51169999999999</v>
      </c>
      <c r="R99">
        <v>137.9513</v>
      </c>
    </row>
    <row r="100" spans="16:18" x14ac:dyDescent="0.25">
      <c r="P100" s="43">
        <v>0.79432823472428127</v>
      </c>
      <c r="Q100">
        <v>219.71180000000001</v>
      </c>
      <c r="R100">
        <v>152.72120000000001</v>
      </c>
    </row>
    <row r="101" spans="16:18" x14ac:dyDescent="0.25">
      <c r="P101" s="43">
        <v>0.92119772294108238</v>
      </c>
      <c r="Q101">
        <v>242.95</v>
      </c>
      <c r="R101">
        <v>153.0369</v>
      </c>
    </row>
    <row r="102" spans="16:18" x14ac:dyDescent="0.25">
      <c r="P102" s="43">
        <v>1</v>
      </c>
      <c r="Q102">
        <v>249.88120000000001</v>
      </c>
      <c r="R102">
        <v>149.97290000000001</v>
      </c>
    </row>
    <row r="103" spans="16:18" x14ac:dyDescent="0.25">
      <c r="P103" s="43">
        <v>1.3565582906324158</v>
      </c>
      <c r="Q103">
        <v>280.86399999999998</v>
      </c>
      <c r="R103">
        <v>166.86959999999999</v>
      </c>
    </row>
    <row r="104" spans="16:18" x14ac:dyDescent="0.25">
      <c r="P104" s="43">
        <v>1.5</v>
      </c>
      <c r="Q104">
        <v>288.8802</v>
      </c>
      <c r="R104">
        <v>162.28559999999999</v>
      </c>
    </row>
    <row r="105" spans="16:18" x14ac:dyDescent="0.25">
      <c r="P105" s="43">
        <v>1.9938252085574113</v>
      </c>
      <c r="Q105">
        <v>322.17790000000002</v>
      </c>
      <c r="R105">
        <v>179.84540000000001</v>
      </c>
    </row>
    <row r="106" spans="16:18" x14ac:dyDescent="0.25">
      <c r="P106" s="43">
        <v>2.2000000000000006</v>
      </c>
      <c r="Q106">
        <v>328.45100000000002</v>
      </c>
      <c r="R106">
        <v>172.8466</v>
      </c>
    </row>
    <row r="107" spans="16:18" x14ac:dyDescent="0.25">
      <c r="P107" s="43">
        <v>2.927642078388097</v>
      </c>
      <c r="Q107">
        <v>362.35820000000001</v>
      </c>
      <c r="R107">
        <v>190.33090000000001</v>
      </c>
    </row>
    <row r="108" spans="16:18" x14ac:dyDescent="0.25">
      <c r="P108" s="43">
        <v>3.2000000000000006</v>
      </c>
      <c r="Q108">
        <v>369.19830000000002</v>
      </c>
      <c r="R108">
        <v>182.34350000000001</v>
      </c>
    </row>
    <row r="109" spans="16:18" x14ac:dyDescent="0.25">
      <c r="P109" s="43">
        <v>3.9810717055349736</v>
      </c>
      <c r="Q109">
        <v>493.78960000000001</v>
      </c>
      <c r="R109">
        <v>200.56100000000001</v>
      </c>
    </row>
    <row r="110" spans="16:18" x14ac:dyDescent="0.25">
      <c r="P110" s="43">
        <v>4.2905099424653157</v>
      </c>
      <c r="Q110">
        <v>408.33089999999999</v>
      </c>
      <c r="R110">
        <v>200.553</v>
      </c>
    </row>
    <row r="111" spans="16:18" x14ac:dyDescent="0.25">
      <c r="P111" s="43">
        <v>4.6000000000000014</v>
      </c>
      <c r="Q111">
        <v>410.37830000000002</v>
      </c>
      <c r="R111">
        <v>190.55709999999999</v>
      </c>
    </row>
    <row r="112" spans="16:18" x14ac:dyDescent="0.25">
      <c r="P112" s="43">
        <v>5.9716075583024599</v>
      </c>
      <c r="Q112">
        <v>473.6807</v>
      </c>
      <c r="R112">
        <v>194.85659999999999</v>
      </c>
    </row>
    <row r="113" spans="16:18" x14ac:dyDescent="0.25">
      <c r="P113" s="43">
        <v>6.3095734448019343</v>
      </c>
      <c r="Q113">
        <v>450.32170000000002</v>
      </c>
      <c r="R113">
        <v>211.7791</v>
      </c>
    </row>
    <row r="114" spans="16:18" x14ac:dyDescent="0.25">
      <c r="P114" s="43">
        <v>6.8000000000000007</v>
      </c>
      <c r="Q114">
        <v>456.12299999999999</v>
      </c>
      <c r="R114">
        <v>198.3502</v>
      </c>
    </row>
    <row r="115" spans="16:18" x14ac:dyDescent="0.25">
      <c r="P115" s="43">
        <v>8.7583577521769431</v>
      </c>
      <c r="Q115">
        <v>489.50259999999997</v>
      </c>
      <c r="R115">
        <v>195.88669999999999</v>
      </c>
    </row>
    <row r="116" spans="16:18" x14ac:dyDescent="0.25">
      <c r="P116" s="43">
        <v>10</v>
      </c>
      <c r="Q116">
        <v>502.37459999999999</v>
      </c>
      <c r="R116">
        <v>205.17660000000001</v>
      </c>
    </row>
    <row r="117" spans="16:18" x14ac:dyDescent="0.25">
      <c r="P117" s="43">
        <v>12.739429457711921</v>
      </c>
      <c r="Q117">
        <v>534.02890000000002</v>
      </c>
      <c r="R117">
        <v>198.8818</v>
      </c>
    </row>
    <row r="118" spans="16:18" x14ac:dyDescent="0.25">
      <c r="P118" s="43">
        <v>14.600000000000009</v>
      </c>
      <c r="Q118">
        <v>548.73760000000004</v>
      </c>
      <c r="R118">
        <v>210.61160000000001</v>
      </c>
    </row>
    <row r="119" spans="16:18" x14ac:dyDescent="0.25">
      <c r="P119" s="43">
        <v>18.312929845460879</v>
      </c>
      <c r="Q119">
        <v>577.97180000000003</v>
      </c>
      <c r="R119">
        <v>201.3202</v>
      </c>
    </row>
    <row r="120" spans="16:18" x14ac:dyDescent="0.25">
      <c r="P120" s="43">
        <v>21.500000000000007</v>
      </c>
      <c r="Q120">
        <v>596.5068</v>
      </c>
      <c r="R120">
        <v>215.63839999999999</v>
      </c>
    </row>
    <row r="121" spans="16:18" x14ac:dyDescent="0.25">
      <c r="P121" s="43">
        <v>27.071287597637827</v>
      </c>
      <c r="Q121">
        <v>625.17610000000002</v>
      </c>
      <c r="R121">
        <v>203.14150000000001</v>
      </c>
    </row>
    <row r="122" spans="16:18" x14ac:dyDescent="0.25">
      <c r="P122" s="43">
        <v>31.600000000000012</v>
      </c>
      <c r="Q122">
        <v>643.90800000000002</v>
      </c>
      <c r="R122">
        <v>219.5342</v>
      </c>
    </row>
    <row r="123" spans="16:18" x14ac:dyDescent="0.25">
      <c r="P123" s="43">
        <v>39.810717055349755</v>
      </c>
      <c r="Q123">
        <v>673.65089999999998</v>
      </c>
      <c r="R123">
        <v>204.6474</v>
      </c>
    </row>
    <row r="124" spans="16:18" x14ac:dyDescent="0.25">
      <c r="P124" s="43">
        <v>46.400000000000013</v>
      </c>
      <c r="Q124">
        <v>687.67489999999998</v>
      </c>
      <c r="R124">
        <v>220.78319999999999</v>
      </c>
    </row>
    <row r="125" spans="16:18" x14ac:dyDescent="0.25">
      <c r="P125" s="43">
        <v>59.71607558302464</v>
      </c>
      <c r="Q125">
        <v>723.61030000000005</v>
      </c>
      <c r="R125">
        <v>205.49760000000001</v>
      </c>
    </row>
    <row r="126" spans="16:18" x14ac:dyDescent="0.25">
      <c r="P126" s="43">
        <v>68.000000000000014</v>
      </c>
      <c r="Q126">
        <v>732.81979999999999</v>
      </c>
      <c r="R126">
        <v>222.10560000000001</v>
      </c>
    </row>
    <row r="127" spans="16:18" x14ac:dyDescent="0.25">
      <c r="P127" s="43">
        <v>79.43281552914587</v>
      </c>
      <c r="Q127">
        <v>691.05809999999997</v>
      </c>
      <c r="R127">
        <v>247.21360000000001</v>
      </c>
    </row>
    <row r="128" spans="16:18" x14ac:dyDescent="0.25">
      <c r="P128" s="43">
        <v>87.583577521769456</v>
      </c>
      <c r="Q128">
        <v>768.02189999999996</v>
      </c>
      <c r="R128">
        <v>205.53380000000001</v>
      </c>
    </row>
    <row r="129" spans="16:18" x14ac:dyDescent="0.25">
      <c r="P129" s="43">
        <v>100</v>
      </c>
      <c r="Q129">
        <v>768.28710000000001</v>
      </c>
      <c r="R129">
        <v>224.6848</v>
      </c>
    </row>
    <row r="130" spans="16:18" x14ac:dyDescent="0.25">
      <c r="P130" s="43">
        <v>127.39429457711913</v>
      </c>
      <c r="Q130">
        <v>811.76710000000003</v>
      </c>
      <c r="R130">
        <v>205.13499999999999</v>
      </c>
    </row>
    <row r="131" spans="16:18" x14ac:dyDescent="0.25">
      <c r="P131" s="43">
        <v>158.86564694485639</v>
      </c>
      <c r="Q131">
        <v>807.14599999999996</v>
      </c>
      <c r="R131">
        <v>243.7028</v>
      </c>
    </row>
    <row r="132" spans="16:18" x14ac:dyDescent="0.25">
      <c r="P132" s="43">
        <v>183.12929845460883</v>
      </c>
      <c r="Q132">
        <v>854.01580000000001</v>
      </c>
      <c r="R132">
        <v>204.43870000000001</v>
      </c>
    </row>
    <row r="133" spans="16:18" x14ac:dyDescent="0.25">
      <c r="P133" s="43">
        <v>238.29847041728442</v>
      </c>
      <c r="Q133">
        <v>874.48</v>
      </c>
      <c r="R133">
        <v>236.19890000000001</v>
      </c>
    </row>
    <row r="134" spans="16:18" x14ac:dyDescent="0.25">
      <c r="P134" s="43">
        <v>270.71287597637831</v>
      </c>
      <c r="Q134">
        <v>898.55489999999998</v>
      </c>
      <c r="R134">
        <v>203.3218</v>
      </c>
    </row>
    <row r="135" spans="16:18" x14ac:dyDescent="0.25">
      <c r="P135" s="43">
        <v>397.16411736214098</v>
      </c>
      <c r="Q135">
        <v>952.33579999999995</v>
      </c>
      <c r="R135">
        <v>230.1482</v>
      </c>
    </row>
    <row r="136" spans="16:18" x14ac:dyDescent="0.25">
      <c r="P136" s="43">
        <v>398.10717055349761</v>
      </c>
      <c r="Q136">
        <v>944.40710000000001</v>
      </c>
      <c r="R136">
        <v>202.2379</v>
      </c>
    </row>
    <row r="137" spans="16:18" x14ac:dyDescent="0.25">
      <c r="P137" s="43">
        <v>556.02976430699744</v>
      </c>
      <c r="Q137">
        <v>1003.414</v>
      </c>
      <c r="R137">
        <v>224.62479999999999</v>
      </c>
    </row>
    <row r="138" spans="16:18" x14ac:dyDescent="0.25">
      <c r="P138" s="43">
        <v>581.23646900810672</v>
      </c>
      <c r="Q138">
        <v>985.64469999999994</v>
      </c>
      <c r="R138">
        <v>201.18299999999999</v>
      </c>
    </row>
    <row r="139" spans="16:18" x14ac:dyDescent="0.25">
      <c r="P139" s="43">
        <v>794.32823472428208</v>
      </c>
      <c r="Q139">
        <v>1054.4970000000001</v>
      </c>
      <c r="R139">
        <v>219.5368</v>
      </c>
    </row>
    <row r="140" spans="16:18" x14ac:dyDescent="0.25">
      <c r="P140" s="43">
        <v>855.93041669001991</v>
      </c>
      <c r="Q140">
        <v>1029.2239999999999</v>
      </c>
      <c r="R140">
        <v>200.12530000000001</v>
      </c>
    </row>
    <row r="141" spans="16:18" x14ac:dyDescent="0.25">
      <c r="P141" s="43">
        <v>1191.4923520864234</v>
      </c>
      <c r="Q141">
        <v>1110.02</v>
      </c>
      <c r="R141">
        <v>214.2122</v>
      </c>
    </row>
    <row r="142" spans="16:18" x14ac:dyDescent="0.25">
      <c r="P142" s="43">
        <v>1258.0186589490522</v>
      </c>
      <c r="Q142">
        <v>1069.7850000000001</v>
      </c>
      <c r="R142">
        <v>199.3049</v>
      </c>
    </row>
    <row r="143" spans="16:18" x14ac:dyDescent="0.25">
      <c r="P143" s="43">
        <v>1747.5221163934204</v>
      </c>
      <c r="Q143">
        <v>1160.9829999999999</v>
      </c>
      <c r="R143">
        <v>208.65209999999999</v>
      </c>
    </row>
    <row r="144" spans="16:18" x14ac:dyDescent="0.25">
      <c r="P144" s="43">
        <v>1847.2172713682298</v>
      </c>
      <c r="Q144">
        <v>1106.345</v>
      </c>
      <c r="R144">
        <v>197.4299</v>
      </c>
    </row>
    <row r="145" spans="16:18" x14ac:dyDescent="0.25">
      <c r="P145" s="43">
        <v>2541.8503511177009</v>
      </c>
      <c r="Q145">
        <v>1210.2940000000001</v>
      </c>
      <c r="R145">
        <v>203.24809999999999</v>
      </c>
    </row>
    <row r="146" spans="16:18" x14ac:dyDescent="0.25">
      <c r="P146" s="43">
        <v>2707.1287597637838</v>
      </c>
      <c r="Q146">
        <v>1149.43</v>
      </c>
      <c r="R146">
        <v>195.29759999999999</v>
      </c>
    </row>
    <row r="147" spans="16:18" x14ac:dyDescent="0.25">
      <c r="P147" s="43">
        <v>3653.9098797316938</v>
      </c>
      <c r="Q147">
        <v>1256.43</v>
      </c>
      <c r="R147">
        <v>198.69669999999999</v>
      </c>
    </row>
    <row r="148" spans="16:18" x14ac:dyDescent="0.25">
      <c r="P148" s="43">
        <v>3981.0717055349769</v>
      </c>
      <c r="Q148">
        <v>1178.6010000000001</v>
      </c>
      <c r="R148">
        <v>195.6062</v>
      </c>
    </row>
    <row r="149" spans="16:18" x14ac:dyDescent="0.25">
      <c r="P149" s="43">
        <v>5401.4319961251185</v>
      </c>
      <c r="Q149">
        <v>1304.481</v>
      </c>
      <c r="R149">
        <v>193.91489999999999</v>
      </c>
    </row>
    <row r="150" spans="16:18" x14ac:dyDescent="0.25">
      <c r="P150" s="43">
        <v>7943.2823472428154</v>
      </c>
      <c r="Q150">
        <v>1348.5419999999999</v>
      </c>
      <c r="R150">
        <v>189.76089999999999</v>
      </c>
    </row>
    <row r="151" spans="16:18" x14ac:dyDescent="0.25">
      <c r="P151" s="43">
        <v>9999.9990000000107</v>
      </c>
      <c r="Q151">
        <v>1296.5440000000001</v>
      </c>
      <c r="R151">
        <v>237.77119999999999</v>
      </c>
    </row>
    <row r="152" spans="16:18" x14ac:dyDescent="0.25">
      <c r="P152" s="43">
        <v>11914.923520864215</v>
      </c>
      <c r="Q152">
        <v>1395.328</v>
      </c>
      <c r="R152">
        <v>186.58260000000001</v>
      </c>
    </row>
    <row r="153" spans="16:18" x14ac:dyDescent="0.25">
      <c r="P153" s="43">
        <v>17475.221163934209</v>
      </c>
      <c r="Q153">
        <v>1438.5450000000001</v>
      </c>
      <c r="R153">
        <v>183.15180000000001</v>
      </c>
    </row>
    <row r="154" spans="16:18" x14ac:dyDescent="0.25">
      <c r="P154" s="43">
        <v>20000.000000000018</v>
      </c>
      <c r="Q154">
        <v>1411.3869999999999</v>
      </c>
      <c r="R154">
        <v>210.5737</v>
      </c>
    </row>
    <row r="155" spans="16:18" x14ac:dyDescent="0.25">
      <c r="P155" s="43">
        <v>25418.503511177038</v>
      </c>
      <c r="Q155">
        <v>1480.018</v>
      </c>
      <c r="R155">
        <v>179.56540000000001</v>
      </c>
    </row>
    <row r="156" spans="16:18" x14ac:dyDescent="0.25">
      <c r="P156" s="43">
        <v>30000.000000000062</v>
      </c>
      <c r="Q156">
        <v>1475.1959999999999</v>
      </c>
      <c r="R156">
        <v>194.93559999999999</v>
      </c>
    </row>
    <row r="157" spans="16:18" x14ac:dyDescent="0.25">
      <c r="P157" s="43">
        <v>36539.098797316976</v>
      </c>
      <c r="Q157">
        <v>1520.3389999999999</v>
      </c>
      <c r="R157">
        <v>177.8973</v>
      </c>
    </row>
    <row r="158" spans="16:18" x14ac:dyDescent="0.25">
      <c r="P158" s="43">
        <v>50000.000000000007</v>
      </c>
      <c r="Q158">
        <v>1538.9570000000001</v>
      </c>
      <c r="R158">
        <v>181.00720000000001</v>
      </c>
    </row>
    <row r="159" spans="16:18" x14ac:dyDescent="0.25">
      <c r="P159" s="43">
        <v>54014.319961251145</v>
      </c>
      <c r="Q159">
        <v>1562.296</v>
      </c>
      <c r="R159">
        <v>175.7621</v>
      </c>
    </row>
    <row r="160" spans="16:18" x14ac:dyDescent="0.25">
      <c r="P160" s="43">
        <v>70000.000000000073</v>
      </c>
      <c r="Q160">
        <v>1585.059</v>
      </c>
      <c r="R160">
        <v>171.678</v>
      </c>
    </row>
    <row r="161" spans="16:18" x14ac:dyDescent="0.25">
      <c r="P161" s="43">
        <v>79432.823472428237</v>
      </c>
      <c r="Q161">
        <v>1603.7</v>
      </c>
      <c r="R161">
        <v>174.24879999999999</v>
      </c>
    </row>
    <row r="162" spans="16:18" x14ac:dyDescent="0.25">
      <c r="P162" s="43">
        <v>100000</v>
      </c>
      <c r="Q162">
        <v>1625.829</v>
      </c>
      <c r="R162">
        <v>165.08750000000001</v>
      </c>
    </row>
    <row r="163" spans="16:18" x14ac:dyDescent="0.25">
      <c r="P163" s="43">
        <v>115971.92226974518</v>
      </c>
      <c r="Q163">
        <v>1643.249</v>
      </c>
      <c r="R163">
        <v>172.90360000000001</v>
      </c>
    </row>
    <row r="164" spans="16:18" x14ac:dyDescent="0.25">
      <c r="P164" s="43">
        <v>150000.0000000002</v>
      </c>
      <c r="Q164">
        <v>1666.5039999999999</v>
      </c>
      <c r="R164">
        <v>156.98939999999999</v>
      </c>
    </row>
    <row r="165" spans="16:18" x14ac:dyDescent="0.25">
      <c r="P165" s="43">
        <v>170780.57046572072</v>
      </c>
      <c r="Q165">
        <v>1684.2809999999999</v>
      </c>
      <c r="R165">
        <v>172.41560000000001</v>
      </c>
    </row>
    <row r="166" spans="16:18" x14ac:dyDescent="0.25">
      <c r="P166" s="43">
        <v>220000.00000000064</v>
      </c>
      <c r="Q166">
        <v>1706.336</v>
      </c>
      <c r="R166">
        <v>150.10900000000001</v>
      </c>
    </row>
    <row r="167" spans="16:18" x14ac:dyDescent="0.25">
      <c r="P167" s="43">
        <v>251007.72217287341</v>
      </c>
      <c r="Q167">
        <v>1724.9110000000001</v>
      </c>
      <c r="R167">
        <v>171.94540000000001</v>
      </c>
    </row>
    <row r="168" spans="16:18" x14ac:dyDescent="0.25">
      <c r="P168" s="43">
        <v>320000.00000000041</v>
      </c>
      <c r="Q168">
        <v>1742.52</v>
      </c>
      <c r="R168">
        <v>144.10390000000001</v>
      </c>
    </row>
    <row r="169" spans="16:18" x14ac:dyDescent="0.25">
      <c r="P169" s="43">
        <v>368568.30091206724</v>
      </c>
      <c r="Q169">
        <v>1761.61</v>
      </c>
      <c r="R169">
        <v>170.9248</v>
      </c>
    </row>
    <row r="170" spans="16:18" x14ac:dyDescent="0.25">
      <c r="P170" s="43">
        <v>460000.00000000041</v>
      </c>
      <c r="Q170">
        <v>1776.425</v>
      </c>
      <c r="R170">
        <v>139.5181</v>
      </c>
    </row>
    <row r="171" spans="16:18" x14ac:dyDescent="0.25">
      <c r="P171" s="43">
        <v>540143.19961251202</v>
      </c>
      <c r="Q171">
        <v>1801.5840000000001</v>
      </c>
      <c r="R171">
        <v>169.36510000000001</v>
      </c>
    </row>
    <row r="172" spans="16:18" x14ac:dyDescent="0.25">
      <c r="P172" s="43">
        <v>680000.0000000014</v>
      </c>
      <c r="Q172">
        <v>1812.4</v>
      </c>
      <c r="R172">
        <v>135.33320000000001</v>
      </c>
    </row>
    <row r="173" spans="16:18" x14ac:dyDescent="0.25">
      <c r="P173" s="43">
        <v>794328.23472428333</v>
      </c>
      <c r="Q173">
        <v>1822.0229999999999</v>
      </c>
      <c r="R173">
        <v>171.3306</v>
      </c>
    </row>
    <row r="174" spans="16:18" x14ac:dyDescent="0.25">
      <c r="P174" s="43">
        <v>1000000</v>
      </c>
      <c r="Q174">
        <v>1845.133</v>
      </c>
      <c r="R174">
        <v>132.15129999999999</v>
      </c>
    </row>
    <row r="175" spans="16:18" x14ac:dyDescent="0.25">
      <c r="P175" s="43">
        <v>1500000.0000000037</v>
      </c>
      <c r="Q175">
        <v>1877.809</v>
      </c>
      <c r="R175">
        <v>129.7192</v>
      </c>
    </row>
    <row r="176" spans="16:18" x14ac:dyDescent="0.25">
      <c r="P176" s="43">
        <v>2200000.0000000047</v>
      </c>
      <c r="Q176">
        <v>1908.6690000000001</v>
      </c>
      <c r="R176">
        <v>127.6752</v>
      </c>
    </row>
    <row r="177" spans="16:18" x14ac:dyDescent="0.25">
      <c r="P177" s="43">
        <v>3200000.0000000079</v>
      </c>
      <c r="Q177">
        <v>1938.134</v>
      </c>
      <c r="R177">
        <v>126.1464</v>
      </c>
    </row>
    <row r="178" spans="16:18" x14ac:dyDescent="0.25">
      <c r="P178" s="43">
        <v>4600000.0000000093</v>
      </c>
      <c r="Q178">
        <v>1966.98</v>
      </c>
      <c r="R178">
        <v>125.2085</v>
      </c>
    </row>
    <row r="179" spans="16:18" x14ac:dyDescent="0.25">
      <c r="P179" s="43">
        <v>6800000.0000000093</v>
      </c>
      <c r="Q179">
        <v>1997.537</v>
      </c>
      <c r="R179">
        <v>124.25830000000001</v>
      </c>
    </row>
    <row r="180" spans="16:18" x14ac:dyDescent="0.25">
      <c r="P180" s="43">
        <v>10000000</v>
      </c>
      <c r="Q180">
        <v>2027.748</v>
      </c>
      <c r="R180">
        <v>123.883</v>
      </c>
    </row>
    <row r="181" spans="16:18" x14ac:dyDescent="0.25">
      <c r="P181" s="43">
        <v>14600000.000000028</v>
      </c>
      <c r="Q181">
        <v>2056.576</v>
      </c>
      <c r="R181">
        <v>124.0275</v>
      </c>
    </row>
    <row r="182" spans="16:18" x14ac:dyDescent="0.25">
      <c r="P182" s="43">
        <v>21500000.000000093</v>
      </c>
      <c r="Q182">
        <v>2086.8580000000002</v>
      </c>
      <c r="R182">
        <v>124.8627</v>
      </c>
    </row>
    <row r="183" spans="16:18" x14ac:dyDescent="0.25">
      <c r="P183" s="43">
        <v>31600000.000000097</v>
      </c>
      <c r="Q183">
        <v>2117.4920000000002</v>
      </c>
      <c r="R183">
        <v>125.6211</v>
      </c>
    </row>
    <row r="184" spans="16:18" x14ac:dyDescent="0.25">
      <c r="P184" s="43">
        <v>46400000.000000134</v>
      </c>
      <c r="Q184">
        <v>2145.627</v>
      </c>
      <c r="R184">
        <v>124.6859</v>
      </c>
    </row>
    <row r="185" spans="16:18" x14ac:dyDescent="0.25">
      <c r="P185" s="43">
        <v>68000000.000000164</v>
      </c>
      <c r="Q185">
        <v>2173.4160000000002</v>
      </c>
      <c r="R185">
        <v>125.4066</v>
      </c>
    </row>
    <row r="186" spans="16:18" x14ac:dyDescent="0.25">
      <c r="P186" s="43">
        <v>100000000</v>
      </c>
      <c r="Q186">
        <v>2180.3760000000002</v>
      </c>
      <c r="R186">
        <v>128.73769999999999</v>
      </c>
    </row>
  </sheetData>
  <mergeCells count="2">
    <mergeCell ref="P1:R1"/>
    <mergeCell ref="T1:V1"/>
  </mergeCells>
  <pageMargins left="0.7" right="0.7" top="0.75" bottom="0.75" header="0.3" footer="0.3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0"/>
  <sheetViews>
    <sheetView zoomScale="90" zoomScaleNormal="90" workbookViewId="0">
      <selection activeCell="D22" sqref="D22"/>
    </sheetView>
  </sheetViews>
  <sheetFormatPr defaultRowHeight="15" x14ac:dyDescent="0.25"/>
  <cols>
    <col min="1" max="1" width="4.85546875" customWidth="1"/>
    <col min="2" max="2" width="7.7109375" customWidth="1"/>
    <col min="3" max="4" width="9.7109375" customWidth="1"/>
    <col min="5" max="7" width="11.7109375" customWidth="1"/>
    <col min="8" max="8" width="10.7109375" customWidth="1"/>
    <col min="9" max="9" width="3.7109375" customWidth="1"/>
    <col min="10" max="12" width="11.7109375" style="7" customWidth="1"/>
    <col min="13" max="13" width="11.7109375" customWidth="1"/>
    <col min="14" max="15" width="8.7109375" customWidth="1"/>
    <col min="16" max="16" width="8.5703125" customWidth="1"/>
    <col min="17" max="17" width="8.85546875" customWidth="1"/>
    <col min="27" max="27" width="10.42578125" customWidth="1"/>
  </cols>
  <sheetData>
    <row r="1" spans="1:27" ht="15.75" thickBot="1" x14ac:dyDescent="0.3"/>
    <row r="2" spans="1:27" ht="24.95" customHeight="1" x14ac:dyDescent="0.35">
      <c r="C2" s="83" t="s">
        <v>20</v>
      </c>
      <c r="D2" s="83"/>
      <c r="F2" s="84" t="s">
        <v>21</v>
      </c>
      <c r="G2" s="85"/>
      <c r="H2" s="86"/>
      <c r="J2" s="8" t="s">
        <v>22</v>
      </c>
      <c r="K2" s="8"/>
      <c r="L2" s="9"/>
      <c r="N2" s="10"/>
      <c r="O2" s="11"/>
      <c r="P2" s="8" t="s">
        <v>23</v>
      </c>
      <c r="R2" s="12"/>
    </row>
    <row r="3" spans="1:27" ht="36.75" customHeight="1" x14ac:dyDescent="0.25">
      <c r="A3" s="74" t="s">
        <v>24</v>
      </c>
      <c r="B3" s="3" t="s">
        <v>25</v>
      </c>
      <c r="C3" s="3" t="s">
        <v>26</v>
      </c>
      <c r="D3" s="3" t="s">
        <v>27</v>
      </c>
      <c r="E3" s="13" t="s">
        <v>28</v>
      </c>
      <c r="F3" s="14" t="s">
        <v>29</v>
      </c>
      <c r="G3" s="15" t="s">
        <v>30</v>
      </c>
      <c r="H3" s="16" t="s">
        <v>31</v>
      </c>
      <c r="I3" s="3"/>
      <c r="J3" s="17" t="s">
        <v>102</v>
      </c>
      <c r="K3" s="18" t="s">
        <v>103</v>
      </c>
      <c r="L3" s="18" t="s">
        <v>104</v>
      </c>
      <c r="M3" s="18" t="s">
        <v>105</v>
      </c>
      <c r="N3" s="19"/>
      <c r="O3" s="19"/>
      <c r="P3" s="17" t="s">
        <v>32</v>
      </c>
      <c r="Q3" s="20" t="s">
        <v>33</v>
      </c>
      <c r="AA3" t="s">
        <v>5</v>
      </c>
    </row>
    <row r="4" spans="1:27" x14ac:dyDescent="0.25">
      <c r="A4">
        <v>1</v>
      </c>
      <c r="C4" s="45">
        <v>0.12971830456069</v>
      </c>
      <c r="D4" s="21">
        <v>1E-8</v>
      </c>
      <c r="E4" s="1">
        <f t="shared" ref="E4:E22" si="0">F4*2*PI()</f>
        <v>6.2831853071795864E-7</v>
      </c>
      <c r="F4" s="22">
        <v>9.9999999999999995E-8</v>
      </c>
      <c r="G4" s="23"/>
      <c r="H4" s="24"/>
      <c r="I4" s="25"/>
      <c r="J4" s="26">
        <f t="array" ref="J4">E_0*(1-Sum_of_gs+SUM(Gamma*Tau^2*E4^2/(1+Tau^2*E4^2)))</f>
        <v>6.7552770033660892</v>
      </c>
      <c r="K4" s="26">
        <f t="array" ref="K4">E_0*SUM(Gamma*Tau*E4/(1+Tau^2*E4^2))</f>
        <v>0.17442913459462642</v>
      </c>
      <c r="L4" s="27"/>
      <c r="M4" s="27"/>
      <c r="N4" s="11"/>
      <c r="O4" s="11"/>
      <c r="P4" s="29">
        <v>9.9999999999999995E-8</v>
      </c>
      <c r="Q4" s="6">
        <f t="shared" ref="Q4:Q15" si="1">1-SUM($C$4*(1-EXP(-P4/$D$6)),$C$5*(1-EXP(-P4/$D$7)),$C$6*(1-EXP(-P4/$D$8)),$C$7*(1-EXP(-P4/$D$9)),$C$8*(1-EXP(-P4/$D$10)),$C$9*(1-EXP(-P4/$D$11)),$C$10*(1-EXP(-P4/$D$12)),$C$11*(1-EXP(-P4/$D$13)),$C$12*(1-EXP(-P4/$D$14)),$C$13*(1-EXP(-P4/$D$15)))</f>
        <v>0.98690102522809486</v>
      </c>
      <c r="AA4">
        <f>K4/J4</f>
        <v>2.5821166845965023E-2</v>
      </c>
    </row>
    <row r="5" spans="1:27" x14ac:dyDescent="0.25">
      <c r="A5">
        <v>2</v>
      </c>
      <c r="B5" s="1"/>
      <c r="C5" s="45">
        <v>6.1878169159288211E-2</v>
      </c>
      <c r="D5" s="21">
        <v>9.9999999999999995E-8</v>
      </c>
      <c r="E5" s="1">
        <f t="shared" si="0"/>
        <v>6.2831853071795858E-6</v>
      </c>
      <c r="F5" s="22">
        <v>9.9999999999999995E-7</v>
      </c>
      <c r="G5" s="23"/>
      <c r="H5" s="24"/>
      <c r="I5" s="25"/>
      <c r="J5" s="26">
        <f t="array" ref="J5">E_0*(1-Sum_of_gs+SUM(Gamma*Tau^2*E5^2/(1+Tau^2*E5^2)))</f>
        <v>7.4768960657305339</v>
      </c>
      <c r="K5" s="26">
        <f t="array" ref="K5">E_0*SUM(Gamma*Tau*E5/(1+Tau^2*E5^2))</f>
        <v>1.2949463203024956</v>
      </c>
      <c r="L5" s="27"/>
      <c r="M5" s="27"/>
      <c r="N5" s="11"/>
      <c r="O5" s="11"/>
      <c r="P5" s="33">
        <v>9.9999999999999995E-7</v>
      </c>
      <c r="Q5" s="6">
        <f t="shared" si="1"/>
        <v>0.91073016179781618</v>
      </c>
      <c r="AA5">
        <f t="shared" ref="AA5:AA42" si="2">K5/J5</f>
        <v>0.17319303477250786</v>
      </c>
    </row>
    <row r="6" spans="1:27" x14ac:dyDescent="0.25">
      <c r="A6">
        <v>3</v>
      </c>
      <c r="B6" s="1"/>
      <c r="C6" s="45">
        <v>0.12681853864855383</v>
      </c>
      <c r="D6" s="21">
        <v>9.9999999999999995E-7</v>
      </c>
      <c r="E6" s="53">
        <f t="shared" si="0"/>
        <v>3.9644219162949916E-5</v>
      </c>
      <c r="F6" s="54">
        <v>6.3095734448019212E-6</v>
      </c>
      <c r="G6" s="51">
        <v>9.2533480000000008</v>
      </c>
      <c r="H6" s="76">
        <v>1.373254</v>
      </c>
      <c r="I6" s="30"/>
      <c r="J6" s="31">
        <f t="array" ref="J6">E_0*(1-Sum_of_gs+SUM(Gamma*Tau^2*E6^2/(1+Tau^2*E6^2)))</f>
        <v>9.4025729188171923</v>
      </c>
      <c r="K6" s="31">
        <f t="array" ref="K6">E_0*SUM(Gamma*Tau*E6/(1+Tau^2*E6^2))</f>
        <v>1.4072883584839344</v>
      </c>
      <c r="L6" s="32">
        <f>(1-J6/G6)^2</f>
        <v>2.6006679869690477E-4</v>
      </c>
      <c r="M6" s="32">
        <f>(1-K6/H6)^2</f>
        <v>6.142333494692148E-4</v>
      </c>
      <c r="N6" s="11"/>
      <c r="O6" s="11"/>
      <c r="P6" s="29">
        <v>1.0000000000000001E-5</v>
      </c>
      <c r="Q6" s="6">
        <f t="shared" si="1"/>
        <v>0.81789078141330651</v>
      </c>
      <c r="AA6">
        <f t="shared" si="2"/>
        <v>0.14967056045559132</v>
      </c>
    </row>
    <row r="7" spans="1:27" x14ac:dyDescent="0.25">
      <c r="A7">
        <v>4</v>
      </c>
      <c r="C7" s="45">
        <v>0.10630145299735307</v>
      </c>
      <c r="D7" s="21">
        <v>1.0000000000000001E-5</v>
      </c>
      <c r="E7" s="53">
        <f t="shared" si="0"/>
        <v>8.721728215848988E-5</v>
      </c>
      <c r="F7" s="54">
        <v>1.3881061578564237E-5</v>
      </c>
      <c r="G7" s="51">
        <v>9.8949809999999996</v>
      </c>
      <c r="H7" s="76">
        <v>1.54061</v>
      </c>
      <c r="J7" s="31">
        <f t="array" ref="J7">E_0*(1-Sum_of_gs+SUM(Gamma*Tau^2*E7^2/(1+Tau^2*E7^2)))</f>
        <v>10.078063211921377</v>
      </c>
      <c r="K7" s="31">
        <f t="array" ref="K7">E_0*SUM(Gamma*Tau*E7/(1+Tau^2*E7^2))</f>
        <v>1.5813472479532733</v>
      </c>
      <c r="L7" s="32">
        <f t="shared" ref="L7:L45" si="3">(1-J7/G7)^2</f>
        <v>3.4234372530126111E-4</v>
      </c>
      <c r="M7" s="32">
        <f t="shared" ref="M7:M46" si="4">(1-K7/H7)^2</f>
        <v>6.9919441059942316E-4</v>
      </c>
      <c r="N7" s="11"/>
      <c r="O7" s="11"/>
      <c r="P7" s="33">
        <v>1E-4</v>
      </c>
      <c r="Q7" s="6">
        <f t="shared" si="1"/>
        <v>0.71656981194765368</v>
      </c>
      <c r="AA7">
        <f t="shared" si="2"/>
        <v>0.15690983621562246</v>
      </c>
    </row>
    <row r="8" spans="1:27" x14ac:dyDescent="0.25">
      <c r="A8">
        <v>5</v>
      </c>
      <c r="C8" s="45">
        <v>0.14234488561940353</v>
      </c>
      <c r="D8" s="21">
        <v>1E-4</v>
      </c>
      <c r="E8" s="53">
        <f t="shared" si="0"/>
        <v>1.8236340814956978E-4</v>
      </c>
      <c r="F8" s="54">
        <v>2.9024037846088861E-5</v>
      </c>
      <c r="G8" s="50">
        <v>10.75249</v>
      </c>
      <c r="H8" s="76">
        <v>1.7984899999999999</v>
      </c>
      <c r="J8" s="31">
        <f t="array" ref="J8">E_0*(1-Sum_of_gs+SUM(Gamma*Tau^2*E8^2/(1+Tau^2*E8^2)))</f>
        <v>10.794848754917819</v>
      </c>
      <c r="K8" s="31">
        <f t="array" ref="K8">E_0*SUM(Gamma*Tau*E8/(1+Tau^2*E8^2))</f>
        <v>1.7155414087184264</v>
      </c>
      <c r="L8" s="32">
        <f t="shared" si="3"/>
        <v>1.5519162389261043E-5</v>
      </c>
      <c r="M8" s="32">
        <f t="shared" si="4"/>
        <v>2.127168899870194E-3</v>
      </c>
      <c r="N8" s="11"/>
      <c r="O8" s="11"/>
      <c r="P8" s="29">
        <v>1E-3</v>
      </c>
      <c r="Q8" s="6">
        <f t="shared" si="1"/>
        <v>0.59945877263583736</v>
      </c>
      <c r="AA8">
        <f t="shared" si="2"/>
        <v>0.15892222741304046</v>
      </c>
    </row>
    <row r="9" spans="1:27" x14ac:dyDescent="0.25">
      <c r="A9">
        <v>6</v>
      </c>
      <c r="C9" s="45">
        <v>0.1255633978966228</v>
      </c>
      <c r="D9" s="21">
        <v>1E-3</v>
      </c>
      <c r="E9" s="53">
        <f t="shared" si="0"/>
        <v>3.9644219162949959E-4</v>
      </c>
      <c r="F9" s="54">
        <v>6.3095734448019279E-5</v>
      </c>
      <c r="G9" s="50">
        <v>11.70074</v>
      </c>
      <c r="H9" s="76">
        <v>2.202979</v>
      </c>
      <c r="J9" s="31">
        <f t="array" ref="J9">E_0*(1-Sum_of_gs+SUM(Gamma*Tau^2*E9^2/(1+Tau^2*E9^2)))</f>
        <v>11.458275377122487</v>
      </c>
      <c r="K9" s="31">
        <f t="array" ref="K9">E_0*SUM(Gamma*Tau*E9/(1+Tau^2*E9^2))</f>
        <v>2.1275739674355654</v>
      </c>
      <c r="L9" s="32">
        <f t="shared" si="3"/>
        <v>4.2940797343504137E-4</v>
      </c>
      <c r="M9" s="32">
        <f t="shared" si="4"/>
        <v>1.1716015813732124E-3</v>
      </c>
      <c r="N9" s="11"/>
      <c r="O9" s="11"/>
      <c r="P9" s="33">
        <v>0.01</v>
      </c>
      <c r="Q9" s="6">
        <f t="shared" si="1"/>
        <v>0.47195263830301348</v>
      </c>
      <c r="AA9">
        <f t="shared" si="2"/>
        <v>0.18568012178197993</v>
      </c>
    </row>
    <row r="10" spans="1:27" x14ac:dyDescent="0.25">
      <c r="A10">
        <v>7</v>
      </c>
      <c r="C10" s="45">
        <v>0.13042001364811484</v>
      </c>
      <c r="D10" s="21">
        <v>0.01</v>
      </c>
      <c r="E10" s="53">
        <f t="shared" si="0"/>
        <v>8.7217282158489836E-4</v>
      </c>
      <c r="F10" s="54">
        <v>1.3881061578564229E-4</v>
      </c>
      <c r="G10" s="50">
        <v>12.753500000000001</v>
      </c>
      <c r="H10" s="76">
        <v>2.8425980000000002</v>
      </c>
      <c r="J10" s="31">
        <f t="array" ref="J10">E_0*(1-Sum_of_gs+SUM(Gamma*Tau^2*E10^2/(1+Tau^2*E10^2)))</f>
        <v>12.559680458314011</v>
      </c>
      <c r="K10" s="31">
        <f t="array" ref="K10">E_0*SUM(Gamma*Tau*E10/(1+Tau^2*E10^2))</f>
        <v>2.9861414002183411</v>
      </c>
      <c r="L10" s="32">
        <f t="shared" si="3"/>
        <v>2.3095977700891542E-4</v>
      </c>
      <c r="M10" s="32">
        <f t="shared" si="4"/>
        <v>2.5499729099748487E-3</v>
      </c>
      <c r="N10" s="11"/>
      <c r="O10" s="11"/>
      <c r="P10" s="29">
        <v>0.1</v>
      </c>
      <c r="Q10" s="6">
        <f t="shared" si="1"/>
        <v>0.34006796810441942</v>
      </c>
      <c r="AA10">
        <f t="shared" si="2"/>
        <v>0.23775616028842786</v>
      </c>
    </row>
    <row r="11" spans="1:27" x14ac:dyDescent="0.25">
      <c r="A11">
        <v>8</v>
      </c>
      <c r="B11" s="1"/>
      <c r="C11" s="45">
        <v>0.10488636976781203</v>
      </c>
      <c r="D11" s="21">
        <v>0.1</v>
      </c>
      <c r="E11" s="53">
        <f t="shared" si="0"/>
        <v>1.8236340814956997E-3</v>
      </c>
      <c r="F11" s="54">
        <v>2.9024037846088892E-4</v>
      </c>
      <c r="G11" s="50">
        <v>14.00217</v>
      </c>
      <c r="H11" s="76">
        <v>3.8197380000000001</v>
      </c>
      <c r="J11" s="31">
        <f t="array" ref="J11">E_0*(1-Sum_of_gs+SUM(Gamma*Tau^2*E11^2/(1+Tau^2*E11^2)))</f>
        <v>13.89353761974156</v>
      </c>
      <c r="K11" s="31">
        <f t="array" ref="K11">E_0*SUM(Gamma*Tau*E11/(1+Tau^2*E11^2))</f>
        <v>3.8347001543482362</v>
      </c>
      <c r="L11" s="32">
        <f t="shared" si="3"/>
        <v>6.0190492769605758E-5</v>
      </c>
      <c r="M11" s="32">
        <f t="shared" si="4"/>
        <v>1.534338246135021E-5</v>
      </c>
      <c r="N11" s="11"/>
      <c r="O11" s="11"/>
      <c r="P11" s="33">
        <v>1</v>
      </c>
      <c r="Q11" s="6">
        <f t="shared" si="1"/>
        <v>0.21444880760658669</v>
      </c>
      <c r="AA11">
        <f t="shared" si="2"/>
        <v>0.27600602951543796</v>
      </c>
    </row>
    <row r="12" spans="1:27" x14ac:dyDescent="0.25">
      <c r="A12">
        <v>9</v>
      </c>
      <c r="B12" s="1"/>
      <c r="C12" s="45">
        <v>4.9972381999333113E-2</v>
      </c>
      <c r="D12" s="21">
        <v>1</v>
      </c>
      <c r="E12" s="53">
        <f t="shared" si="0"/>
        <v>3.964421916294994E-3</v>
      </c>
      <c r="F12" s="54">
        <v>6.3095734448019244E-4</v>
      </c>
      <c r="G12" s="50">
        <v>15.74677</v>
      </c>
      <c r="H12" s="76">
        <v>5.5310600000000001</v>
      </c>
      <c r="J12" s="31">
        <f t="array" ref="J12">E_0*(1-Sum_of_gs+SUM(Gamma*Tau^2*E12^2/(1+Tau^2*E12^2)))</f>
        <v>15.394633618553087</v>
      </c>
      <c r="K12" s="31">
        <f t="array" ref="K12">E_0*SUM(Gamma*Tau*E12/(1+Tau^2*E12^2))</f>
        <v>5.578847857824238</v>
      </c>
      <c r="L12" s="32">
        <f t="shared" si="3"/>
        <v>5.0007924004445302E-4</v>
      </c>
      <c r="M12" s="32">
        <f t="shared" si="4"/>
        <v>7.4648036121852858E-5</v>
      </c>
      <c r="N12" s="11"/>
      <c r="O12" s="11"/>
      <c r="P12" s="29">
        <v>10</v>
      </c>
      <c r="Q12" s="6">
        <f t="shared" si="1"/>
        <v>0.10578057780175232</v>
      </c>
      <c r="AA12">
        <f t="shared" si="2"/>
        <v>0.3623891283194165</v>
      </c>
    </row>
    <row r="13" spans="1:27" x14ac:dyDescent="0.25">
      <c r="A13">
        <v>10</v>
      </c>
      <c r="B13" s="5"/>
      <c r="C13" s="45">
        <v>1.2487143980343217E-2</v>
      </c>
      <c r="D13" s="21">
        <v>10</v>
      </c>
      <c r="E13" s="53">
        <f t="shared" si="0"/>
        <v>8.5235071200342356E-3</v>
      </c>
      <c r="F13" s="54">
        <v>1.3565582906324136E-3</v>
      </c>
      <c r="G13" s="50">
        <v>18.40692</v>
      </c>
      <c r="H13" s="76">
        <v>8.6757179999999998</v>
      </c>
      <c r="J13" s="31">
        <f t="array" ref="J13">E_0*(1-Sum_of_gs+SUM(Gamma*Tau^2*E13^2/(1+Tau^2*E13^2)))</f>
        <v>18.202021705021856</v>
      </c>
      <c r="K13" s="31">
        <f t="array" ref="K13">E_0*SUM(Gamma*Tau*E13/(1+Tau^2*E13^2))</f>
        <v>8.4989658822537031</v>
      </c>
      <c r="L13" s="32">
        <f t="shared" si="3"/>
        <v>1.2391230605808206E-4</v>
      </c>
      <c r="M13" s="32">
        <f t="shared" si="4"/>
        <v>4.1506718331554626E-4</v>
      </c>
      <c r="N13" s="11"/>
      <c r="O13" s="11"/>
      <c r="P13" s="33">
        <v>100</v>
      </c>
      <c r="Q13" s="6">
        <f t="shared" si="1"/>
        <v>3.9296750638043387E-2</v>
      </c>
      <c r="AA13">
        <f t="shared" si="2"/>
        <v>0.46692428016987125</v>
      </c>
    </row>
    <row r="14" spans="1:27" x14ac:dyDescent="0.25">
      <c r="A14">
        <v>11</v>
      </c>
      <c r="B14" s="5"/>
      <c r="C14" s="45">
        <v>3.6264657521861295E-3</v>
      </c>
      <c r="D14" s="21">
        <v>100</v>
      </c>
      <c r="E14" s="53">
        <f t="shared" si="0"/>
        <v>1.578264791976474E-2</v>
      </c>
      <c r="F14" s="54">
        <v>2.5118864315095777E-3</v>
      </c>
      <c r="G14" s="50">
        <v>21.028659999999999</v>
      </c>
      <c r="H14" s="76">
        <v>11.242470000000001</v>
      </c>
      <c r="J14" s="31">
        <f t="array" ref="J14">E_0*(1-Sum_of_gs+SUM(Gamma*Tau^2*E14^2/(1+Tau^2*E14^2)))</f>
        <v>21.315046775809684</v>
      </c>
      <c r="K14" s="31">
        <f t="array" ref="K14">E_0*SUM(Gamma*Tau*E14/(1+Tau^2*E14^2))</f>
        <v>11.112226899647929</v>
      </c>
      <c r="L14" s="32">
        <f t="shared" si="3"/>
        <v>1.854738648766899E-4</v>
      </c>
      <c r="M14" s="32">
        <f t="shared" si="4"/>
        <v>1.342103400797296E-4</v>
      </c>
      <c r="N14" s="11"/>
      <c r="O14" s="28"/>
      <c r="P14" s="29">
        <v>1000</v>
      </c>
      <c r="Q14" s="6">
        <f t="shared" si="1"/>
        <v>1.4205374014434113E-2</v>
      </c>
      <c r="AA14">
        <f t="shared" si="2"/>
        <v>0.52133251296727756</v>
      </c>
    </row>
    <row r="15" spans="1:27" x14ac:dyDescent="0.25">
      <c r="A15">
        <v>12</v>
      </c>
      <c r="B15" s="5"/>
      <c r="C15" s="45">
        <v>1.3524282829311099E-3</v>
      </c>
      <c r="D15" s="21">
        <v>1000</v>
      </c>
      <c r="E15" s="53">
        <f t="shared" si="0"/>
        <v>3.3932693027494201E-2</v>
      </c>
      <c r="F15" s="54">
        <v>5.400555827745593E-3</v>
      </c>
      <c r="G15" s="50">
        <v>26.229649999999999</v>
      </c>
      <c r="H15" s="76">
        <v>17.68216</v>
      </c>
      <c r="J15" s="31">
        <f t="array" ref="J15">E_0*(1-Sum_of_gs+SUM(Gamma*Tau^2*E15^2/(1+Tau^2*E15^2)))</f>
        <v>25.599400763184285</v>
      </c>
      <c r="K15" s="31">
        <f t="array" ref="K15">E_0*SUM(Gamma*Tau*E15/(1+Tau^2*E15^2))</f>
        <v>16.617801559390966</v>
      </c>
      <c r="L15" s="32">
        <f t="shared" si="3"/>
        <v>5.7735065893606394E-4</v>
      </c>
      <c r="M15" s="32">
        <f t="shared" si="4"/>
        <v>3.6233074340235303E-3</v>
      </c>
      <c r="N15" s="11"/>
      <c r="O15" s="28"/>
      <c r="P15" s="33">
        <v>10000</v>
      </c>
      <c r="Q15" s="6">
        <f t="shared" si="1"/>
        <v>9.609908637944975E-3</v>
      </c>
      <c r="AA15">
        <f t="shared" si="2"/>
        <v>0.64914806846923601</v>
      </c>
    </row>
    <row r="16" spans="1:27" x14ac:dyDescent="0.25">
      <c r="A16">
        <v>13</v>
      </c>
      <c r="B16" s="5"/>
      <c r="C16" s="45">
        <v>7.5341738688449833E-4</v>
      </c>
      <c r="D16" s="21">
        <v>10000</v>
      </c>
      <c r="E16" s="53">
        <f t="shared" si="0"/>
        <v>7.9100616502201168E-2</v>
      </c>
      <c r="F16" s="54">
        <v>1.2589254117941664E-2</v>
      </c>
      <c r="G16" s="50">
        <v>34.3065</v>
      </c>
      <c r="H16" s="76">
        <v>26.311520000000002</v>
      </c>
      <c r="J16" s="31">
        <f t="array" ref="J16">E_0*(1-Sum_of_gs+SUM(Gamma*Tau^2*E16^2/(1+Tau^2*E16^2)))</f>
        <v>35.221110050622563</v>
      </c>
      <c r="K16" s="31">
        <f t="array" ref="K16">E_0*SUM(Gamma*Tau*E16/(1+Tau^2*E16^2))</f>
        <v>27.401864602337998</v>
      </c>
      <c r="L16" s="32">
        <f t="shared" si="3"/>
        <v>7.1075367373062462E-4</v>
      </c>
      <c r="M16" s="32">
        <f t="shared" si="4"/>
        <v>1.7172585229120936E-3</v>
      </c>
      <c r="N16" s="11"/>
      <c r="O16" s="28"/>
      <c r="P16" s="11"/>
      <c r="AA16">
        <f t="shared" si="2"/>
        <v>0.77799548517789108</v>
      </c>
    </row>
    <row r="17" spans="1:27" x14ac:dyDescent="0.25">
      <c r="A17">
        <v>14</v>
      </c>
      <c r="B17" s="5"/>
      <c r="C17" s="45">
        <v>1.0665558768180802E-3</v>
      </c>
      <c r="D17" s="21">
        <v>100000</v>
      </c>
      <c r="E17" s="53">
        <f t="shared" si="0"/>
        <v>0.17006632547973263</v>
      </c>
      <c r="F17" s="54">
        <v>2.7066896353574597E-2</v>
      </c>
      <c r="G17" s="50">
        <v>47.036020000000001</v>
      </c>
      <c r="H17" s="76">
        <v>40.149410000000003</v>
      </c>
      <c r="J17" s="31">
        <f t="array" ref="J17">E_0*(1-Sum_of_gs+SUM(Gamma*Tau^2*E17^2/(1+Tau^2*E17^2)))</f>
        <v>48.74676036483303</v>
      </c>
      <c r="K17" s="31">
        <f t="array" ref="K17">E_0*SUM(Gamma*Tau*E17/(1+Tau^2*E17^2))</f>
        <v>38.317889145890732</v>
      </c>
      <c r="L17" s="32">
        <f t="shared" si="3"/>
        <v>1.3228392506120853E-3</v>
      </c>
      <c r="M17" s="32">
        <f t="shared" si="4"/>
        <v>2.0809679941399249E-3</v>
      </c>
      <c r="N17" s="11"/>
      <c r="O17" s="28"/>
      <c r="P17" s="28"/>
      <c r="AA17">
        <f t="shared" si="2"/>
        <v>0.78606021936863091</v>
      </c>
    </row>
    <row r="18" spans="1:27" x14ac:dyDescent="0.25">
      <c r="E18" s="53">
        <f t="shared" si="0"/>
        <v>0.36702686057021366</v>
      </c>
      <c r="F18" s="54">
        <v>5.8414139107249366E-2</v>
      </c>
      <c r="G18" s="50">
        <v>66.214699999999993</v>
      </c>
      <c r="H18" s="76">
        <v>58.72251</v>
      </c>
      <c r="J18" s="31">
        <f t="array" ref="J18">E_0*(1-Sum_of_gs+SUM(Gamma*Tau^2*E18^2/(1+Tau^2*E18^2)))</f>
        <v>65.535105601993891</v>
      </c>
      <c r="K18" s="31">
        <f t="array" ref="K18">E_0*SUM(Gamma*Tau*E18/(1+Tau^2*E18^2))</f>
        <v>57.140252402233081</v>
      </c>
      <c r="L18" s="32">
        <f t="shared" si="3"/>
        <v>1.0533937786122564E-4</v>
      </c>
      <c r="M18" s="32">
        <f t="shared" si="4"/>
        <v>7.2601427254858882E-4</v>
      </c>
      <c r="N18" s="11"/>
      <c r="O18" s="28"/>
      <c r="P18" s="11"/>
      <c r="AA18">
        <f t="shared" si="2"/>
        <v>0.87190295761871184</v>
      </c>
    </row>
    <row r="19" spans="1:27" x14ac:dyDescent="0.25">
      <c r="B19" s="4" t="s">
        <v>106</v>
      </c>
      <c r="C19" s="34">
        <f>SUM(C4:C17)</f>
        <v>0.99718952557633456</v>
      </c>
      <c r="E19" s="53">
        <f t="shared" si="0"/>
        <v>0.5378841922149683</v>
      </c>
      <c r="F19" s="54">
        <v>8.5606928002003368E-2</v>
      </c>
      <c r="G19" s="50">
        <v>82.694180000000003</v>
      </c>
      <c r="H19" s="76">
        <v>70.440939999999998</v>
      </c>
      <c r="J19" s="31">
        <f t="array" ref="J19">E_0*(1-Sum_of_gs+SUM(Gamma*Tau^2*E19^2/(1+Tau^2*E19^2)))</f>
        <v>79.675408947776205</v>
      </c>
      <c r="K19" s="31">
        <f t="array" ref="K19">E_0*SUM(Gamma*Tau*E19/(1+Tau^2*E19^2))</f>
        <v>70.954737030161851</v>
      </c>
      <c r="L19" s="32">
        <f t="shared" si="3"/>
        <v>1.332632692889001E-3</v>
      </c>
      <c r="M19" s="32">
        <f t="shared" si="4"/>
        <v>5.3202604534815182E-5</v>
      </c>
      <c r="N19" s="11"/>
      <c r="O19" s="28"/>
      <c r="P19" s="28"/>
      <c r="AA19">
        <f t="shared" si="2"/>
        <v>0.89054750979275954</v>
      </c>
    </row>
    <row r="20" spans="1:27" x14ac:dyDescent="0.25">
      <c r="E20" s="53">
        <f t="shared" si="0"/>
        <v>0.87217282158489962</v>
      </c>
      <c r="F20" s="54">
        <v>0.13881061578564249</v>
      </c>
      <c r="G20" s="49">
        <v>106.28270000000001</v>
      </c>
      <c r="H20" s="76">
        <v>85.75788</v>
      </c>
      <c r="J20" s="31">
        <f t="array" ref="J20">E_0*(1-Sum_of_gs+SUM(Gamma*Tau^2*E20^2/(1+Tau^2*E20^2)))</f>
        <v>106.38207860339016</v>
      </c>
      <c r="K20" s="31">
        <f t="array" ref="K20">E_0*SUM(Gamma*Tau*E20/(1+Tau^2*E20^2))</f>
        <v>87.719761710274042</v>
      </c>
      <c r="L20" s="32">
        <f t="shared" si="3"/>
        <v>8.7430028691713161E-7</v>
      </c>
      <c r="M20" s="32">
        <f t="shared" si="4"/>
        <v>5.2335642982279443E-4</v>
      </c>
      <c r="N20" s="11"/>
      <c r="O20" s="28"/>
      <c r="P20" s="11"/>
      <c r="AA20">
        <f t="shared" si="2"/>
        <v>0.82457273689215749</v>
      </c>
    </row>
    <row r="21" spans="1:27" x14ac:dyDescent="0.25">
      <c r="E21" s="53">
        <f t="shared" si="0"/>
        <v>1.3823007675795087</v>
      </c>
      <c r="F21" s="54">
        <v>0.21999999999999997</v>
      </c>
      <c r="G21" s="49">
        <v>128.88489999999999</v>
      </c>
      <c r="H21" s="76">
        <v>99.651840000000007</v>
      </c>
      <c r="J21" s="31">
        <f t="array" ref="J21">E_0*(1-Sum_of_gs+SUM(Gamma*Tau^2*E21^2/(1+Tau^2*E21^2)))</f>
        <v>136.3852476255569</v>
      </c>
      <c r="K21" s="31">
        <f t="array" ref="K21">E_0*SUM(Gamma*Tau*E21/(1+Tau^2*E21^2))</f>
        <v>98.115571792148501</v>
      </c>
      <c r="L21" s="32">
        <f t="shared" si="3"/>
        <v>3.3865594755060555E-3</v>
      </c>
      <c r="M21" s="32">
        <f t="shared" si="4"/>
        <v>2.376640219092793E-4</v>
      </c>
      <c r="N21" s="11"/>
      <c r="O21" s="28"/>
      <c r="P21" s="28"/>
      <c r="AA21">
        <f t="shared" si="2"/>
        <v>0.71940018074039014</v>
      </c>
    </row>
    <row r="22" spans="1:27" x14ac:dyDescent="0.25">
      <c r="C22" s="4" t="s">
        <v>99</v>
      </c>
      <c r="D22" s="3">
        <v>2400</v>
      </c>
      <c r="E22" s="53">
        <f t="shared" si="0"/>
        <v>2.3157829329828408</v>
      </c>
      <c r="F22" s="54">
        <v>0.36856830091206649</v>
      </c>
      <c r="G22" s="49">
        <v>159.84639999999999</v>
      </c>
      <c r="H22" s="76">
        <v>120.6722</v>
      </c>
      <c r="J22" s="31">
        <f t="array" ref="J22">E_0*(1-Sum_of_gs+SUM(Gamma*Tau^2*E22^2/(1+Tau^2*E22^2)))</f>
        <v>167.04232828350251</v>
      </c>
      <c r="K22" s="31">
        <f t="array" ref="K22">E_0*SUM(Gamma*Tau*E22/(1+Tau^2*E22^2))</f>
        <v>108.3368883477325</v>
      </c>
      <c r="L22" s="32">
        <f t="shared" si="3"/>
        <v>2.0265995104283984E-3</v>
      </c>
      <c r="M22" s="32">
        <f t="shared" si="4"/>
        <v>1.0449266167754257E-2</v>
      </c>
      <c r="N22" s="11"/>
      <c r="O22" s="28"/>
      <c r="P22" s="11"/>
      <c r="AA22">
        <f t="shared" si="2"/>
        <v>0.64855949663168155</v>
      </c>
    </row>
    <row r="23" spans="1:27" x14ac:dyDescent="0.25">
      <c r="C23" s="4" t="s">
        <v>100</v>
      </c>
      <c r="D23" s="3">
        <v>8</v>
      </c>
      <c r="E23" s="53">
        <f>F23*2*PI()</f>
        <v>4.2725660088821185</v>
      </c>
      <c r="F23" s="54">
        <v>0.67999999999999994</v>
      </c>
      <c r="G23" s="49">
        <v>215.51169999999999</v>
      </c>
      <c r="H23" s="76">
        <v>137.9513</v>
      </c>
      <c r="J23" s="31">
        <f t="array" ref="J23">E_0*(1-Sum_of_gs+SUM(Gamma*Tau^2*E23^2/(1+Tau^2*E23^2)))</f>
        <v>206.15474256332934</v>
      </c>
      <c r="K23" s="31">
        <f t="array" ref="K23">E_0*SUM(Gamma*Tau*E23/(1+Tau^2*E23^2))</f>
        <v>133.0793794245289</v>
      </c>
      <c r="L23" s="32">
        <f t="shared" si="3"/>
        <v>1.8850705232743412E-3</v>
      </c>
      <c r="M23" s="32">
        <f t="shared" si="4"/>
        <v>1.2472364781868877E-3</v>
      </c>
      <c r="N23" s="35"/>
      <c r="O23" s="28"/>
      <c r="AA23">
        <f t="shared" si="2"/>
        <v>0.64553149624315731</v>
      </c>
    </row>
    <row r="24" spans="1:27" x14ac:dyDescent="0.25">
      <c r="C24" s="3" t="s">
        <v>101</v>
      </c>
      <c r="D24">
        <f>(E_0-E_inf)/E_0</f>
        <v>0.9966666666666667</v>
      </c>
      <c r="E24" s="53">
        <f t="shared" ref="E24:E48" si="5">F24*2*PI()</f>
        <v>9.4247779607693793</v>
      </c>
      <c r="F24" s="54">
        <v>1.5</v>
      </c>
      <c r="G24" s="49">
        <v>288.8802</v>
      </c>
      <c r="H24" s="76">
        <v>162.28559999999999</v>
      </c>
      <c r="J24" s="31">
        <f t="array" ref="J24">E_0*(1-Sum_of_gs+SUM(Gamma*Tau^2*E24^2/(1+Tau^2*E24^2)))</f>
        <v>292.82548382977103</v>
      </c>
      <c r="K24" s="31">
        <f t="array" ref="K24">E_0*SUM(Gamma*Tau*E24/(1+Tau^2*E24^2))</f>
        <v>170.98389944636244</v>
      </c>
      <c r="L24" s="32">
        <f t="shared" si="3"/>
        <v>1.8651808711065486E-4</v>
      </c>
      <c r="M24" s="32">
        <f t="shared" si="4"/>
        <v>2.8728221329710076E-3</v>
      </c>
      <c r="N24" s="35"/>
      <c r="O24" s="28"/>
      <c r="P24" s="11"/>
      <c r="AA24">
        <f t="shared" si="2"/>
        <v>0.58391058459160927</v>
      </c>
    </row>
    <row r="25" spans="1:27" x14ac:dyDescent="0.25">
      <c r="E25" s="53">
        <f t="shared" si="5"/>
        <v>20.106192982974679</v>
      </c>
      <c r="F25" s="54">
        <v>3.2000000000000006</v>
      </c>
      <c r="G25" s="49">
        <v>369.19830000000002</v>
      </c>
      <c r="H25" s="76">
        <v>182.34350000000001</v>
      </c>
      <c r="J25" s="31">
        <f t="array" ref="J25">E_0*(1-Sum_of_gs+SUM(Gamma*Tau^2*E25^2/(1+Tau^2*E25^2)))</f>
        <v>386.76078500411393</v>
      </c>
      <c r="K25" s="31">
        <f t="array" ref="K25">E_0*SUM(Gamma*Tau*E25/(1+Tau^2*E25^2))</f>
        <v>173.76438075208011</v>
      </c>
      <c r="L25" s="32">
        <f t="shared" si="3"/>
        <v>2.2628332290783801E-3</v>
      </c>
      <c r="M25" s="32">
        <f t="shared" si="4"/>
        <v>2.2136289998369064E-3</v>
      </c>
      <c r="N25" s="35"/>
      <c r="O25" s="28"/>
      <c r="AA25">
        <f t="shared" si="2"/>
        <v>0.44928128054717803</v>
      </c>
    </row>
    <row r="26" spans="1:27" x14ac:dyDescent="0.25">
      <c r="E26" s="53">
        <f t="shared" si="5"/>
        <v>42.725660088821193</v>
      </c>
      <c r="F26" s="54">
        <v>6.8000000000000007</v>
      </c>
      <c r="G26" s="49">
        <v>456.12299999999999</v>
      </c>
      <c r="H26" s="76">
        <v>198.3502</v>
      </c>
      <c r="J26" s="31">
        <f t="array" ref="J26">E_0*(1-Sum_of_gs+SUM(Gamma*Tau^2*E26^2/(1+Tau^2*E26^2)))</f>
        <v>460.42725022306098</v>
      </c>
      <c r="K26" s="31">
        <f t="array" ref="K26">E_0*SUM(Gamma*Tau*E26/(1+Tau^2*E26^2))</f>
        <v>186.25974470539435</v>
      </c>
      <c r="L26" s="32">
        <f t="shared" si="3"/>
        <v>8.9049416301982301E-5</v>
      </c>
      <c r="M26" s="32">
        <f t="shared" si="4"/>
        <v>3.7155236128121505E-3</v>
      </c>
      <c r="O26" s="28"/>
      <c r="P26" s="11"/>
      <c r="AA26">
        <f t="shared" si="2"/>
        <v>0.40453675279896661</v>
      </c>
    </row>
    <row r="27" spans="1:27" x14ac:dyDescent="0.25">
      <c r="E27" s="53">
        <f t="shared" si="5"/>
        <v>115.06353173641033</v>
      </c>
      <c r="F27" s="54">
        <v>18.312929845460879</v>
      </c>
      <c r="G27" s="49">
        <v>577.97180000000003</v>
      </c>
      <c r="H27" s="76">
        <v>201.3202</v>
      </c>
      <c r="J27" s="31">
        <f t="array" ref="J27">E_0*(1-Sum_of_gs+SUM(Gamma*Tau^2*E27^2/(1+Tau^2*E27^2)))</f>
        <v>605.10041302851926</v>
      </c>
      <c r="K27" s="31">
        <f t="array" ref="K27">E_0*SUM(Gamma*Tau*E27/(1+Tau^2*E27^2))</f>
        <v>216.24081652964799</v>
      </c>
      <c r="L27" s="32">
        <f t="shared" si="3"/>
        <v>2.2031389221437432E-3</v>
      </c>
      <c r="M27" s="32">
        <f t="shared" si="4"/>
        <v>5.4928638109293347E-3</v>
      </c>
      <c r="O27" s="28"/>
      <c r="AA27">
        <f t="shared" si="2"/>
        <v>0.35736352491872492</v>
      </c>
    </row>
    <row r="28" spans="1:27" x14ac:dyDescent="0.25">
      <c r="E28" s="53">
        <f t="shared" si="5"/>
        <v>198.548655706875</v>
      </c>
      <c r="F28" s="54">
        <v>31.600000000000012</v>
      </c>
      <c r="G28" s="49">
        <v>643.90800000000002</v>
      </c>
      <c r="H28" s="76">
        <v>219.5342</v>
      </c>
      <c r="J28" s="31">
        <f t="array" ref="J28">E_0*(1-Sum_of_gs+SUM(Gamma*Tau^2*E28^2/(1+Tau^2*E28^2)))</f>
        <v>685.29117568958873</v>
      </c>
      <c r="K28" s="31">
        <f t="array" ref="K28">E_0*SUM(Gamma*Tau*E28/(1+Tau^2*E28^2))</f>
        <v>203.9299201128353</v>
      </c>
      <c r="L28" s="32">
        <f t="shared" si="3"/>
        <v>4.1304749043953289E-3</v>
      </c>
      <c r="M28" s="32">
        <f t="shared" si="4"/>
        <v>5.0522297356463998E-3</v>
      </c>
      <c r="P28" s="11"/>
      <c r="AA28">
        <f t="shared" si="2"/>
        <v>0.29758141844979474</v>
      </c>
    </row>
    <row r="29" spans="1:27" x14ac:dyDescent="0.25">
      <c r="E29" s="53">
        <f t="shared" si="5"/>
        <v>375.20716870568606</v>
      </c>
      <c r="F29" s="54">
        <v>59.71607558302464</v>
      </c>
      <c r="G29" s="49">
        <v>723.61030000000005</v>
      </c>
      <c r="H29" s="76">
        <v>205.49760000000001</v>
      </c>
      <c r="J29" s="31">
        <f t="array" ref="J29">E_0*(1-Sum_of_gs+SUM(Gamma*Tau^2*E29^2/(1+Tau^2*E29^2)))</f>
        <v>754.43477404950693</v>
      </c>
      <c r="K29" s="31">
        <f t="array" ref="K29">E_0*SUM(Gamma*Tau*E29/(1+Tau^2*E29^2))</f>
        <v>197.91629944286467</v>
      </c>
      <c r="L29" s="32">
        <f t="shared" si="3"/>
        <v>1.8146040256961497E-3</v>
      </c>
      <c r="M29" s="32">
        <f t="shared" si="4"/>
        <v>1.3610495005122721E-3</v>
      </c>
      <c r="AA29">
        <f t="shared" si="2"/>
        <v>0.26233719103445935</v>
      </c>
    </row>
    <row r="30" spans="1:27" x14ac:dyDescent="0.25">
      <c r="E30" s="53">
        <f t="shared" si="5"/>
        <v>800.44195990546291</v>
      </c>
      <c r="F30" s="54">
        <v>127.39429457711913</v>
      </c>
      <c r="G30" s="49">
        <v>811.76710000000003</v>
      </c>
      <c r="H30" s="76">
        <v>205.13499999999999</v>
      </c>
      <c r="J30" s="31">
        <f t="array" ref="J30">E_0*(1-Sum_of_gs+SUM(Gamma*Tau^2*E30^2/(1+Tau^2*E30^2)))</f>
        <v>852.72235720777724</v>
      </c>
      <c r="K30" s="31">
        <f t="array" ref="K30">E_0*SUM(Gamma*Tau*E30/(1+Tau^2*E30^2))</f>
        <v>218.29157389227402</v>
      </c>
      <c r="L30" s="32">
        <f t="shared" si="3"/>
        <v>2.5454022503600925E-3</v>
      </c>
      <c r="M30" s="32">
        <f t="shared" si="4"/>
        <v>4.1134487145488008E-3</v>
      </c>
      <c r="AA30">
        <f t="shared" si="2"/>
        <v>0.25599372650092761</v>
      </c>
    </row>
    <row r="31" spans="1:27" x14ac:dyDescent="0.25">
      <c r="E31" s="53">
        <f t="shared" si="5"/>
        <v>1700.9391647991099</v>
      </c>
      <c r="F31" s="54">
        <v>270.71287597637831</v>
      </c>
      <c r="G31" s="49">
        <v>898.55489999999998</v>
      </c>
      <c r="H31" s="76">
        <v>203.3218</v>
      </c>
      <c r="J31" s="31">
        <f t="array" ref="J31">E_0*(1-Sum_of_gs+SUM(Gamma*Tau^2*E31^2/(1+Tau^2*E31^2)))</f>
        <v>970.2417088956704</v>
      </c>
      <c r="K31" s="31">
        <f t="array" ref="K31">E_0*SUM(Gamma*Tau*E31/(1+Tau^2*E31^2))</f>
        <v>212.91322538762796</v>
      </c>
      <c r="L31" s="32">
        <f t="shared" si="3"/>
        <v>6.3648659751640215E-3</v>
      </c>
      <c r="M31" s="32">
        <f t="shared" si="4"/>
        <v>2.2253504502203945E-3</v>
      </c>
      <c r="AA31">
        <f t="shared" si="2"/>
        <v>0.21944348860240806</v>
      </c>
    </row>
    <row r="32" spans="1:27" x14ac:dyDescent="0.25">
      <c r="B32">
        <v>0.22</v>
      </c>
      <c r="C32">
        <v>1E-4</v>
      </c>
      <c r="E32" s="53">
        <f t="shared" si="5"/>
        <v>3493.6380454482546</v>
      </c>
      <c r="F32" s="54">
        <v>556.02976430699744</v>
      </c>
      <c r="G32" s="47">
        <v>1003.414</v>
      </c>
      <c r="H32" s="76">
        <v>224.62479999999999</v>
      </c>
      <c r="J32" s="31">
        <f t="array" ref="J32">E_0*(1-Sum_of_gs+SUM(Gamma*Tau^2*E32^2/(1+Tau^2*E32^2)))</f>
        <v>1053.4506334637679</v>
      </c>
      <c r="K32" s="31">
        <f t="array" ref="K32">E_0*SUM(Gamma*Tau*E32/(1+Tau^2*E32^2))</f>
        <v>205.83099932323898</v>
      </c>
      <c r="L32" s="32">
        <f t="shared" si="3"/>
        <v>2.4866568127004636E-3</v>
      </c>
      <c r="M32" s="32">
        <f t="shared" si="4"/>
        <v>7.0002544469639112E-3</v>
      </c>
      <c r="AA32">
        <f t="shared" si="2"/>
        <v>0.19538741805723001</v>
      </c>
    </row>
    <row r="33" spans="2:27" x14ac:dyDescent="0.25">
      <c r="B33">
        <v>0.22</v>
      </c>
      <c r="C33">
        <v>1E-3</v>
      </c>
      <c r="E33" s="53">
        <f t="shared" si="5"/>
        <v>7486.3672402462616</v>
      </c>
      <c r="F33" s="54">
        <v>1191.4923520864234</v>
      </c>
      <c r="G33" s="47">
        <v>1110.02</v>
      </c>
      <c r="H33" s="76">
        <v>214.2122</v>
      </c>
      <c r="J33" s="31">
        <f t="array" ref="J33">E_0*(1-Sum_of_gs+SUM(Gamma*Tau^2*E33^2/(1+Tau^2*E33^2)))</f>
        <v>1157.8525737776738</v>
      </c>
      <c r="K33" s="31">
        <f t="array" ref="K33">E_0*SUM(Gamma*Tau*E33/(1+Tau^2*E33^2))</f>
        <v>229.38431432261552</v>
      </c>
      <c r="L33" s="32">
        <f t="shared" si="3"/>
        <v>1.856888781423554E-3</v>
      </c>
      <c r="M33" s="32">
        <f t="shared" si="4"/>
        <v>5.0165345757960042E-3</v>
      </c>
      <c r="AA33">
        <f t="shared" si="2"/>
        <v>0.19811184905364385</v>
      </c>
    </row>
    <row r="34" spans="2:27" x14ac:dyDescent="0.25">
      <c r="B34">
        <v>0.22</v>
      </c>
      <c r="C34">
        <v>0.01</v>
      </c>
      <c r="E34" s="53">
        <f t="shared" si="5"/>
        <v>15970.916779192012</v>
      </c>
      <c r="F34" s="54">
        <v>2541.8503511177009</v>
      </c>
      <c r="G34" s="47">
        <v>1210.2940000000001</v>
      </c>
      <c r="H34" s="76">
        <v>203.24809999999999</v>
      </c>
      <c r="J34" s="31">
        <f t="array" ref="J34">E_0*(1-Sum_of_gs+SUM(Gamma*Tau^2*E34^2/(1+Tau^2*E34^2)))</f>
        <v>1289.7007218072301</v>
      </c>
      <c r="K34" s="31">
        <f t="array" ref="K34">E_0*SUM(Gamma*Tau*E34/(1+Tau^2*E34^2))</f>
        <v>219.46178308107847</v>
      </c>
      <c r="L34" s="32">
        <f t="shared" si="3"/>
        <v>4.3045997264429146E-3</v>
      </c>
      <c r="M34" s="32">
        <f t="shared" si="4"/>
        <v>6.3637098633549374E-3</v>
      </c>
      <c r="AA34">
        <f t="shared" si="2"/>
        <v>0.17016489125752474</v>
      </c>
    </row>
    <row r="35" spans="2:27" x14ac:dyDescent="0.25">
      <c r="B35">
        <v>0.22</v>
      </c>
      <c r="C35">
        <v>0.1</v>
      </c>
      <c r="E35" s="53">
        <f t="shared" si="5"/>
        <v>33938.198155783051</v>
      </c>
      <c r="F35" s="54">
        <v>5401.4319961251185</v>
      </c>
      <c r="G35" s="47">
        <v>1304.481</v>
      </c>
      <c r="H35" s="76">
        <v>193.91489999999999</v>
      </c>
      <c r="J35" s="31">
        <f t="array" ref="J35">E_0*(1-Sum_of_gs+SUM(Gamma*Tau^2*E35^2/(1+Tau^2*E35^2)))</f>
        <v>1379.8274979426087</v>
      </c>
      <c r="K35" s="31">
        <f t="array" ref="K35">E_0*SUM(Gamma*Tau*E35/(1+Tau^2*E35^2))</f>
        <v>191.06108935667328</v>
      </c>
      <c r="L35" s="32">
        <f t="shared" si="3"/>
        <v>3.3361888531495128E-3</v>
      </c>
      <c r="M35" s="32">
        <f t="shared" si="4"/>
        <v>2.1658478555566362E-4</v>
      </c>
      <c r="AA35">
        <f t="shared" si="2"/>
        <v>0.13846737337932086</v>
      </c>
    </row>
    <row r="36" spans="2:27" x14ac:dyDescent="0.25">
      <c r="B36">
        <v>0.1</v>
      </c>
      <c r="C36">
        <v>1</v>
      </c>
      <c r="E36" s="53">
        <f t="shared" si="5"/>
        <v>74863.6724024625</v>
      </c>
      <c r="F36" s="54">
        <v>11914.923520864215</v>
      </c>
      <c r="G36" s="47">
        <v>1395.328</v>
      </c>
      <c r="H36" s="76">
        <v>186.58260000000001</v>
      </c>
      <c r="J36" s="31">
        <f t="array" ref="J36">E_0*(1-Sum_of_gs+SUM(Gamma*Tau^2*E36^2/(1+Tau^2*E36^2)))</f>
        <v>1467.9729941622822</v>
      </c>
      <c r="K36" s="31">
        <f t="array" ref="K36">E_0*SUM(Gamma*Tau*E36/(1+Tau^2*E36^2))</f>
        <v>195.71172593992344</v>
      </c>
      <c r="L36" s="32">
        <f t="shared" si="3"/>
        <v>2.7105583941766645E-3</v>
      </c>
      <c r="M36" s="32">
        <f t="shared" si="4"/>
        <v>2.3939557330607641E-3</v>
      </c>
      <c r="AA36">
        <f t="shared" si="2"/>
        <v>0.13332106702113336</v>
      </c>
    </row>
    <row r="37" spans="2:27" x14ac:dyDescent="0.25">
      <c r="B37">
        <v>0.01</v>
      </c>
      <c r="C37" s="13">
        <v>10</v>
      </c>
      <c r="E37" s="53">
        <f t="shared" si="5"/>
        <v>159709.16779192028</v>
      </c>
      <c r="F37" s="54">
        <v>25418.503511177038</v>
      </c>
      <c r="G37" s="47">
        <v>1480.018</v>
      </c>
      <c r="H37" s="76">
        <v>179.56540000000001</v>
      </c>
      <c r="J37" s="31">
        <f t="array" ref="J37">E_0*(1-Sum_of_gs+SUM(Gamma*Tau^2*E37^2/(1+Tau^2*E37^2)))</f>
        <v>1570.2153472324799</v>
      </c>
      <c r="K37" s="31">
        <f t="array" ref="K37">E_0*SUM(Gamma*Tau*E37/(1+Tau^2*E37^2))</f>
        <v>188.42910106021324</v>
      </c>
      <c r="L37" s="32">
        <f t="shared" si="3"/>
        <v>3.7140995066432788E-3</v>
      </c>
      <c r="M37" s="32">
        <f t="shared" si="4"/>
        <v>2.436603627257965E-3</v>
      </c>
      <c r="AA37">
        <f t="shared" si="2"/>
        <v>0.12000207576134153</v>
      </c>
    </row>
    <row r="38" spans="2:27" x14ac:dyDescent="0.25">
      <c r="B38">
        <v>1E-3</v>
      </c>
      <c r="C38" s="11">
        <v>100</v>
      </c>
      <c r="E38" s="53">
        <f t="shared" si="5"/>
        <v>339381.98155783024</v>
      </c>
      <c r="F38" s="54">
        <v>54014.319961251145</v>
      </c>
      <c r="G38" s="47">
        <v>1562.296</v>
      </c>
      <c r="H38" s="76">
        <v>175.7621</v>
      </c>
      <c r="J38" s="31">
        <f t="array" ref="J38">E_0*(1-Sum_of_gs+SUM(Gamma*Tau^2*E38^2/(1+Tau^2*E38^2)))</f>
        <v>1646.7348565858681</v>
      </c>
      <c r="K38" s="31">
        <f t="array" ref="K38">E_0*SUM(Gamma*Tau*E38/(1+Tau^2*E38^2))</f>
        <v>178.93104130065106</v>
      </c>
      <c r="L38" s="32">
        <f t="shared" si="3"/>
        <v>2.9211781656746727E-3</v>
      </c>
      <c r="M38" s="32">
        <f t="shared" si="4"/>
        <v>3.2507077271749931E-4</v>
      </c>
      <c r="AA38">
        <f t="shared" si="2"/>
        <v>0.10865807606187682</v>
      </c>
    </row>
    <row r="39" spans="2:27" x14ac:dyDescent="0.25">
      <c r="C39" s="11"/>
      <c r="E39" s="53">
        <f t="shared" si="5"/>
        <v>728673.07805063599</v>
      </c>
      <c r="F39" s="54">
        <v>115971.92226974518</v>
      </c>
      <c r="G39" s="47">
        <v>1643.249</v>
      </c>
      <c r="H39" s="76">
        <v>172.90360000000001</v>
      </c>
      <c r="J39" s="31">
        <f t="array" ref="J39">E_0*(1-Sum_of_gs+SUM(Gamma*Tau^2*E39^2/(1+Tau^2*E39^2)))</f>
        <v>1737.382640662483</v>
      </c>
      <c r="K39" s="31">
        <f t="array" ref="K39">E_0*SUM(Gamma*Tau*E39/(1+Tau^2*E39^2))</f>
        <v>197.40944678078014</v>
      </c>
      <c r="L39" s="32">
        <f t="shared" si="3"/>
        <v>3.2815797099524499E-3</v>
      </c>
      <c r="M39" s="32">
        <f t="shared" si="4"/>
        <v>2.00877528387742E-2</v>
      </c>
      <c r="AA39">
        <f t="shared" si="2"/>
        <v>0.11362462255609147</v>
      </c>
    </row>
    <row r="40" spans="2:27" x14ac:dyDescent="0.25">
      <c r="C40" s="11"/>
      <c r="E40" s="53">
        <f t="shared" si="5"/>
        <v>1577128.0319452139</v>
      </c>
      <c r="F40" s="54">
        <v>251007.72217287341</v>
      </c>
      <c r="G40" s="47">
        <v>1724.9110000000001</v>
      </c>
      <c r="H40" s="76">
        <v>171.94540000000001</v>
      </c>
      <c r="J40" s="31">
        <f t="array" ref="J40">E_0*(1-Sum_of_gs+SUM(Gamma*Tau^2*E40^2/(1+Tau^2*E40^2)))</f>
        <v>1855.5375128803091</v>
      </c>
      <c r="K40" s="31">
        <f t="array" ref="K40">E_0*SUM(Gamma*Tau*E40/(1+Tau^2*E40^2))</f>
        <v>183.89945722108598</v>
      </c>
      <c r="L40" s="32">
        <f t="shared" si="3"/>
        <v>5.7349453431835744E-3</v>
      </c>
      <c r="M40" s="32">
        <f t="shared" si="4"/>
        <v>4.8333643800397945E-3</v>
      </c>
      <c r="AA40">
        <f t="shared" si="2"/>
        <v>9.9108455606280357E-2</v>
      </c>
    </row>
    <row r="41" spans="2:27" x14ac:dyDescent="0.25">
      <c r="B41" s="6">
        <v>0.2822470320221131</v>
      </c>
      <c r="C41" s="75">
        <v>1.2214954516132296E-4</v>
      </c>
      <c r="E41" s="53">
        <f t="shared" si="5"/>
        <v>3393819.8155783061</v>
      </c>
      <c r="F41" s="54">
        <v>540143.19961251202</v>
      </c>
      <c r="G41" s="47">
        <v>1801.5840000000001</v>
      </c>
      <c r="H41" s="76">
        <v>169.36510000000001</v>
      </c>
      <c r="J41" s="31">
        <f t="array" ref="J41">E_0*(1-Sum_of_gs+SUM(Gamma*Tau^2*E41^2/(1+Tau^2*E41^2)))</f>
        <v>1931.326653643189</v>
      </c>
      <c r="K41" s="31">
        <f t="array" ref="K41">E_0*SUM(Gamma*Tau*E41/(1+Tau^2*E41^2))</f>
        <v>146.88276016575668</v>
      </c>
      <c r="L41" s="32">
        <f t="shared" si="3"/>
        <v>5.1862866915009676E-3</v>
      </c>
      <c r="M41" s="32">
        <f t="shared" si="4"/>
        <v>1.7621187425662536E-2</v>
      </c>
      <c r="AA41">
        <f t="shared" si="2"/>
        <v>7.6052779517479352E-2</v>
      </c>
    </row>
    <row r="42" spans="2:27" x14ac:dyDescent="0.25">
      <c r="B42" s="6">
        <v>0.33976764645363716</v>
      </c>
      <c r="C42" s="75">
        <v>3.7553601033504564E-3</v>
      </c>
      <c r="E42" s="53">
        <f t="shared" si="5"/>
        <v>9424777.9607694019</v>
      </c>
      <c r="F42" s="54">
        <v>1500000.0000000037</v>
      </c>
      <c r="G42" s="47">
        <v>1877.809</v>
      </c>
      <c r="H42" s="76">
        <v>129.7192</v>
      </c>
      <c r="J42" s="31">
        <f t="array" ref="J42">E_0*(1-Sum_of_gs+SUM(Gamma*Tau^2*E42^2/(1+Tau^2*E42^2)))</f>
        <v>2009.3519569666537</v>
      </c>
      <c r="K42" s="31">
        <f t="array" ref="K42">E_0*SUM(Gamma*Tau*E42/(1+Tau^2*E42^2))</f>
        <v>138.24619362672314</v>
      </c>
      <c r="L42" s="32">
        <f t="shared" si="3"/>
        <v>4.9071842858709981E-3</v>
      </c>
      <c r="M42" s="32">
        <f t="shared" si="4"/>
        <v>4.3209909178015754E-3</v>
      </c>
      <c r="AA42">
        <f t="shared" si="2"/>
        <v>6.8801383026705562E-2</v>
      </c>
    </row>
    <row r="43" spans="2:27" x14ac:dyDescent="0.25">
      <c r="B43" s="6">
        <v>0.25598504362952784</v>
      </c>
      <c r="C43" s="75">
        <v>4.2671097270195309E-2</v>
      </c>
      <c r="E43" s="53">
        <f t="shared" si="5"/>
        <v>28902652.413026154</v>
      </c>
      <c r="F43" s="54">
        <v>4600000.0000000093</v>
      </c>
      <c r="G43" s="47">
        <v>1966.98</v>
      </c>
      <c r="H43" s="76">
        <v>125.2085</v>
      </c>
      <c r="J43" s="31">
        <f t="array" ref="J43">E_0*(1-Sum_of_gs+SUM(Gamma*Tau^2*E43^2/(1+Tau^2*E43^2)))</f>
        <v>2096.4338965342799</v>
      </c>
      <c r="K43" s="31">
        <f t="array" ref="K43">E_0*SUM(Gamma*Tau*E43/(1+Tau^2*E43^2))</f>
        <v>140.46301431875736</v>
      </c>
      <c r="L43" s="32">
        <f t="shared" si="3"/>
        <v>4.3314206838754197E-3</v>
      </c>
      <c r="M43" s="32">
        <f t="shared" si="4"/>
        <v>1.4843254859005525E-2</v>
      </c>
      <c r="AA43">
        <f>K46/J46</f>
        <v>2.1410046496832078E-2</v>
      </c>
    </row>
    <row r="44" spans="2:27" x14ac:dyDescent="0.25">
      <c r="B44" s="6">
        <v>0.11371756578768652</v>
      </c>
      <c r="C44" s="75">
        <v>0.23645589172870465</v>
      </c>
      <c r="E44" s="53">
        <f t="shared" si="5"/>
        <v>91734505.484822139</v>
      </c>
      <c r="F44" s="54">
        <v>14600000.000000028</v>
      </c>
      <c r="G44" s="47">
        <v>2056.576</v>
      </c>
      <c r="H44" s="76">
        <v>124.0275</v>
      </c>
      <c r="J44" s="31">
        <f t="array" ref="J44">E_0*(1-Sum_of_gs+SUM(Gamma*Tau^2*E44^2/(1+Tau^2*E44^2)))</f>
        <v>2229.1615502640452</v>
      </c>
      <c r="K44" s="31">
        <f t="array" ref="K44">E_0*SUM(Gamma*Tau*E44/(1+Tau^2*E44^2))</f>
        <v>174.71970602577321</v>
      </c>
      <c r="L44" s="32">
        <f t="shared" si="3"/>
        <v>7.0423780702781455E-3</v>
      </c>
      <c r="M44" s="32">
        <f t="shared" si="4"/>
        <v>0.16704997038435715</v>
      </c>
      <c r="AA44">
        <f>K47/J47</f>
        <v>2.1846865706516413E-3</v>
      </c>
    </row>
    <row r="45" spans="2:27" x14ac:dyDescent="0.25">
      <c r="B45" s="6">
        <v>4.3096145672713746E-3</v>
      </c>
      <c r="C45" s="75">
        <v>4.3470872140217001</v>
      </c>
      <c r="E45" s="53">
        <f t="shared" si="5"/>
        <v>291539798.25313365</v>
      </c>
      <c r="F45" s="54">
        <v>46400000.000000134</v>
      </c>
      <c r="G45" s="47">
        <v>2145.627</v>
      </c>
      <c r="H45" s="76">
        <v>124.6859</v>
      </c>
      <c r="J45" s="31">
        <f t="array" ref="J45">E_0*(1-Sum_of_gs+SUM(Gamma*Tau^2*E45^2/(1+Tau^2*E45^2)))</f>
        <v>2367.0493614599786</v>
      </c>
      <c r="K45" s="31">
        <f t="array" ref="K45">E_0*SUM(Gamma*Tau*E45/(1+Tau^2*E45^2))</f>
        <v>101.77717805783826</v>
      </c>
      <c r="L45" s="32">
        <f t="shared" si="3"/>
        <v>1.0649629653067635E-2</v>
      </c>
      <c r="M45" s="32">
        <f t="shared" si="4"/>
        <v>3.3757247901751122E-2</v>
      </c>
      <c r="AA45">
        <f>K48/J48</f>
        <v>2.1851330136442532E-4</v>
      </c>
    </row>
    <row r="46" spans="2:27" ht="15.75" thickBot="1" x14ac:dyDescent="0.3">
      <c r="B46" s="6">
        <v>2.1983821644397882E-4</v>
      </c>
      <c r="C46" s="11">
        <v>10</v>
      </c>
      <c r="E46" s="53">
        <f t="shared" si="5"/>
        <v>628318530.71795857</v>
      </c>
      <c r="F46" s="55">
        <v>100000000</v>
      </c>
      <c r="G46" s="48">
        <v>2180.3760000000002</v>
      </c>
      <c r="H46" s="77">
        <v>128.73769999999999</v>
      </c>
      <c r="J46" s="31">
        <f t="array" ref="J46">E_0*(1-Sum_of_gs+SUM(Gamma*Tau^2*E46^2/(1+Tau^2*E46^2)))</f>
        <v>2392.270505375755</v>
      </c>
      <c r="K46" s="31">
        <f t="array" ref="K46">E_0*SUM(Gamma*Tau*E46/(1+Tau^2*E46^2))</f>
        <v>51.218622753094884</v>
      </c>
      <c r="L46" s="32">
        <f>(1-J46/G46)^2</f>
        <v>9.4444485359114292E-3</v>
      </c>
      <c r="M46" s="32">
        <f t="shared" si="4"/>
        <v>0.36258154661198227</v>
      </c>
    </row>
    <row r="47" spans="2:27" x14ac:dyDescent="0.25">
      <c r="C47" s="11"/>
      <c r="E47" s="36">
        <f t="shared" si="5"/>
        <v>6283185307.1795864</v>
      </c>
      <c r="F47" s="37">
        <v>1000000000</v>
      </c>
      <c r="G47" s="38"/>
      <c r="H47" s="39"/>
      <c r="I47" s="40"/>
      <c r="J47" s="26">
        <f t="array" ref="J47">E_0*(1-Sum_of_gs+SUM(Gamma*Tau^2*E47^2/(1+Tau^2*E47^2)))</f>
        <v>2399.9207767489329</v>
      </c>
      <c r="K47" s="26">
        <f t="array" ref="K47">E_0*SUM(Gamma*Tau*E47/(1+Tau^2*E47^2))</f>
        <v>5.2430746915912492</v>
      </c>
      <c r="L47" s="27"/>
      <c r="M47" s="27"/>
    </row>
    <row r="48" spans="2:27" x14ac:dyDescent="0.25">
      <c r="C48" s="11"/>
      <c r="E48" s="39">
        <f t="shared" si="5"/>
        <v>62831853071.79586</v>
      </c>
      <c r="F48" s="37">
        <v>10000000000</v>
      </c>
      <c r="G48" s="38"/>
      <c r="H48" s="39"/>
      <c r="I48" s="40"/>
      <c r="J48" s="26">
        <f t="array" ref="J48">E_0*(1-Sum_of_gs+SUM(Gamma*Tau^2*E48^2/(1+Tau^2*E48^2)))</f>
        <v>2399.9992075697751</v>
      </c>
      <c r="K48" s="26">
        <f t="array" ref="K48">E_0*SUM(Gamma*Tau*E48/(1+Tau^2*E48^2))</f>
        <v>0.52443175011807619</v>
      </c>
      <c r="L48" s="27"/>
      <c r="M48" s="27"/>
    </row>
    <row r="49" spans="3:13" x14ac:dyDescent="0.25">
      <c r="C49" s="11"/>
      <c r="K49"/>
      <c r="L49"/>
    </row>
    <row r="50" spans="3:13" x14ac:dyDescent="0.25">
      <c r="C50" s="11"/>
      <c r="K50" s="35" t="s">
        <v>34</v>
      </c>
      <c r="L50" s="41">
        <f>SUM(L6:L46)</f>
        <v>0.10500090282820697</v>
      </c>
      <c r="M50" s="41">
        <f>SUM(M6:M46)</f>
        <v>0.70435466010065584</v>
      </c>
    </row>
    <row r="51" spans="3:13" x14ac:dyDescent="0.25">
      <c r="C51" s="11"/>
      <c r="K51" s="4" t="s">
        <v>35</v>
      </c>
      <c r="L51">
        <v>1</v>
      </c>
      <c r="M51">
        <v>1</v>
      </c>
    </row>
    <row r="52" spans="3:13" x14ac:dyDescent="0.25">
      <c r="C52" s="11"/>
      <c r="K52" t="s">
        <v>36</v>
      </c>
      <c r="L52" s="87">
        <f>Es_Error*L51+El_Error*M51</f>
        <v>0.80935556292886279</v>
      </c>
      <c r="M52" s="87"/>
    </row>
    <row r="53" spans="3:13" x14ac:dyDescent="0.25">
      <c r="C53" s="11"/>
      <c r="K53"/>
      <c r="L53"/>
    </row>
    <row r="54" spans="3:13" x14ac:dyDescent="0.25">
      <c r="C54" s="11"/>
      <c r="K54"/>
      <c r="L54"/>
    </row>
    <row r="55" spans="3:13" x14ac:dyDescent="0.25">
      <c r="C55" s="11"/>
      <c r="K55"/>
      <c r="L55"/>
    </row>
    <row r="56" spans="3:13" x14ac:dyDescent="0.25">
      <c r="K56"/>
      <c r="L56"/>
    </row>
    <row r="57" spans="3:13" x14ac:dyDescent="0.25">
      <c r="K57"/>
      <c r="L57"/>
    </row>
    <row r="58" spans="3:13" x14ac:dyDescent="0.25">
      <c r="K58"/>
      <c r="L58"/>
    </row>
    <row r="59" spans="3:13" x14ac:dyDescent="0.25">
      <c r="K59"/>
      <c r="L59"/>
    </row>
    <row r="60" spans="3:13" x14ac:dyDescent="0.25">
      <c r="K60"/>
      <c r="L60"/>
    </row>
    <row r="61" spans="3:13" x14ac:dyDescent="0.25">
      <c r="K61"/>
      <c r="L61"/>
    </row>
    <row r="62" spans="3:13" x14ac:dyDescent="0.25">
      <c r="K62"/>
      <c r="L62"/>
    </row>
    <row r="63" spans="3:13" x14ac:dyDescent="0.25">
      <c r="K63"/>
      <c r="L63"/>
    </row>
    <row r="64" spans="3:13" x14ac:dyDescent="0.25">
      <c r="K64"/>
      <c r="L64"/>
    </row>
    <row r="65" spans="11:12" x14ac:dyDescent="0.25">
      <c r="K65"/>
      <c r="L65"/>
    </row>
    <row r="66" spans="11:12" x14ac:dyDescent="0.25">
      <c r="K66"/>
      <c r="L66"/>
    </row>
    <row r="67" spans="11:12" x14ac:dyDescent="0.25">
      <c r="K67"/>
      <c r="L67"/>
    </row>
    <row r="68" spans="11:12" x14ac:dyDescent="0.25">
      <c r="K68"/>
      <c r="L68"/>
    </row>
    <row r="69" spans="11:12" x14ac:dyDescent="0.25">
      <c r="K69"/>
      <c r="L69"/>
    </row>
    <row r="70" spans="11:12" x14ac:dyDescent="0.25">
      <c r="L70"/>
    </row>
  </sheetData>
  <mergeCells count="3">
    <mergeCell ref="C2:D2"/>
    <mergeCell ref="F2:H2"/>
    <mergeCell ref="L52:M52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02"/>
  <sheetViews>
    <sheetView zoomScale="90" zoomScaleNormal="90" workbookViewId="0">
      <selection activeCell="Q33" sqref="Q33"/>
    </sheetView>
  </sheetViews>
  <sheetFormatPr defaultRowHeight="15" x14ac:dyDescent="0.25"/>
  <cols>
    <col min="1" max="3" width="12.7109375" customWidth="1"/>
    <col min="20" max="22" width="12.7109375" customWidth="1"/>
  </cols>
  <sheetData>
    <row r="1" spans="1:22" x14ac:dyDescent="0.25">
      <c r="E1" t="s">
        <v>122</v>
      </c>
    </row>
    <row r="2" spans="1:22" x14ac:dyDescent="0.25">
      <c r="A2" s="46" t="s">
        <v>54</v>
      </c>
      <c r="B2" s="46" t="s">
        <v>53</v>
      </c>
      <c r="C2" s="46" t="s">
        <v>52</v>
      </c>
      <c r="S2" t="s">
        <v>123</v>
      </c>
    </row>
    <row r="3" spans="1:22" x14ac:dyDescent="0.25">
      <c r="A3" s="46" t="s">
        <v>55</v>
      </c>
      <c r="B3" s="46"/>
      <c r="C3" s="46"/>
      <c r="S3" t="s">
        <v>124</v>
      </c>
    </row>
    <row r="4" spans="1:22" x14ac:dyDescent="0.25">
      <c r="A4" s="1">
        <v>1.00000001E-7</v>
      </c>
      <c r="B4" s="1">
        <v>6.7613425300000003</v>
      </c>
      <c r="C4" s="1">
        <v>0.17448882800000001</v>
      </c>
      <c r="S4" t="s">
        <v>125</v>
      </c>
      <c r="T4" s="1"/>
      <c r="U4" s="1"/>
      <c r="V4" s="1"/>
    </row>
    <row r="5" spans="1:22" x14ac:dyDescent="0.25">
      <c r="A5" s="1">
        <v>1.29930882E-7</v>
      </c>
      <c r="B5" s="1">
        <v>6.7682766900000004</v>
      </c>
      <c r="C5" s="1">
        <v>0.22615245</v>
      </c>
      <c r="S5" t="s">
        <v>126</v>
      </c>
      <c r="T5" s="1"/>
      <c r="U5" s="1"/>
      <c r="V5" s="1"/>
    </row>
    <row r="6" spans="1:22" x14ac:dyDescent="0.25">
      <c r="A6" s="1">
        <v>1.4810460400000001E-7</v>
      </c>
      <c r="B6" s="1">
        <v>6.7733445200000002</v>
      </c>
      <c r="C6" s="1">
        <v>0.25731641100000002</v>
      </c>
      <c r="S6" t="s">
        <v>125</v>
      </c>
      <c r="T6" s="1"/>
      <c r="U6" s="1"/>
      <c r="V6" s="1"/>
    </row>
    <row r="7" spans="1:22" x14ac:dyDescent="0.25">
      <c r="A7" s="1">
        <v>1.68820335E-7</v>
      </c>
      <c r="B7" s="1">
        <v>6.7798991199999996</v>
      </c>
      <c r="C7" s="1">
        <v>0.29261711200000001</v>
      </c>
      <c r="S7" t="s">
        <v>127</v>
      </c>
      <c r="T7" s="1"/>
      <c r="U7" s="1"/>
      <c r="V7" s="1"/>
    </row>
    <row r="8" spans="1:22" x14ac:dyDescent="0.25">
      <c r="A8" s="1">
        <v>1.92433617E-7</v>
      </c>
      <c r="B8" s="1">
        <v>6.7883663199999997</v>
      </c>
      <c r="C8" s="1">
        <v>0.33252912800000001</v>
      </c>
      <c r="S8" t="s">
        <v>128</v>
      </c>
      <c r="T8" s="1"/>
      <c r="U8" s="1"/>
      <c r="V8" s="1"/>
    </row>
    <row r="9" spans="1:22" x14ac:dyDescent="0.25">
      <c r="A9" s="1">
        <v>2.1934974400000001E-7</v>
      </c>
      <c r="B9" s="1">
        <v>6.79928446</v>
      </c>
      <c r="C9" s="1">
        <v>0.37754595299999999</v>
      </c>
      <c r="S9" t="s">
        <v>129</v>
      </c>
      <c r="T9" s="1"/>
      <c r="U9" s="1"/>
      <c r="V9" s="1"/>
    </row>
    <row r="10" spans="1:22" x14ac:dyDescent="0.25">
      <c r="A10" s="1">
        <v>2.50030695E-7</v>
      </c>
      <c r="B10" s="1">
        <v>6.8133325600000001</v>
      </c>
      <c r="C10" s="1">
        <v>0.42816206800000001</v>
      </c>
      <c r="S10" t="s">
        <v>130</v>
      </c>
      <c r="T10" s="1"/>
      <c r="U10" s="1"/>
      <c r="V10" s="1"/>
    </row>
    <row r="11" spans="1:22" x14ac:dyDescent="0.25">
      <c r="A11" s="1">
        <v>2.8500303999999999E-7</v>
      </c>
      <c r="B11" s="1">
        <v>6.8313560500000001</v>
      </c>
      <c r="C11" s="1">
        <v>0.48484453599999999</v>
      </c>
      <c r="S11" t="s">
        <v>131</v>
      </c>
      <c r="T11" s="1"/>
      <c r="U11" s="1"/>
      <c r="V11" s="1"/>
    </row>
    <row r="12" spans="1:22" x14ac:dyDescent="0.25">
      <c r="A12" s="1">
        <v>3.24867074E-7</v>
      </c>
      <c r="B12" s="1">
        <v>6.8543944400000001</v>
      </c>
      <c r="C12" s="1">
        <v>0.54799067999999995</v>
      </c>
      <c r="S12" t="s">
        <v>132</v>
      </c>
      <c r="T12" s="1"/>
      <c r="U12" s="1"/>
      <c r="V12" s="1"/>
    </row>
    <row r="13" spans="1:22" x14ac:dyDescent="0.25">
      <c r="A13" s="1">
        <v>3.7030696399999998E-7</v>
      </c>
      <c r="B13" s="1">
        <v>6.8837070499999999</v>
      </c>
      <c r="C13" s="1">
        <v>0.61786729100000004</v>
      </c>
      <c r="S13" t="s">
        <v>133</v>
      </c>
      <c r="T13" s="1"/>
      <c r="U13" s="1"/>
      <c r="V13" s="1"/>
    </row>
    <row r="14" spans="1:22" x14ac:dyDescent="0.25">
      <c r="A14" s="1">
        <v>4.2210263000000001E-7</v>
      </c>
      <c r="B14" s="1">
        <v>6.9207806600000001</v>
      </c>
      <c r="C14" s="1">
        <v>0.69452857999999995</v>
      </c>
      <c r="S14" t="s">
        <v>134</v>
      </c>
      <c r="T14" s="1"/>
      <c r="U14" s="1"/>
      <c r="V14" s="1"/>
    </row>
    <row r="15" spans="1:22" x14ac:dyDescent="0.25">
      <c r="A15" s="1">
        <v>4.8114310400000002E-7</v>
      </c>
      <c r="B15" s="1">
        <v>6.9673194900000004</v>
      </c>
      <c r="C15" s="1">
        <v>0.77771014000000005</v>
      </c>
      <c r="S15" t="s">
        <v>135</v>
      </c>
      <c r="T15" s="1"/>
      <c r="U15" s="1"/>
      <c r="V15" s="1"/>
    </row>
    <row r="16" spans="1:22" x14ac:dyDescent="0.25">
      <c r="A16" s="1">
        <v>5.48441676E-7</v>
      </c>
      <c r="B16" s="1">
        <v>7.0251927399999996</v>
      </c>
      <c r="C16" s="1">
        <v>0.86670345100000001</v>
      </c>
      <c r="S16" t="s">
        <v>136</v>
      </c>
      <c r="T16" s="1"/>
      <c r="U16" s="1"/>
      <c r="V16" s="1"/>
    </row>
    <row r="17" spans="1:22" x14ac:dyDescent="0.25">
      <c r="A17" s="1">
        <v>6.2515346100000002E-7</v>
      </c>
      <c r="B17" s="1">
        <v>7.0963253999999996</v>
      </c>
      <c r="C17" s="1">
        <v>0.96022158899999999</v>
      </c>
      <c r="S17" t="s">
        <v>137</v>
      </c>
      <c r="T17" s="1"/>
      <c r="U17" s="1"/>
      <c r="V17" s="1"/>
    </row>
    <row r="18" spans="1:22" x14ac:dyDescent="0.25">
      <c r="A18" s="1">
        <v>7.1259506699999996E-7</v>
      </c>
      <c r="B18" s="1">
        <v>7.1825146699999998</v>
      </c>
      <c r="C18" s="1">
        <v>1.05628181</v>
      </c>
      <c r="S18" t="s">
        <v>138</v>
      </c>
      <c r="T18" s="1"/>
      <c r="U18" s="1"/>
      <c r="V18" s="1"/>
    </row>
    <row r="19" spans="1:22" x14ac:dyDescent="0.25">
      <c r="A19" s="1">
        <v>8.1226733100000001E-7</v>
      </c>
      <c r="B19" s="1">
        <v>7.2851586299999997</v>
      </c>
      <c r="C19" s="1">
        <v>1.1521465799999999</v>
      </c>
      <c r="S19" t="s">
        <v>137</v>
      </c>
      <c r="T19" s="1"/>
      <c r="U19" s="1"/>
      <c r="V19" s="1"/>
    </row>
    <row r="20" spans="1:22" x14ac:dyDescent="0.25">
      <c r="A20" s="1">
        <v>9.2588101100000004E-7</v>
      </c>
      <c r="B20" s="1">
        <v>7.4049234400000001</v>
      </c>
      <c r="C20" s="1">
        <v>1.2443753500000001</v>
      </c>
      <c r="S20" t="s">
        <v>139</v>
      </c>
      <c r="T20" s="1"/>
      <c r="U20" s="1"/>
      <c r="V20" s="1"/>
    </row>
    <row r="21" spans="1:22" x14ac:dyDescent="0.25">
      <c r="A21" s="1">
        <v>1.0553860599999999E-6</v>
      </c>
      <c r="B21" s="1">
        <v>7.5413870799999998</v>
      </c>
      <c r="C21" s="1">
        <v>1.32904339</v>
      </c>
      <c r="S21" t="s">
        <v>140</v>
      </c>
      <c r="T21" s="1"/>
      <c r="U21" s="1"/>
      <c r="V21" s="1"/>
    </row>
    <row r="22" spans="1:22" x14ac:dyDescent="0.25">
      <c r="A22" s="1">
        <v>1.2030053500000001E-6</v>
      </c>
      <c r="B22" s="1">
        <v>7.6927657099999998</v>
      </c>
      <c r="C22" s="1">
        <v>1.4021520599999999</v>
      </c>
      <c r="S22" s="52" t="s">
        <v>141</v>
      </c>
      <c r="T22" s="1"/>
      <c r="U22" s="1"/>
      <c r="V22" s="1"/>
    </row>
    <row r="23" spans="1:22" x14ac:dyDescent="0.25">
      <c r="A23" s="1">
        <v>1.3712724499999999E-6</v>
      </c>
      <c r="B23" s="1">
        <v>7.8558230399999998</v>
      </c>
      <c r="C23" s="1">
        <v>1.4601983999999999</v>
      </c>
      <c r="S23" s="57" t="s">
        <v>196</v>
      </c>
      <c r="T23" s="1"/>
      <c r="U23" s="1"/>
      <c r="V23" s="1"/>
    </row>
    <row r="24" spans="1:22" x14ac:dyDescent="0.25">
      <c r="A24" s="1">
        <v>1.56307544E-6</v>
      </c>
      <c r="B24" s="1">
        <v>8.0260744099999997</v>
      </c>
      <c r="C24" s="1">
        <v>1.50079608</v>
      </c>
      <c r="S24" t="s">
        <v>142</v>
      </c>
      <c r="T24" s="1"/>
      <c r="U24" s="1"/>
      <c r="V24" s="1"/>
    </row>
    <row r="25" spans="1:22" x14ac:dyDescent="0.25">
      <c r="A25" s="1">
        <v>1.7817063700000001E-6</v>
      </c>
      <c r="B25" s="1">
        <v>8.1982860599999992</v>
      </c>
      <c r="C25" s="1">
        <v>1.5231769100000001</v>
      </c>
      <c r="S25">
        <v>2</v>
      </c>
      <c r="T25" s="1"/>
      <c r="U25" s="1"/>
      <c r="V25" s="1"/>
    </row>
    <row r="26" spans="1:22" x14ac:dyDescent="0.25">
      <c r="A26" s="1">
        <v>2.03091759E-6</v>
      </c>
      <c r="B26" s="1">
        <v>8.3671941800000003</v>
      </c>
      <c r="C26" s="1">
        <v>1.52841282</v>
      </c>
      <c r="S26" t="s">
        <v>143</v>
      </c>
      <c r="T26" s="1"/>
      <c r="U26" s="1"/>
      <c r="V26" s="1"/>
    </row>
    <row r="27" spans="1:22" x14ac:dyDescent="0.25">
      <c r="A27" s="1">
        <v>2.3149866600000002E-6</v>
      </c>
      <c r="B27" s="1">
        <v>8.5282497399999997</v>
      </c>
      <c r="C27" s="1">
        <v>1.5192771</v>
      </c>
      <c r="S27" t="s">
        <v>125</v>
      </c>
      <c r="T27" s="1"/>
      <c r="U27" s="1"/>
      <c r="V27" s="1"/>
    </row>
    <row r="28" spans="1:22" x14ac:dyDescent="0.25">
      <c r="A28" s="1">
        <v>2.6387890600000002E-6</v>
      </c>
      <c r="B28" s="1">
        <v>8.6781978599999992</v>
      </c>
      <c r="C28" s="1">
        <v>1.49978995</v>
      </c>
      <c r="S28" t="s">
        <v>144</v>
      </c>
      <c r="T28" s="1"/>
      <c r="U28" s="1"/>
      <c r="V28" s="1"/>
    </row>
    <row r="29" spans="1:22" x14ac:dyDescent="0.25">
      <c r="A29" s="1">
        <v>3.0078824700000002E-6</v>
      </c>
      <c r="B29" s="1">
        <v>8.8153781900000006</v>
      </c>
      <c r="C29" s="1">
        <v>1.4745901800000001</v>
      </c>
      <c r="S29" t="s">
        <v>125</v>
      </c>
      <c r="T29" s="1"/>
      <c r="U29" s="1"/>
      <c r="V29" s="1"/>
    </row>
    <row r="30" spans="1:22" x14ac:dyDescent="0.25">
      <c r="A30" s="1">
        <v>3.4286017600000001E-6</v>
      </c>
      <c r="B30" s="1">
        <v>8.9397192000000008</v>
      </c>
      <c r="C30" s="1">
        <v>1.44830573</v>
      </c>
      <c r="S30" t="s">
        <v>145</v>
      </c>
      <c r="T30" s="1"/>
      <c r="U30" s="1"/>
      <c r="V30" s="1"/>
    </row>
    <row r="31" spans="1:22" x14ac:dyDescent="0.25">
      <c r="A31" s="1">
        <v>3.9081683099999997E-6</v>
      </c>
      <c r="B31" s="1">
        <v>9.0525083500000001</v>
      </c>
      <c r="C31" s="1">
        <v>1.42504692</v>
      </c>
      <c r="S31" t="s">
        <v>125</v>
      </c>
      <c r="T31" s="1"/>
      <c r="U31" s="1"/>
      <c r="V31" s="1"/>
    </row>
    <row r="32" spans="1:22" x14ac:dyDescent="0.25">
      <c r="A32" s="1">
        <v>4.4548123699999999E-6</v>
      </c>
      <c r="B32" s="1">
        <v>9.1560516399999994</v>
      </c>
      <c r="C32" s="1">
        <v>1.40807664</v>
      </c>
      <c r="S32" t="s">
        <v>146</v>
      </c>
      <c r="T32" s="1"/>
      <c r="U32" s="1"/>
      <c r="V32" s="1"/>
    </row>
    <row r="33" spans="1:22" x14ac:dyDescent="0.25">
      <c r="A33" s="1">
        <v>5.07791719E-6</v>
      </c>
      <c r="B33" s="1">
        <v>9.2533006699999998</v>
      </c>
      <c r="C33" s="1">
        <v>1.3996397300000001</v>
      </c>
      <c r="S33" t="s">
        <v>125</v>
      </c>
      <c r="T33" s="1"/>
      <c r="U33" s="1"/>
      <c r="V33" s="1"/>
    </row>
    <row r="34" spans="1:22" x14ac:dyDescent="0.25">
      <c r="A34" s="1">
        <v>5.7881770799999998E-6</v>
      </c>
      <c r="B34" s="1">
        <v>9.34750938</v>
      </c>
      <c r="C34" s="1">
        <v>1.4009102600000001</v>
      </c>
      <c r="S34" t="s">
        <v>147</v>
      </c>
      <c r="T34" s="1"/>
      <c r="U34" s="1"/>
      <c r="V34" s="1"/>
    </row>
    <row r="35" spans="1:22" x14ac:dyDescent="0.25">
      <c r="A35" s="1">
        <v>6.5977824299999998E-6</v>
      </c>
      <c r="B35" s="1">
        <v>9.4419307700000008</v>
      </c>
      <c r="C35" s="1">
        <v>1.4120101899999999</v>
      </c>
      <c r="S35" t="s">
        <v>148</v>
      </c>
      <c r="T35" s="1"/>
      <c r="U35" s="1"/>
      <c r="V35" s="1"/>
    </row>
    <row r="36" spans="1:22" x14ac:dyDescent="0.25">
      <c r="A36" s="1">
        <v>7.52062942E-6</v>
      </c>
      <c r="B36" s="1">
        <v>9.5395326600000008</v>
      </c>
      <c r="C36" s="1">
        <v>1.43207705</v>
      </c>
      <c r="S36" t="s">
        <v>149</v>
      </c>
      <c r="T36" s="1"/>
      <c r="U36" s="1"/>
      <c r="V36" s="1"/>
    </row>
    <row r="37" spans="1:22" x14ac:dyDescent="0.25">
      <c r="A37" s="1">
        <v>8.5725569100000005E-6</v>
      </c>
      <c r="B37" s="1">
        <v>9.6427249899999996</v>
      </c>
      <c r="C37" s="1">
        <v>1.4593848</v>
      </c>
      <c r="S37" t="s">
        <v>125</v>
      </c>
      <c r="T37" s="1"/>
      <c r="U37" s="1"/>
      <c r="V37" s="1"/>
    </row>
    <row r="38" spans="1:22" x14ac:dyDescent="0.25">
      <c r="A38" s="1">
        <v>9.7716192600000006E-6</v>
      </c>
      <c r="B38" s="1">
        <v>9.7530889500000004</v>
      </c>
      <c r="C38" s="1">
        <v>1.49154198</v>
      </c>
      <c r="S38" t="s">
        <v>150</v>
      </c>
      <c r="T38" s="1"/>
      <c r="U38" s="1"/>
      <c r="V38" s="1"/>
    </row>
    <row r="39" spans="1:22" x14ac:dyDescent="0.25">
      <c r="A39" s="1">
        <v>1.11383979E-5</v>
      </c>
      <c r="B39" s="1">
        <v>9.8711576500000007</v>
      </c>
      <c r="C39" s="1">
        <v>1.5257951000000001</v>
      </c>
      <c r="S39" t="s">
        <v>151</v>
      </c>
      <c r="T39" s="1"/>
      <c r="U39" s="1"/>
      <c r="V39" s="1"/>
    </row>
    <row r="40" spans="1:22" x14ac:dyDescent="0.25">
      <c r="A40" s="1">
        <v>1.26963514E-5</v>
      </c>
      <c r="B40" s="1">
        <v>9.9962873499999993</v>
      </c>
      <c r="C40" s="1">
        <v>1.55944109</v>
      </c>
      <c r="S40" t="s">
        <v>152</v>
      </c>
      <c r="T40" s="1"/>
      <c r="U40" s="1"/>
      <c r="V40" s="1"/>
    </row>
    <row r="41" spans="1:22" x14ac:dyDescent="0.25">
      <c r="A41" s="1">
        <v>1.44722189E-5</v>
      </c>
      <c r="B41" s="1">
        <v>10.126714700000001</v>
      </c>
      <c r="C41" s="1">
        <v>1.59030771</v>
      </c>
      <c r="S41" t="s">
        <v>153</v>
      </c>
      <c r="T41" s="1"/>
      <c r="U41" s="1"/>
      <c r="V41" s="1"/>
    </row>
    <row r="42" spans="1:22" x14ac:dyDescent="0.25">
      <c r="A42" s="1">
        <v>1.6496480399999999E-5</v>
      </c>
      <c r="B42" s="1">
        <v>10.2598257</v>
      </c>
      <c r="C42" s="1">
        <v>1.61720598</v>
      </c>
      <c r="S42" t="s">
        <v>154</v>
      </c>
      <c r="T42" s="1">
        <v>1E-8</v>
      </c>
      <c r="U42" s="1"/>
      <c r="V42" s="1"/>
    </row>
    <row r="43" spans="1:22" x14ac:dyDescent="0.25">
      <c r="A43" s="1">
        <v>1.8803881199999999E-5</v>
      </c>
      <c r="B43" s="1">
        <v>10.392625799999999</v>
      </c>
      <c r="C43" s="1">
        <v>1.64023542</v>
      </c>
      <c r="S43" t="s">
        <v>155</v>
      </c>
      <c r="T43" s="1">
        <v>9.9999999999999995E-8</v>
      </c>
      <c r="U43" s="1"/>
      <c r="V43" s="1"/>
    </row>
    <row r="44" spans="1:22" x14ac:dyDescent="0.25">
      <c r="A44" s="1">
        <v>2.1434021599999999E-5</v>
      </c>
      <c r="B44" s="1">
        <v>10.522311200000001</v>
      </c>
      <c r="C44" s="1">
        <v>1.6608471899999999</v>
      </c>
      <c r="S44" t="s">
        <v>156</v>
      </c>
      <c r="T44" s="1">
        <v>9.9999999999999995E-7</v>
      </c>
      <c r="U44" s="1"/>
      <c r="V44" s="1"/>
    </row>
    <row r="45" spans="1:22" x14ac:dyDescent="0.25">
      <c r="A45" s="1">
        <v>2.4432047200000001E-5</v>
      </c>
      <c r="B45" s="1">
        <v>10.646801</v>
      </c>
      <c r="C45" s="1">
        <v>1.68164337</v>
      </c>
      <c r="S45" t="s">
        <v>157</v>
      </c>
      <c r="T45" s="1">
        <v>1.0000000000000001E-5</v>
      </c>
      <c r="U45" s="1"/>
      <c r="V45" s="1"/>
    </row>
    <row r="46" spans="1:22" x14ac:dyDescent="0.25">
      <c r="A46" s="1">
        <v>2.7849413500000002E-5</v>
      </c>
      <c r="B46" s="1">
        <v>10.76511</v>
      </c>
      <c r="C46" s="1">
        <v>1.7059787500000001</v>
      </c>
      <c r="S46" t="s">
        <v>158</v>
      </c>
      <c r="T46" s="1">
        <v>1E-4</v>
      </c>
      <c r="U46" s="1"/>
      <c r="V46" s="1"/>
    </row>
    <row r="47" spans="1:22" x14ac:dyDescent="0.25">
      <c r="A47" s="1">
        <v>3.1744773899999999E-5</v>
      </c>
      <c r="B47" s="1">
        <v>10.8775034</v>
      </c>
      <c r="C47" s="1">
        <v>1.7374776599999999</v>
      </c>
      <c r="S47" t="s">
        <v>159</v>
      </c>
      <c r="T47" s="1">
        <v>1E-3</v>
      </c>
      <c r="U47" s="1"/>
      <c r="V47" s="1"/>
    </row>
    <row r="48" spans="1:22" x14ac:dyDescent="0.25">
      <c r="A48" s="1">
        <v>3.6184988899999998E-5</v>
      </c>
      <c r="B48" s="1">
        <v>10.9854536</v>
      </c>
      <c r="C48" s="1">
        <v>1.77957845</v>
      </c>
      <c r="S48" t="s">
        <v>160</v>
      </c>
      <c r="T48" s="1">
        <v>0.01</v>
      </c>
      <c r="U48" s="1"/>
      <c r="V48" s="1"/>
    </row>
    <row r="49" spans="1:22" x14ac:dyDescent="0.25">
      <c r="A49" s="1">
        <v>4.1246265000000003E-5</v>
      </c>
      <c r="B49" s="1">
        <v>11.091451599999999</v>
      </c>
      <c r="C49" s="1">
        <v>1.83516908</v>
      </c>
      <c r="S49" t="s">
        <v>161</v>
      </c>
      <c r="T49" s="1">
        <v>0.1</v>
      </c>
      <c r="U49" s="1"/>
      <c r="V49" s="1"/>
    </row>
    <row r="50" spans="1:22" x14ac:dyDescent="0.25">
      <c r="A50" s="1">
        <v>4.7015473699999998E-5</v>
      </c>
      <c r="B50" s="1">
        <v>11.1987591</v>
      </c>
      <c r="C50" s="1">
        <v>1.90633035</v>
      </c>
      <c r="S50" t="s">
        <v>162</v>
      </c>
      <c r="T50" s="1">
        <v>1</v>
      </c>
      <c r="U50" s="1"/>
      <c r="V50" s="1"/>
    </row>
    <row r="51" spans="1:22" x14ac:dyDescent="0.25">
      <c r="A51" s="1">
        <v>5.3591633300000002E-5</v>
      </c>
      <c r="B51" s="1">
        <v>11.311126700000001</v>
      </c>
      <c r="C51" s="1">
        <v>1.9941635099999999</v>
      </c>
      <c r="S51" t="s">
        <v>163</v>
      </c>
      <c r="T51" s="1">
        <v>10</v>
      </c>
      <c r="U51" s="1"/>
      <c r="V51" s="1"/>
    </row>
    <row r="52" spans="1:22" x14ac:dyDescent="0.25">
      <c r="A52" s="1">
        <v>6.1087615900000007E-5</v>
      </c>
      <c r="B52" s="1">
        <v>11.432498900000001</v>
      </c>
      <c r="C52" s="1">
        <v>2.0986797799999999</v>
      </c>
      <c r="S52" t="s">
        <v>164</v>
      </c>
      <c r="T52" s="1">
        <v>100</v>
      </c>
      <c r="U52" s="1"/>
      <c r="V52" s="1"/>
    </row>
    <row r="53" spans="1:22" x14ac:dyDescent="0.25">
      <c r="A53" s="1">
        <v>6.9632078499999998E-5</v>
      </c>
      <c r="B53" s="1">
        <v>11.56668</v>
      </c>
      <c r="C53" s="1">
        <v>2.2187395099999998</v>
      </c>
      <c r="S53" t="s">
        <v>165</v>
      </c>
      <c r="T53" s="1">
        <v>1000</v>
      </c>
      <c r="U53" s="1"/>
      <c r="V53" s="1"/>
    </row>
    <row r="54" spans="1:22" x14ac:dyDescent="0.25">
      <c r="A54" s="1">
        <v>7.9371675400000002E-5</v>
      </c>
      <c r="B54" s="1">
        <v>11.7169571</v>
      </c>
      <c r="C54" s="1">
        <v>2.35206604</v>
      </c>
      <c r="S54" t="s">
        <v>166</v>
      </c>
      <c r="T54" s="1">
        <v>10000</v>
      </c>
      <c r="U54" s="1"/>
      <c r="V54" s="1"/>
    </row>
    <row r="55" spans="1:22" x14ac:dyDescent="0.25">
      <c r="A55" s="1">
        <v>9.0473571599999998E-5</v>
      </c>
      <c r="B55" s="1">
        <v>11.885669699999999</v>
      </c>
      <c r="C55" s="1">
        <v>2.4953787300000001</v>
      </c>
      <c r="S55" t="s">
        <v>167</v>
      </c>
      <c r="T55" s="1">
        <v>100000</v>
      </c>
      <c r="U55" s="1"/>
      <c r="V55" s="1"/>
    </row>
    <row r="56" spans="1:22" x14ac:dyDescent="0.25">
      <c r="A56" s="1">
        <v>1.03128317E-4</v>
      </c>
      <c r="B56" s="1">
        <v>12.0737667</v>
      </c>
      <c r="C56" s="1">
        <v>2.6447138799999999</v>
      </c>
      <c r="S56" t="s">
        <v>168</v>
      </c>
      <c r="T56" s="1"/>
      <c r="U56" s="1"/>
      <c r="V56" s="1"/>
    </row>
    <row r="57" spans="1:22" x14ac:dyDescent="0.25">
      <c r="A57" s="1">
        <v>1.17553107E-4</v>
      </c>
      <c r="B57" s="1">
        <v>12.280461300000001</v>
      </c>
      <c r="C57" s="1">
        <v>2.7959692500000002</v>
      </c>
      <c r="S57" t="s">
        <v>169</v>
      </c>
      <c r="T57" s="1"/>
      <c r="U57" s="1"/>
      <c r="V57" s="1"/>
    </row>
    <row r="58" spans="1:22" x14ac:dyDescent="0.25">
      <c r="A58" s="1">
        <v>1.3399551999999999E-4</v>
      </c>
      <c r="B58" s="1">
        <v>12.5031137</v>
      </c>
      <c r="C58" s="1">
        <v>2.9456491499999999</v>
      </c>
      <c r="S58" t="s">
        <v>170</v>
      </c>
      <c r="T58" s="1"/>
      <c r="U58" s="1"/>
      <c r="V58" s="1"/>
    </row>
    <row r="59" spans="1:22" x14ac:dyDescent="0.25">
      <c r="A59" s="1">
        <v>1.5273779E-4</v>
      </c>
      <c r="B59" s="1">
        <v>12.7374659</v>
      </c>
      <c r="C59" s="1">
        <v>3.0916895900000001</v>
      </c>
      <c r="S59" t="s">
        <v>171</v>
      </c>
      <c r="T59" s="1"/>
      <c r="U59" s="1"/>
      <c r="V59" s="1"/>
    </row>
    <row r="60" spans="1:22" x14ac:dyDescent="0.25">
      <c r="A60" s="1">
        <v>1.7410155900000001E-4</v>
      </c>
      <c r="B60" s="1">
        <v>12.978284800000001</v>
      </c>
      <c r="C60" s="1">
        <v>3.2341589900000001</v>
      </c>
      <c r="S60" t="s">
        <v>125</v>
      </c>
      <c r="T60" s="1"/>
      <c r="U60" s="1"/>
      <c r="V60" s="1"/>
    </row>
    <row r="61" spans="1:22" x14ac:dyDescent="0.25">
      <c r="A61" s="1">
        <v>1.98453548E-4</v>
      </c>
      <c r="B61" s="1">
        <v>13.220295</v>
      </c>
      <c r="C61" s="1">
        <v>3.3756198899999998</v>
      </c>
      <c r="S61" t="s">
        <v>125</v>
      </c>
      <c r="T61" s="1"/>
      <c r="U61" s="1"/>
      <c r="V61" s="1"/>
    </row>
    <row r="62" spans="1:22" x14ac:dyDescent="0.25">
      <c r="A62" s="1">
        <v>2.2621168999999999E-4</v>
      </c>
      <c r="B62" s="1">
        <v>13.4592218</v>
      </c>
      <c r="C62" s="1">
        <v>3.5210246999999999</v>
      </c>
      <c r="S62" t="s">
        <v>172</v>
      </c>
      <c r="T62" s="1"/>
      <c r="U62" s="1"/>
      <c r="V62" s="1"/>
    </row>
    <row r="63" spans="1:22" x14ac:dyDescent="0.25">
      <c r="A63" s="1">
        <v>2.57852429E-4</v>
      </c>
      <c r="B63" s="1">
        <v>13.6926527</v>
      </c>
      <c r="C63" s="1">
        <v>3.6771659900000002</v>
      </c>
      <c r="S63" t="s">
        <v>173</v>
      </c>
      <c r="T63" s="1"/>
      <c r="U63" s="1"/>
      <c r="V63" s="1"/>
    </row>
    <row r="64" spans="1:22" x14ac:dyDescent="0.25">
      <c r="A64" s="1">
        <v>2.93918827E-4</v>
      </c>
      <c r="B64" s="1">
        <v>13.920578000000001</v>
      </c>
      <c r="C64" s="1">
        <v>3.8518433600000002</v>
      </c>
      <c r="S64" t="s">
        <v>174</v>
      </c>
      <c r="T64" s="1"/>
      <c r="U64" s="1"/>
      <c r="V64" s="1"/>
    </row>
    <row r="65" spans="1:22" x14ac:dyDescent="0.25">
      <c r="A65" s="1">
        <v>3.3502993800000003E-4</v>
      </c>
      <c r="B65" s="1">
        <v>14.145522100000001</v>
      </c>
      <c r="C65" s="1">
        <v>4.0529532399999999</v>
      </c>
      <c r="S65" t="s">
        <v>175</v>
      </c>
      <c r="T65" s="1"/>
      <c r="U65" s="1"/>
      <c r="V65" s="1"/>
    </row>
    <row r="66" spans="1:22" x14ac:dyDescent="0.25">
      <c r="A66" s="1">
        <v>3.8189132499999998E-4</v>
      </c>
      <c r="B66" s="1">
        <v>14.3723688</v>
      </c>
      <c r="C66" s="1">
        <v>4.2876696599999997</v>
      </c>
      <c r="S66" t="s">
        <v>176</v>
      </c>
      <c r="T66" s="1"/>
      <c r="U66" s="1"/>
      <c r="V66" s="1"/>
    </row>
    <row r="67" spans="1:22" x14ac:dyDescent="0.25">
      <c r="A67" s="1">
        <v>4.3530733099999999E-4</v>
      </c>
      <c r="B67" s="1">
        <v>14.6079721</v>
      </c>
      <c r="C67" s="1">
        <v>4.5617856999999997</v>
      </c>
      <c r="S67" t="s">
        <v>125</v>
      </c>
      <c r="T67" s="1"/>
      <c r="U67" s="1"/>
      <c r="V67" s="1"/>
    </row>
    <row r="68" spans="1:22" x14ac:dyDescent="0.25">
      <c r="A68" s="1">
        <v>4.9619475599999995E-4</v>
      </c>
      <c r="B68" s="1">
        <v>14.860654800000001</v>
      </c>
      <c r="C68" s="1">
        <v>4.8792133299999998</v>
      </c>
      <c r="S68" t="s">
        <v>177</v>
      </c>
      <c r="T68" s="1"/>
      <c r="U68" s="1"/>
      <c r="V68" s="1"/>
    </row>
    <row r="69" spans="1:22" x14ac:dyDescent="0.25">
      <c r="A69" s="1">
        <v>5.6559866100000002E-4</v>
      </c>
      <c r="B69" s="1">
        <v>15.139628399999999</v>
      </c>
      <c r="C69" s="1">
        <v>5.2416000399999998</v>
      </c>
      <c r="S69" t="s">
        <v>125</v>
      </c>
      <c r="T69" s="1"/>
      <c r="U69" s="1"/>
      <c r="V69" s="1"/>
    </row>
    <row r="70" spans="1:22" x14ac:dyDescent="0.25">
      <c r="A70" s="1">
        <v>6.4471020599999999E-4</v>
      </c>
      <c r="B70" s="1">
        <v>15.4543114</v>
      </c>
      <c r="C70" s="1">
        <v>5.6480336199999996</v>
      </c>
      <c r="S70" t="s">
        <v>178</v>
      </c>
      <c r="T70" s="1"/>
      <c r="U70" s="1"/>
      <c r="V70" s="1"/>
    </row>
    <row r="71" spans="1:22" x14ac:dyDescent="0.25">
      <c r="A71" s="1">
        <v>7.3488725999999998E-4</v>
      </c>
      <c r="B71" s="1">
        <v>15.8134842</v>
      </c>
      <c r="C71" s="1">
        <v>6.0948848699999996</v>
      </c>
      <c r="S71" t="s">
        <v>179</v>
      </c>
      <c r="T71" s="1"/>
      <c r="U71" s="1"/>
      <c r="V71" s="1"/>
    </row>
    <row r="72" spans="1:22" x14ac:dyDescent="0.25">
      <c r="A72" s="1">
        <v>8.37677624E-4</v>
      </c>
      <c r="B72" s="1">
        <v>16.224264099999999</v>
      </c>
      <c r="C72" s="1">
        <v>6.5758829099999998</v>
      </c>
      <c r="S72" t="s">
        <v>180</v>
      </c>
      <c r="T72" s="1"/>
      <c r="U72" s="1"/>
      <c r="V72" s="1"/>
    </row>
    <row r="73" spans="1:22" x14ac:dyDescent="0.25">
      <c r="A73" s="1">
        <v>9.5484551299999997E-4</v>
      </c>
      <c r="B73" s="1">
        <v>16.6909466</v>
      </c>
      <c r="C73" s="1">
        <v>7.0826053599999996</v>
      </c>
      <c r="S73" t="s">
        <v>181</v>
      </c>
      <c r="T73" s="1"/>
      <c r="U73" s="1"/>
      <c r="V73" s="1"/>
    </row>
    <row r="74" spans="1:22" x14ac:dyDescent="0.25">
      <c r="A74" s="1">
        <v>1.0884018800000001E-3</v>
      </c>
      <c r="B74" s="1">
        <v>17.2139053</v>
      </c>
      <c r="C74" s="1">
        <v>7.60553217</v>
      </c>
      <c r="S74" t="s">
        <v>182</v>
      </c>
      <c r="T74" s="1"/>
      <c r="U74" s="1"/>
      <c r="V74" s="1"/>
    </row>
    <row r="75" spans="1:22" x14ac:dyDescent="0.25">
      <c r="A75" s="1">
        <v>1.2406391299999999E-3</v>
      </c>
      <c r="B75" s="1">
        <v>17.788877500000002</v>
      </c>
      <c r="C75" s="1">
        <v>8.1357183499999994</v>
      </c>
      <c r="S75" t="s">
        <v>183</v>
      </c>
      <c r="T75" s="1"/>
      <c r="U75" s="1"/>
      <c r="V75" s="1"/>
    </row>
    <row r="76" spans="1:22" x14ac:dyDescent="0.25">
      <c r="A76" s="1">
        <v>1.4141701400000001E-3</v>
      </c>
      <c r="B76" s="1">
        <v>18.407028199999999</v>
      </c>
      <c r="C76" s="1">
        <v>8.6669130299999999</v>
      </c>
      <c r="S76" t="s">
        <v>184</v>
      </c>
      <c r="T76" s="1"/>
      <c r="U76" s="1"/>
      <c r="V76" s="1"/>
    </row>
    <row r="77" spans="1:22" x14ac:dyDescent="0.25">
      <c r="A77" s="1">
        <v>1.61197339E-3</v>
      </c>
      <c r="B77" s="1">
        <v>19.0560455</v>
      </c>
      <c r="C77" s="1">
        <v>9.1976890600000001</v>
      </c>
      <c r="S77" t="s">
        <v>185</v>
      </c>
      <c r="T77" s="1"/>
      <c r="U77" s="1"/>
      <c r="V77" s="1"/>
    </row>
    <row r="78" spans="1:22" x14ac:dyDescent="0.25">
      <c r="A78" s="1">
        <v>1.8374436799999999E-3</v>
      </c>
      <c r="B78" s="1">
        <v>19.7222729</v>
      </c>
      <c r="C78" s="1">
        <v>9.7330017099999999</v>
      </c>
      <c r="S78" t="s">
        <v>186</v>
      </c>
      <c r="T78" s="1"/>
      <c r="U78" s="1"/>
      <c r="V78" s="1"/>
    </row>
    <row r="79" spans="1:22" x14ac:dyDescent="0.25">
      <c r="A79" s="1">
        <v>2.0944511100000002E-3</v>
      </c>
      <c r="B79" s="1">
        <v>20.3934593</v>
      </c>
      <c r="C79" s="1">
        <v>10.2846355</v>
      </c>
      <c r="S79" t="s">
        <v>125</v>
      </c>
      <c r="T79" s="1"/>
      <c r="U79" s="1"/>
      <c r="V79" s="1"/>
    </row>
    <row r="80" spans="1:22" x14ac:dyDescent="0.25">
      <c r="A80" s="1">
        <v>2.3874067699999999E-3</v>
      </c>
      <c r="B80" s="1">
        <v>21.061487199999998</v>
      </c>
      <c r="C80" s="1">
        <v>10.870374699999999</v>
      </c>
      <c r="S80" t="s">
        <v>187</v>
      </c>
      <c r="T80" s="1"/>
      <c r="U80" s="1"/>
      <c r="V80" s="1"/>
    </row>
    <row r="81" spans="1:22" x14ac:dyDescent="0.25">
      <c r="A81" s="1">
        <v>2.7213387700000002E-3</v>
      </c>
      <c r="B81" s="1">
        <v>21.724432</v>
      </c>
      <c r="C81" s="1">
        <v>11.5120907</v>
      </c>
      <c r="S81" t="s">
        <v>188</v>
      </c>
      <c r="T81" s="1"/>
      <c r="U81" s="1"/>
      <c r="V81" s="1"/>
    </row>
    <row r="82" spans="1:22" x14ac:dyDescent="0.25">
      <c r="A82" s="1">
        <v>3.1019786799999999E-3</v>
      </c>
      <c r="B82" s="1">
        <v>22.387626600000001</v>
      </c>
      <c r="C82" s="1">
        <v>12.2332754</v>
      </c>
      <c r="S82" t="s">
        <v>189</v>
      </c>
      <c r="T82" s="1"/>
      <c r="U82" s="1"/>
      <c r="V82" s="1"/>
    </row>
    <row r="83" spans="1:22" x14ac:dyDescent="0.25">
      <c r="A83" s="1">
        <v>3.5358592899999998E-3</v>
      </c>
      <c r="B83" s="1">
        <v>23.063716899999999</v>
      </c>
      <c r="C83" s="1">
        <v>13.056532900000001</v>
      </c>
      <c r="S83" t="s">
        <v>190</v>
      </c>
      <c r="T83" s="1"/>
      <c r="U83" s="1"/>
      <c r="V83" s="1"/>
    </row>
    <row r="84" spans="1:22" x14ac:dyDescent="0.25">
      <c r="A84" s="1">
        <v>4.0304279000000004E-3</v>
      </c>
      <c r="B84" s="1">
        <v>23.7719612</v>
      </c>
      <c r="C84" s="1">
        <v>14.001377099999999</v>
      </c>
      <c r="S84" t="s">
        <v>191</v>
      </c>
      <c r="T84" s="1"/>
      <c r="U84" s="1"/>
      <c r="V84" s="1"/>
    </row>
    <row r="85" spans="1:22" x14ac:dyDescent="0.25">
      <c r="A85" s="1">
        <v>4.5941732799999998E-3</v>
      </c>
      <c r="B85" s="1">
        <v>24.537054099999999</v>
      </c>
      <c r="C85" s="1">
        <v>15.0824108</v>
      </c>
      <c r="S85" t="s">
        <v>192</v>
      </c>
      <c r="T85" s="1"/>
      <c r="U85" s="1"/>
      <c r="V85" s="1"/>
    </row>
    <row r="86" spans="1:22" x14ac:dyDescent="0.25">
      <c r="A86" s="1">
        <v>5.2367704899999997E-3</v>
      </c>
      <c r="B86" s="1">
        <v>25.387619000000001</v>
      </c>
      <c r="C86" s="1">
        <v>16.307842300000001</v>
      </c>
      <c r="T86" s="1"/>
      <c r="U86" s="1"/>
      <c r="V86" s="1"/>
    </row>
    <row r="87" spans="1:22" x14ac:dyDescent="0.25">
      <c r="A87" s="1">
        <v>5.9692496400000003E-3</v>
      </c>
      <c r="B87" s="1">
        <v>26.354358699999999</v>
      </c>
      <c r="C87" s="1">
        <v>17.678220700000001</v>
      </c>
      <c r="T87" s="1"/>
      <c r="U87" s="1"/>
      <c r="V87" s="1"/>
    </row>
    <row r="88" spans="1:22" x14ac:dyDescent="0.25">
      <c r="A88" s="1">
        <v>6.8041821899999999E-3</v>
      </c>
      <c r="B88" s="1">
        <v>27.467697099999999</v>
      </c>
      <c r="C88" s="1">
        <v>19.185472499999999</v>
      </c>
      <c r="T88" s="1"/>
      <c r="U88" s="1"/>
      <c r="V88" s="1"/>
    </row>
    <row r="89" spans="1:22" x14ac:dyDescent="0.25">
      <c r="A89" s="1">
        <v>7.7558983999999999E-3</v>
      </c>
      <c r="B89" s="1">
        <v>28.754739799999999</v>
      </c>
      <c r="C89" s="1">
        <v>20.812475200000002</v>
      </c>
      <c r="T89" s="1"/>
      <c r="U89" s="1"/>
      <c r="V89" s="1"/>
    </row>
    <row r="90" spans="1:22" x14ac:dyDescent="0.25">
      <c r="A90" s="1">
        <v>8.84073321E-3</v>
      </c>
      <c r="B90" s="1">
        <v>30.2355862</v>
      </c>
      <c r="C90" s="1">
        <v>22.533704799999999</v>
      </c>
      <c r="T90" s="1"/>
      <c r="U90" s="1"/>
      <c r="V90" s="1"/>
    </row>
    <row r="91" spans="1:22" x14ac:dyDescent="0.25">
      <c r="A91" s="1">
        <v>1.0077307000000001E-2</v>
      </c>
      <c r="B91" s="1">
        <v>31.919370700000002</v>
      </c>
      <c r="C91" s="1">
        <v>24.3175259</v>
      </c>
      <c r="T91" s="1"/>
      <c r="U91" s="1"/>
      <c r="V91" s="1"/>
    </row>
    <row r="92" spans="1:22" x14ac:dyDescent="0.25">
      <c r="A92" s="1">
        <v>1.1486842299999999E-2</v>
      </c>
      <c r="B92" s="1">
        <v>33.800891900000003</v>
      </c>
      <c r="C92" s="1">
        <v>26.130617099999998</v>
      </c>
      <c r="T92" s="1"/>
      <c r="U92" s="1"/>
      <c r="V92" s="1"/>
    </row>
    <row r="93" spans="1:22" x14ac:dyDescent="0.25">
      <c r="A93" s="1">
        <v>1.3093532999999999E-2</v>
      </c>
      <c r="B93" s="1">
        <v>35.8591385</v>
      </c>
      <c r="C93" s="1">
        <v>27.944368399999998</v>
      </c>
      <c r="T93" s="1"/>
      <c r="U93" s="1"/>
      <c r="V93" s="1"/>
    </row>
    <row r="94" spans="1:22" x14ac:dyDescent="0.25">
      <c r="A94" s="1">
        <v>1.49249556E-2</v>
      </c>
      <c r="B94" s="1">
        <v>38.058937100000001</v>
      </c>
      <c r="C94" s="1">
        <v>29.7423325</v>
      </c>
      <c r="T94" s="1"/>
      <c r="U94" s="1"/>
      <c r="V94" s="1"/>
    </row>
    <row r="95" spans="1:22" x14ac:dyDescent="0.25">
      <c r="A95" s="1">
        <v>1.70125421E-2</v>
      </c>
      <c r="B95" s="1">
        <v>40.356365199999999</v>
      </c>
      <c r="C95" s="1">
        <v>31.5268841</v>
      </c>
      <c r="T95" s="1"/>
      <c r="U95" s="1"/>
      <c r="V95" s="1"/>
    </row>
    <row r="96" spans="1:22" x14ac:dyDescent="0.25">
      <c r="A96" s="1">
        <v>1.93921253E-2</v>
      </c>
      <c r="B96" s="1">
        <v>42.707267799999997</v>
      </c>
      <c r="C96" s="1">
        <v>33.323043800000001</v>
      </c>
      <c r="T96" s="1"/>
      <c r="U96" s="1"/>
      <c r="V96" s="1"/>
    </row>
    <row r="97" spans="1:22" x14ac:dyDescent="0.25">
      <c r="A97" s="1">
        <v>2.2104546400000001E-2</v>
      </c>
      <c r="B97" s="1">
        <v>45.077083600000002</v>
      </c>
      <c r="C97" s="1">
        <v>35.178039599999998</v>
      </c>
      <c r="T97" s="1"/>
      <c r="U97" s="1"/>
      <c r="V97" s="1"/>
    </row>
    <row r="98" spans="1:22" x14ac:dyDescent="0.25">
      <c r="A98" s="1">
        <v>2.51963586E-2</v>
      </c>
      <c r="B98" s="1">
        <v>47.449649800000003</v>
      </c>
      <c r="C98" s="1">
        <v>37.156509399999997</v>
      </c>
      <c r="T98" s="1"/>
      <c r="U98" s="1"/>
      <c r="V98" s="1"/>
    </row>
    <row r="99" spans="1:22" x14ac:dyDescent="0.25">
      <c r="A99" s="1">
        <v>2.8720630300000001E-2</v>
      </c>
      <c r="B99" s="1">
        <v>49.833087900000002</v>
      </c>
      <c r="C99" s="1">
        <v>39.3325958</v>
      </c>
      <c r="T99" s="1"/>
      <c r="U99" s="1"/>
      <c r="V99" s="1"/>
    </row>
    <row r="100" spans="1:22" x14ac:dyDescent="0.25">
      <c r="A100" s="1">
        <v>3.27378511E-2</v>
      </c>
      <c r="B100" s="1">
        <v>52.262069699999998</v>
      </c>
      <c r="C100" s="1">
        <v>41.780777</v>
      </c>
      <c r="T100" s="1"/>
      <c r="U100" s="1"/>
      <c r="V100" s="1"/>
    </row>
    <row r="101" spans="1:22" x14ac:dyDescent="0.25">
      <c r="A101" s="1">
        <v>3.7316966799999997E-2</v>
      </c>
      <c r="B101" s="1">
        <v>54.796920800000002</v>
      </c>
      <c r="C101" s="1">
        <v>44.567016600000002</v>
      </c>
      <c r="T101" s="1"/>
      <c r="U101" s="1"/>
      <c r="V101" s="1"/>
    </row>
    <row r="102" spans="1:22" x14ac:dyDescent="0.25">
      <c r="A102" s="1">
        <v>4.2536579099999999E-2</v>
      </c>
      <c r="B102" s="1">
        <v>57.520385699999999</v>
      </c>
      <c r="C102" s="1">
        <v>47.741027799999998</v>
      </c>
      <c r="T102" s="1"/>
      <c r="U102" s="1"/>
      <c r="V102" s="1"/>
    </row>
    <row r="103" spans="1:22" x14ac:dyDescent="0.25">
      <c r="A103" s="1">
        <v>4.8486266299999997E-2</v>
      </c>
      <c r="B103" s="1">
        <v>60.532875099999998</v>
      </c>
      <c r="C103" s="1">
        <v>51.329631800000001</v>
      </c>
      <c r="T103" s="1"/>
      <c r="U103" s="1"/>
      <c r="V103" s="1"/>
    </row>
    <row r="104" spans="1:22" x14ac:dyDescent="0.25">
      <c r="A104" s="1">
        <v>5.5268149799999999E-2</v>
      </c>
      <c r="B104" s="1">
        <v>63.946353899999998</v>
      </c>
      <c r="C104" s="1">
        <v>55.330955500000002</v>
      </c>
      <c r="T104" s="1"/>
      <c r="U104" s="1"/>
      <c r="V104" s="1"/>
    </row>
    <row r="105" spans="1:22" x14ac:dyDescent="0.25">
      <c r="A105" s="1">
        <v>6.2998630099999994E-2</v>
      </c>
      <c r="B105" s="1">
        <v>67.876388500000004</v>
      </c>
      <c r="C105" s="1">
        <v>59.709331499999998</v>
      </c>
      <c r="T105" s="1"/>
      <c r="U105" s="1"/>
      <c r="V105" s="1"/>
    </row>
    <row r="106" spans="1:22" x14ac:dyDescent="0.25">
      <c r="A106" s="1">
        <v>7.1810394499999999E-2</v>
      </c>
      <c r="B106" s="1">
        <v>72.431648300000006</v>
      </c>
      <c r="C106" s="1">
        <v>64.391609200000005</v>
      </c>
      <c r="T106" s="1"/>
      <c r="U106" s="1"/>
      <c r="V106" s="1"/>
    </row>
    <row r="107" spans="1:22" x14ac:dyDescent="0.25">
      <c r="A107" s="1">
        <v>8.1854671200000007E-2</v>
      </c>
      <c r="B107" s="1">
        <v>77.700378400000005</v>
      </c>
      <c r="C107" s="1">
        <v>69.266334499999999</v>
      </c>
      <c r="T107" s="1"/>
      <c r="U107" s="1"/>
      <c r="V107" s="1"/>
    </row>
    <row r="108" spans="1:22" x14ac:dyDescent="0.25">
      <c r="A108" s="1">
        <v>9.3303874100000003E-2</v>
      </c>
      <c r="B108" s="1">
        <v>83.734451300000003</v>
      </c>
      <c r="C108" s="1">
        <v>74.188201899999996</v>
      </c>
      <c r="T108" s="1"/>
      <c r="U108" s="1"/>
      <c r="V108" s="1"/>
    </row>
    <row r="109" spans="1:22" x14ac:dyDescent="0.25">
      <c r="A109" s="1">
        <v>0.10635449700000001</v>
      </c>
      <c r="B109" s="1">
        <v>90.533363300000005</v>
      </c>
      <c r="C109" s="1">
        <v>78.990074199999995</v>
      </c>
      <c r="T109" s="1"/>
      <c r="U109" s="1"/>
      <c r="V109" s="1"/>
    </row>
    <row r="110" spans="1:22" x14ac:dyDescent="0.25">
      <c r="A110" s="1">
        <v>0.121230543</v>
      </c>
      <c r="B110" s="1">
        <v>98.032341000000002</v>
      </c>
      <c r="C110" s="1">
        <v>83.503753700000004</v>
      </c>
      <c r="T110" s="1"/>
      <c r="U110" s="1"/>
      <c r="V110" s="1"/>
    </row>
    <row r="111" spans="1:22" x14ac:dyDescent="0.25">
      <c r="A111" s="1">
        <v>0.138187334</v>
      </c>
      <c r="B111" s="1">
        <v>106.099998</v>
      </c>
      <c r="C111" s="1">
        <v>87.587669399999996</v>
      </c>
      <c r="T111" s="1"/>
      <c r="U111" s="1"/>
      <c r="V111" s="1"/>
    </row>
    <row r="112" spans="1:22" x14ac:dyDescent="0.25">
      <c r="A112" s="1">
        <v>0.15751589799999999</v>
      </c>
      <c r="B112" s="1">
        <v>114.54982800000001</v>
      </c>
      <c r="C112" s="1">
        <v>91.156242399999996</v>
      </c>
      <c r="T112" s="1"/>
      <c r="U112" s="1"/>
      <c r="V112" s="1"/>
    </row>
    <row r="113" spans="1:22" x14ac:dyDescent="0.25">
      <c r="A113" s="1">
        <v>0.17954801000000001</v>
      </c>
      <c r="B113" s="1">
        <v>123.16590100000001</v>
      </c>
      <c r="C113" s="1">
        <v>94.202835100000001</v>
      </c>
      <c r="T113" s="1"/>
      <c r="U113" s="1"/>
      <c r="V113" s="1"/>
    </row>
    <row r="114" spans="1:22" x14ac:dyDescent="0.25">
      <c r="A114" s="1">
        <v>0.204661801</v>
      </c>
      <c r="B114" s="1">
        <v>131.738373</v>
      </c>
      <c r="C114" s="1">
        <v>96.808929399999997</v>
      </c>
      <c r="T114" s="1"/>
      <c r="U114" s="1"/>
      <c r="V114" s="1"/>
    </row>
    <row r="115" spans="1:22" x14ac:dyDescent="0.25">
      <c r="A115" s="1">
        <v>0.233288303</v>
      </c>
      <c r="B115" s="1">
        <v>140.09993</v>
      </c>
      <c r="C115" s="1">
        <v>99.135833700000006</v>
      </c>
      <c r="T115" s="1"/>
      <c r="U115" s="1"/>
      <c r="V115" s="1"/>
    </row>
    <row r="116" spans="1:22" x14ac:dyDescent="0.25">
      <c r="A116" s="1">
        <v>0.265918881</v>
      </c>
      <c r="B116" s="1">
        <v>148.15443400000001</v>
      </c>
      <c r="C116" s="1">
        <v>101.401276</v>
      </c>
      <c r="T116" s="1"/>
      <c r="U116" s="1"/>
      <c r="V116" s="1"/>
    </row>
    <row r="117" spans="1:22" x14ac:dyDescent="0.25">
      <c r="A117" s="1">
        <v>0.30311355000000001</v>
      </c>
      <c r="B117" s="1">
        <v>155.89183</v>
      </c>
      <c r="C117" s="1">
        <v>103.847504</v>
      </c>
      <c r="T117" s="1"/>
      <c r="U117" s="1"/>
      <c r="V117" s="1"/>
    </row>
    <row r="118" spans="1:22" x14ac:dyDescent="0.25">
      <c r="A118" s="1">
        <v>0.34551072100000002</v>
      </c>
      <c r="B118" s="1">
        <v>163.38922099999999</v>
      </c>
      <c r="C118" s="1">
        <v>106.708748</v>
      </c>
      <c r="T118" s="1"/>
      <c r="U118" s="1"/>
      <c r="V118" s="1"/>
    </row>
    <row r="119" spans="1:22" x14ac:dyDescent="0.25">
      <c r="A119" s="1">
        <v>0.39383810800000002</v>
      </c>
      <c r="B119" s="1">
        <v>170.80093400000001</v>
      </c>
      <c r="C119" s="1">
        <v>110.183296</v>
      </c>
      <c r="T119" s="1"/>
      <c r="U119" s="1"/>
      <c r="V119" s="1"/>
    </row>
    <row r="120" spans="1:22" x14ac:dyDescent="0.25">
      <c r="A120" s="1">
        <v>0.448925138</v>
      </c>
      <c r="B120" s="1">
        <v>178.34245300000001</v>
      </c>
      <c r="C120" s="1">
        <v>114.41235399999999</v>
      </c>
      <c r="T120" s="1"/>
      <c r="U120" s="1"/>
      <c r="V120" s="1"/>
    </row>
    <row r="121" spans="1:22" x14ac:dyDescent="0.25">
      <c r="A121" s="1">
        <v>0.51171731899999995</v>
      </c>
      <c r="B121" s="1">
        <v>186.27143899999999</v>
      </c>
      <c r="C121" s="1">
        <v>119.464905</v>
      </c>
      <c r="T121" s="1"/>
      <c r="U121" s="1"/>
      <c r="V121" s="1"/>
    </row>
    <row r="122" spans="1:22" x14ac:dyDescent="0.25">
      <c r="A122" s="1">
        <v>0.58329236500000003</v>
      </c>
      <c r="B122" s="1">
        <v>194.866806</v>
      </c>
      <c r="C122" s="1">
        <v>125.326767</v>
      </c>
      <c r="T122" s="1"/>
      <c r="U122" s="1"/>
      <c r="V122" s="1"/>
    </row>
    <row r="123" spans="1:22" x14ac:dyDescent="0.25">
      <c r="A123" s="1">
        <v>0.66487878600000005</v>
      </c>
      <c r="B123" s="1">
        <v>204.405258</v>
      </c>
      <c r="C123" s="1">
        <v>131.89308199999999</v>
      </c>
      <c r="T123" s="1"/>
      <c r="U123" s="1"/>
      <c r="V123" s="1"/>
    </row>
    <row r="124" spans="1:22" x14ac:dyDescent="0.25">
      <c r="A124" s="1">
        <v>0.75787687299999995</v>
      </c>
      <c r="B124" s="1">
        <v>215.13357500000001</v>
      </c>
      <c r="C124" s="1">
        <v>138.96530200000001</v>
      </c>
      <c r="T124" s="1"/>
      <c r="U124" s="1"/>
      <c r="V124" s="1"/>
    </row>
    <row r="125" spans="1:22" x14ac:dyDescent="0.25">
      <c r="A125" s="1">
        <v>0.86388284000000004</v>
      </c>
      <c r="B125" s="1">
        <v>227.235962</v>
      </c>
      <c r="C125" s="1">
        <v>146.25599700000001</v>
      </c>
      <c r="T125" s="1"/>
      <c r="U125" s="1"/>
      <c r="V125" s="1"/>
    </row>
    <row r="126" spans="1:22" x14ac:dyDescent="0.25">
      <c r="A126" s="1">
        <v>0.98471611699999995</v>
      </c>
      <c r="B126" s="1">
        <v>240.79873699999999</v>
      </c>
      <c r="C126" s="1">
        <v>153.40647899999999</v>
      </c>
      <c r="T126" s="1"/>
      <c r="U126" s="1"/>
      <c r="V126" s="1"/>
    </row>
    <row r="127" spans="1:22" x14ac:dyDescent="0.25">
      <c r="A127" s="1">
        <v>1.1224505899999999</v>
      </c>
      <c r="B127" s="1">
        <v>255.778458</v>
      </c>
      <c r="C127" s="1">
        <v>160.02131700000001</v>
      </c>
      <c r="T127" s="1"/>
      <c r="U127" s="1"/>
      <c r="V127" s="1"/>
    </row>
    <row r="128" spans="1:22" x14ac:dyDescent="0.25">
      <c r="A128" s="1">
        <v>1.2794502999999999</v>
      </c>
      <c r="B128" s="1">
        <v>271.98364299999997</v>
      </c>
      <c r="C128" s="1">
        <v>165.72006200000001</v>
      </c>
      <c r="T128" s="1"/>
      <c r="U128" s="1"/>
      <c r="V128" s="1"/>
    </row>
    <row r="129" spans="1:22" x14ac:dyDescent="0.25">
      <c r="A129" s="1">
        <v>1.4584099100000001</v>
      </c>
      <c r="B129" s="1">
        <v>289.080444</v>
      </c>
      <c r="C129" s="1">
        <v>170.199524</v>
      </c>
      <c r="T129" s="1"/>
      <c r="U129" s="1"/>
      <c r="V129" s="1"/>
    </row>
    <row r="130" spans="1:22" x14ac:dyDescent="0.25">
      <c r="A130" s="1">
        <v>1.66240096</v>
      </c>
      <c r="B130" s="1">
        <v>306.62899800000002</v>
      </c>
      <c r="C130" s="1">
        <v>173.29284699999999</v>
      </c>
      <c r="T130" s="1"/>
      <c r="U130" s="1"/>
      <c r="V130" s="1"/>
    </row>
    <row r="131" spans="1:22" x14ac:dyDescent="0.25">
      <c r="A131" s="1">
        <v>1.8949247600000001</v>
      </c>
      <c r="B131" s="1">
        <v>324.14660600000002</v>
      </c>
      <c r="C131" s="1">
        <v>175.00817900000001</v>
      </c>
      <c r="T131" s="1"/>
      <c r="U131" s="1"/>
      <c r="V131" s="1"/>
    </row>
    <row r="132" spans="1:22" x14ac:dyDescent="0.25">
      <c r="A132" s="1">
        <v>2.15997219</v>
      </c>
      <c r="B132" s="1">
        <v>341.18405200000001</v>
      </c>
      <c r="C132" s="1">
        <v>175.53401199999999</v>
      </c>
      <c r="T132" s="1"/>
      <c r="U132" s="1"/>
      <c r="V132" s="1"/>
    </row>
    <row r="133" spans="1:22" x14ac:dyDescent="0.25">
      <c r="A133" s="1">
        <v>2.4620924</v>
      </c>
      <c r="B133" s="1">
        <v>357.39584400000001</v>
      </c>
      <c r="C133" s="1">
        <v>175.20903000000001</v>
      </c>
      <c r="T133" s="1"/>
      <c r="U133" s="1"/>
      <c r="V133" s="1"/>
    </row>
    <row r="134" spans="1:22" x14ac:dyDescent="0.25">
      <c r="A134" s="1">
        <v>2.8064708700000001</v>
      </c>
      <c r="B134" s="1">
        <v>372.58715799999999</v>
      </c>
      <c r="C134" s="1">
        <v>174.465881</v>
      </c>
      <c r="T134" s="1"/>
      <c r="U134" s="1"/>
      <c r="V134" s="1"/>
    </row>
    <row r="135" spans="1:22" x14ac:dyDescent="0.25">
      <c r="A135" s="1">
        <v>3.19901824</v>
      </c>
      <c r="B135" s="1">
        <v>386.73080399999998</v>
      </c>
      <c r="C135" s="1">
        <v>173.765198</v>
      </c>
      <c r="T135" s="1"/>
      <c r="U135" s="1"/>
      <c r="V135" s="1"/>
    </row>
    <row r="136" spans="1:22" x14ac:dyDescent="0.25">
      <c r="A136" s="1">
        <v>3.6464722200000002</v>
      </c>
      <c r="B136" s="1">
        <v>399.95669600000002</v>
      </c>
      <c r="C136" s="1">
        <v>173.53495799999999</v>
      </c>
      <c r="T136" s="1"/>
      <c r="U136" s="1"/>
      <c r="V136" s="1"/>
    </row>
    <row r="137" spans="1:22" x14ac:dyDescent="0.25">
      <c r="A137" s="1">
        <v>4.1565127400000002</v>
      </c>
      <c r="B137" s="1">
        <v>412.52389499999998</v>
      </c>
      <c r="C137" s="1">
        <v>174.12428299999999</v>
      </c>
      <c r="T137" s="1"/>
      <c r="U137" s="1"/>
      <c r="V137" s="1"/>
    </row>
    <row r="138" spans="1:22" x14ac:dyDescent="0.25">
      <c r="A138" s="1">
        <v>4.7378935799999997</v>
      </c>
      <c r="B138" s="1">
        <v>424.78439300000002</v>
      </c>
      <c r="C138" s="1">
        <v>175.773087</v>
      </c>
      <c r="T138" s="1"/>
      <c r="U138" s="1"/>
      <c r="V138" s="1"/>
    </row>
    <row r="139" spans="1:22" x14ac:dyDescent="0.25">
      <c r="A139" s="1">
        <v>5.4005932799999998</v>
      </c>
      <c r="B139" s="1">
        <v>437.14541600000001</v>
      </c>
      <c r="C139" s="1">
        <v>178.594482</v>
      </c>
      <c r="T139" s="1"/>
      <c r="U139" s="1"/>
      <c r="V139" s="1"/>
    </row>
    <row r="140" spans="1:22" x14ac:dyDescent="0.25">
      <c r="A140" s="1">
        <v>6.1559863100000003</v>
      </c>
      <c r="B140" s="1">
        <v>450.03222699999998</v>
      </c>
      <c r="C140" s="1">
        <v>182.56590299999999</v>
      </c>
      <c r="T140" s="1"/>
      <c r="U140" s="1"/>
      <c r="V140" s="1"/>
    </row>
    <row r="141" spans="1:22" x14ac:dyDescent="0.25">
      <c r="A141" s="1">
        <v>7.01703835</v>
      </c>
      <c r="B141" s="1">
        <v>463.84997600000003</v>
      </c>
      <c r="C141" s="1">
        <v>187.52658099999999</v>
      </c>
      <c r="T141" s="1"/>
      <c r="U141" s="1"/>
      <c r="V141" s="1"/>
    </row>
    <row r="142" spans="1:22" x14ac:dyDescent="0.25">
      <c r="A142" s="1">
        <v>7.9985275299999996</v>
      </c>
      <c r="B142" s="1">
        <v>478.94281000000001</v>
      </c>
      <c r="C142" s="1">
        <v>193.18248</v>
      </c>
      <c r="T142" s="1"/>
      <c r="U142" s="1"/>
      <c r="V142" s="1"/>
    </row>
    <row r="143" spans="1:22" x14ac:dyDescent="0.25">
      <c r="A143" s="1">
        <v>9.1172990800000004</v>
      </c>
      <c r="B143" s="1">
        <v>495.54934700000001</v>
      </c>
      <c r="C143" s="1">
        <v>199.12283300000001</v>
      </c>
      <c r="T143" s="1"/>
      <c r="U143" s="1"/>
      <c r="V143" s="1"/>
    </row>
    <row r="144" spans="1:22" x14ac:dyDescent="0.25">
      <c r="A144" s="1">
        <v>10.392557099999999</v>
      </c>
      <c r="B144" s="1">
        <v>513.75891100000001</v>
      </c>
      <c r="C144" s="1">
        <v>204.85424800000001</v>
      </c>
      <c r="T144" s="1"/>
      <c r="U144" s="1"/>
      <c r="V144" s="1"/>
    </row>
    <row r="145" spans="1:22" x14ac:dyDescent="0.25">
      <c r="A145" s="1">
        <v>11.8461876</v>
      </c>
      <c r="B145" s="1">
        <v>533.47723399999995</v>
      </c>
      <c r="C145" s="1">
        <v>209.855942</v>
      </c>
      <c r="T145" s="1"/>
      <c r="U145" s="1"/>
      <c r="V145" s="1"/>
    </row>
    <row r="146" spans="1:22" x14ac:dyDescent="0.25">
      <c r="A146" s="1">
        <v>13.503140399999999</v>
      </c>
      <c r="B146" s="1">
        <v>554.41558799999996</v>
      </c>
      <c r="C146" s="1">
        <v>213.65315200000001</v>
      </c>
      <c r="T146" s="1"/>
      <c r="U146" s="1"/>
      <c r="V146" s="1"/>
    </row>
    <row r="147" spans="1:22" x14ac:dyDescent="0.25">
      <c r="A147" s="1">
        <v>15.3918552</v>
      </c>
      <c r="B147" s="1">
        <v>576.11328100000003</v>
      </c>
      <c r="C147" s="1">
        <v>215.89711</v>
      </c>
      <c r="T147" s="1"/>
      <c r="U147" s="1"/>
      <c r="V147" s="1"/>
    </row>
    <row r="148" spans="1:22" x14ac:dyDescent="0.25">
      <c r="A148" s="1">
        <v>17.544748299999998</v>
      </c>
      <c r="B148" s="1">
        <v>597.99890100000005</v>
      </c>
      <c r="C148" s="1">
        <v>216.431656</v>
      </c>
      <c r="T148" s="1"/>
      <c r="U148" s="1"/>
      <c r="V148" s="1"/>
    </row>
    <row r="149" spans="1:22" x14ac:dyDescent="0.25">
      <c r="A149" s="1">
        <v>19.9987736</v>
      </c>
      <c r="B149" s="1">
        <v>619.47845500000005</v>
      </c>
      <c r="C149" s="1">
        <v>215.32652300000001</v>
      </c>
      <c r="T149" s="1"/>
      <c r="U149" s="1"/>
      <c r="V149" s="1"/>
    </row>
    <row r="150" spans="1:22" x14ac:dyDescent="0.25">
      <c r="A150" s="1">
        <v>22.7960472</v>
      </c>
      <c r="B150" s="1">
        <v>640.03015100000005</v>
      </c>
      <c r="C150" s="1">
        <v>212.866028</v>
      </c>
      <c r="T150" s="1"/>
      <c r="U150" s="1"/>
      <c r="V150" s="1"/>
    </row>
    <row r="151" spans="1:22" x14ac:dyDescent="0.25">
      <c r="A151" s="1">
        <v>25.984580999999999</v>
      </c>
      <c r="B151" s="1">
        <v>659.28179899999998</v>
      </c>
      <c r="C151" s="1">
        <v>209.49702500000001</v>
      </c>
      <c r="T151" s="1"/>
      <c r="U151" s="1"/>
      <c r="V151" s="1"/>
    </row>
    <row r="152" spans="1:22" x14ac:dyDescent="0.25">
      <c r="A152" s="1">
        <v>29.6191025</v>
      </c>
      <c r="B152" s="1">
        <v>677.053406</v>
      </c>
      <c r="C152" s="1">
        <v>205.75254799999999</v>
      </c>
      <c r="T152" s="1"/>
      <c r="U152" s="1"/>
      <c r="V152" s="1"/>
    </row>
    <row r="153" spans="1:22" x14ac:dyDescent="0.25">
      <c r="A153" s="1">
        <v>33.761993400000001</v>
      </c>
      <c r="B153" s="1">
        <v>693.363159</v>
      </c>
      <c r="C153" s="1">
        <v>202.17227199999999</v>
      </c>
      <c r="T153" s="1"/>
      <c r="U153" s="1"/>
      <c r="V153" s="1"/>
    </row>
    <row r="154" spans="1:22" x14ac:dyDescent="0.25">
      <c r="A154">
        <v>38.484359699999999</v>
      </c>
      <c r="B154">
        <v>708.40313700000002</v>
      </c>
      <c r="C154">
        <v>199.23585499999999</v>
      </c>
      <c r="T154" s="1"/>
      <c r="U154" s="1"/>
      <c r="V154" s="1"/>
    </row>
    <row r="155" spans="1:22" x14ac:dyDescent="0.25">
      <c r="A155">
        <v>43.8672562</v>
      </c>
      <c r="B155">
        <v>722.49926800000003</v>
      </c>
      <c r="C155">
        <v>197.31691000000001</v>
      </c>
      <c r="T155" s="1"/>
      <c r="U155" s="1"/>
      <c r="V155" s="1"/>
    </row>
    <row r="156" spans="1:22" x14ac:dyDescent="0.25">
      <c r="A156">
        <v>50.003067000000001</v>
      </c>
      <c r="B156">
        <v>736.06585700000005</v>
      </c>
      <c r="C156">
        <v>196.656036</v>
      </c>
      <c r="T156" s="1"/>
      <c r="U156" s="1"/>
      <c r="V156" s="1"/>
    </row>
    <row r="157" spans="1:22" x14ac:dyDescent="0.25">
      <c r="A157">
        <v>56.997112299999998</v>
      </c>
      <c r="B157">
        <v>749.56152299999997</v>
      </c>
      <c r="C157">
        <v>197.34848</v>
      </c>
      <c r="T157" s="1"/>
      <c r="U157" s="1"/>
      <c r="V157" s="1"/>
    </row>
    <row r="158" spans="1:22" x14ac:dyDescent="0.25">
      <c r="A158">
        <v>64.969429000000005</v>
      </c>
      <c r="B158">
        <v>763.44732699999997</v>
      </c>
      <c r="C158">
        <v>199.340912</v>
      </c>
      <c r="T158" s="1"/>
      <c r="U158" s="1"/>
      <c r="V158" s="1"/>
    </row>
    <row r="159" spans="1:22" x14ac:dyDescent="0.25">
      <c r="A159">
        <v>74.0568466</v>
      </c>
      <c r="B159">
        <v>778.14556900000002</v>
      </c>
      <c r="C159">
        <v>202.43514999999999</v>
      </c>
      <c r="T159" s="1"/>
      <c r="U159" s="1"/>
      <c r="V159" s="1"/>
    </row>
    <row r="160" spans="1:22" x14ac:dyDescent="0.25">
      <c r="A160">
        <v>84.415344200000007</v>
      </c>
      <c r="B160">
        <v>793.99707000000001</v>
      </c>
      <c r="C160">
        <v>206.30050700000001</v>
      </c>
      <c r="T160" s="1"/>
      <c r="U160" s="1"/>
      <c r="V160" s="1"/>
    </row>
    <row r="161" spans="1:22" x14ac:dyDescent="0.25">
      <c r="A161">
        <v>96.222709699999996</v>
      </c>
      <c r="B161">
        <v>811.21728499999995</v>
      </c>
      <c r="C161">
        <v>210.499191</v>
      </c>
      <c r="T161" s="1"/>
      <c r="U161" s="1"/>
      <c r="V161" s="1"/>
    </row>
    <row r="162" spans="1:22" x14ac:dyDescent="0.25">
      <c r="A162">
        <v>109.681602</v>
      </c>
      <c r="B162">
        <v>829.85675000000003</v>
      </c>
      <c r="C162">
        <v>214.529785</v>
      </c>
      <c r="T162" s="1"/>
      <c r="U162" s="1"/>
      <c r="V162" s="1"/>
    </row>
    <row r="163" spans="1:22" x14ac:dyDescent="0.25">
      <c r="A163">
        <v>125.02301799999999</v>
      </c>
      <c r="B163">
        <v>849.77673300000004</v>
      </c>
      <c r="C163">
        <v>217.89033499999999</v>
      </c>
      <c r="T163" s="1"/>
      <c r="U163" s="1"/>
      <c r="V163" s="1"/>
    </row>
    <row r="164" spans="1:22" x14ac:dyDescent="0.25">
      <c r="A164">
        <v>142.51026899999999</v>
      </c>
      <c r="B164">
        <v>870.65173300000004</v>
      </c>
      <c r="C164">
        <v>220.15479999999999</v>
      </c>
      <c r="T164" s="1"/>
      <c r="U164" s="1"/>
      <c r="V164" s="1"/>
    </row>
    <row r="165" spans="1:22" x14ac:dyDescent="0.25">
      <c r="A165">
        <v>162.44349700000001</v>
      </c>
      <c r="B165">
        <v>892.00799600000005</v>
      </c>
      <c r="C165">
        <v>221.04809599999999</v>
      </c>
      <c r="T165" s="1"/>
      <c r="U165" s="1"/>
      <c r="V165" s="1"/>
    </row>
    <row r="166" spans="1:22" x14ac:dyDescent="0.25">
      <c r="A166">
        <v>185.164841</v>
      </c>
      <c r="B166">
        <v>913.296021</v>
      </c>
      <c r="C166">
        <v>220.499527</v>
      </c>
      <c r="T166" s="1"/>
      <c r="U166" s="1"/>
      <c r="V166" s="1"/>
    </row>
    <row r="167" spans="1:22" x14ac:dyDescent="0.25">
      <c r="A167">
        <v>211.06426999999999</v>
      </c>
      <c r="B167">
        <v>933.98217799999998</v>
      </c>
      <c r="C167">
        <v>218.65780599999999</v>
      </c>
      <c r="T167" s="1"/>
      <c r="U167" s="1"/>
      <c r="V167" s="1"/>
    </row>
    <row r="168" spans="1:22" x14ac:dyDescent="0.25">
      <c r="A168">
        <v>240.58630400000001</v>
      </c>
      <c r="B168">
        <v>953.63647500000002</v>
      </c>
      <c r="C168">
        <v>215.86253400000001</v>
      </c>
      <c r="T168" s="1"/>
      <c r="U168" s="1"/>
      <c r="V168" s="1"/>
    </row>
    <row r="169" spans="1:22" x14ac:dyDescent="0.25">
      <c r="A169">
        <v>274.23767099999998</v>
      </c>
      <c r="B169">
        <v>971.99585000000002</v>
      </c>
      <c r="C169">
        <v>212.58158900000001</v>
      </c>
      <c r="T169" s="1"/>
      <c r="U169" s="1"/>
      <c r="V169" s="1"/>
    </row>
    <row r="170" spans="1:22" x14ac:dyDescent="0.25">
      <c r="A170">
        <v>312.59588600000001</v>
      </c>
      <c r="B170">
        <v>988.99066200000004</v>
      </c>
      <c r="C170">
        <v>209.33311499999999</v>
      </c>
      <c r="T170" s="1"/>
      <c r="U170" s="1"/>
      <c r="V170" s="1"/>
    </row>
    <row r="171" spans="1:22" x14ac:dyDescent="0.25">
      <c r="A171">
        <v>356.31939699999998</v>
      </c>
      <c r="B171">
        <v>1004.73853</v>
      </c>
      <c r="C171">
        <v>206.61146500000001</v>
      </c>
      <c r="T171" s="1"/>
      <c r="U171" s="1"/>
      <c r="V171" s="1"/>
    </row>
    <row r="172" spans="1:22" x14ac:dyDescent="0.25">
      <c r="A172">
        <v>406.15859999999998</v>
      </c>
      <c r="B172">
        <v>1019.51312</v>
      </c>
      <c r="C172">
        <v>204.82917800000001</v>
      </c>
      <c r="T172" s="1"/>
      <c r="U172" s="1"/>
      <c r="V172" s="1"/>
    </row>
    <row r="173" spans="1:22" x14ac:dyDescent="0.25">
      <c r="A173">
        <v>462.96893299999999</v>
      </c>
      <c r="B173">
        <v>1033.7028800000001</v>
      </c>
      <c r="C173">
        <v>204.27844200000001</v>
      </c>
      <c r="T173" s="1"/>
      <c r="U173" s="1"/>
      <c r="V173" s="1"/>
    </row>
    <row r="174" spans="1:22" x14ac:dyDescent="0.25">
      <c r="A174">
        <v>527.72546399999999</v>
      </c>
      <c r="B174">
        <v>1047.76611</v>
      </c>
      <c r="C174">
        <v>205.10913099999999</v>
      </c>
      <c r="T174" s="1"/>
      <c r="U174" s="1"/>
      <c r="V174" s="1"/>
    </row>
    <row r="175" spans="1:22" x14ac:dyDescent="0.25">
      <c r="A175">
        <v>601.53961200000003</v>
      </c>
      <c r="B175">
        <v>1062.1883499999999</v>
      </c>
      <c r="C175">
        <v>207.317947</v>
      </c>
      <c r="T175" s="1"/>
      <c r="U175" s="1"/>
      <c r="V175" s="1"/>
    </row>
    <row r="176" spans="1:22" x14ac:dyDescent="0.25">
      <c r="A176">
        <v>685.67828399999996</v>
      </c>
      <c r="B176">
        <v>1077.43884</v>
      </c>
      <c r="C176">
        <v>210.74560500000001</v>
      </c>
      <c r="T176" s="1"/>
      <c r="U176" s="1"/>
      <c r="V176" s="1"/>
    </row>
    <row r="177" spans="1:22" x14ac:dyDescent="0.25">
      <c r="A177">
        <v>781.58569299999999</v>
      </c>
      <c r="B177">
        <v>1093.92578</v>
      </c>
      <c r="C177">
        <v>215.081512</v>
      </c>
      <c r="T177" s="1"/>
      <c r="U177" s="1"/>
      <c r="V177" s="1"/>
    </row>
    <row r="178" spans="1:22" x14ac:dyDescent="0.25">
      <c r="A178">
        <v>890.90783699999997</v>
      </c>
      <c r="B178">
        <v>1111.94751</v>
      </c>
      <c r="C178">
        <v>219.880325</v>
      </c>
      <c r="T178" s="1"/>
      <c r="U178" s="1"/>
      <c r="V178" s="1"/>
    </row>
    <row r="179" spans="1:22" x14ac:dyDescent="0.25">
      <c r="A179">
        <v>1015.52112</v>
      </c>
      <c r="B179">
        <v>1131.64392</v>
      </c>
      <c r="C179">
        <v>224.59622200000001</v>
      </c>
      <c r="T179" s="1"/>
      <c r="U179" s="1"/>
      <c r="V179" s="1"/>
    </row>
    <row r="180" spans="1:22" x14ac:dyDescent="0.25">
      <c r="A180">
        <v>1157.5643299999999</v>
      </c>
      <c r="B180">
        <v>1152.9563000000001</v>
      </c>
      <c r="C180">
        <v>228.63969399999999</v>
      </c>
      <c r="T180" s="1"/>
      <c r="U180" s="1"/>
      <c r="V180" s="1"/>
    </row>
    <row r="181" spans="1:22" x14ac:dyDescent="0.25">
      <c r="A181">
        <v>1319.4754600000001</v>
      </c>
      <c r="B181">
        <v>1175.6096199999999</v>
      </c>
      <c r="C181">
        <v>231.455353</v>
      </c>
      <c r="T181" s="1"/>
      <c r="U181" s="1"/>
      <c r="V181" s="1"/>
    </row>
    <row r="182" spans="1:22" x14ac:dyDescent="0.25">
      <c r="A182">
        <v>1504.0335700000001</v>
      </c>
      <c r="B182">
        <v>1199.1302499999999</v>
      </c>
      <c r="C182">
        <v>232.60964999999999</v>
      </c>
      <c r="T182" s="1"/>
      <c r="U182" s="1"/>
      <c r="V182" s="1"/>
    </row>
    <row r="183" spans="1:22" x14ac:dyDescent="0.25">
      <c r="A183">
        <v>1714.4061300000001</v>
      </c>
      <c r="B183">
        <v>1222.90552</v>
      </c>
      <c r="C183">
        <v>231.86816400000001</v>
      </c>
      <c r="T183" s="1"/>
      <c r="U183" s="1"/>
      <c r="V183" s="1"/>
    </row>
    <row r="184" spans="1:22" x14ac:dyDescent="0.25">
      <c r="A184">
        <v>1954.20398</v>
      </c>
      <c r="B184">
        <v>1246.2758799999999</v>
      </c>
      <c r="C184">
        <v>229.239822</v>
      </c>
      <c r="T184" s="1"/>
      <c r="U184" s="1"/>
      <c r="V184" s="1"/>
    </row>
    <row r="185" spans="1:22" x14ac:dyDescent="0.25">
      <c r="A185">
        <v>2227.54297</v>
      </c>
      <c r="B185">
        <v>1268.6385499999999</v>
      </c>
      <c r="C185">
        <v>224.97383099999999</v>
      </c>
      <c r="T185" s="1"/>
      <c r="U185" s="1"/>
      <c r="V185" s="1"/>
    </row>
    <row r="186" spans="1:22" x14ac:dyDescent="0.25">
      <c r="A186">
        <v>2539.1145000000001</v>
      </c>
      <c r="B186">
        <v>1289.53674</v>
      </c>
      <c r="C186">
        <v>219.51011700000001</v>
      </c>
      <c r="T186" s="1"/>
      <c r="U186" s="1"/>
      <c r="V186" s="1"/>
    </row>
    <row r="187" spans="1:22" x14ac:dyDescent="0.25">
      <c r="A187">
        <v>2894.26611</v>
      </c>
      <c r="B187">
        <v>1308.7126499999999</v>
      </c>
      <c r="C187">
        <v>213.399902</v>
      </c>
      <c r="T187" s="1"/>
      <c r="U187" s="1"/>
      <c r="V187" s="1"/>
    </row>
    <row r="188" spans="1:22" x14ac:dyDescent="0.25">
      <c r="A188">
        <v>3299.09375</v>
      </c>
      <c r="B188">
        <v>1326.11987</v>
      </c>
      <c r="C188">
        <v>207.21911600000001</v>
      </c>
      <c r="T188" s="1"/>
      <c r="U188" s="1"/>
      <c r="V188" s="1"/>
    </row>
    <row r="189" spans="1:22" x14ac:dyDescent="0.25">
      <c r="A189">
        <v>3760.5454100000002</v>
      </c>
      <c r="B189">
        <v>1341.9018599999999</v>
      </c>
      <c r="C189">
        <v>201.49414100000001</v>
      </c>
      <c r="T189" s="1"/>
      <c r="U189" s="1"/>
      <c r="V189" s="1"/>
    </row>
    <row r="190" spans="1:22" x14ac:dyDescent="0.25">
      <c r="A190">
        <v>4286.5415000000003</v>
      </c>
      <c r="B190">
        <v>1356.3491200000001</v>
      </c>
      <c r="C190">
        <v>196.649689</v>
      </c>
      <c r="T190" s="1"/>
      <c r="U190" s="1"/>
      <c r="V190" s="1"/>
    </row>
    <row r="191" spans="1:22" x14ac:dyDescent="0.25">
      <c r="A191">
        <v>4886.1098599999996</v>
      </c>
      <c r="B191">
        <v>1369.8515600000001</v>
      </c>
      <c r="C191">
        <v>192.979263</v>
      </c>
      <c r="T191" s="1"/>
      <c r="U191" s="1"/>
      <c r="V191" s="1"/>
    </row>
    <row r="192" spans="1:22" x14ac:dyDescent="0.25">
      <c r="A192">
        <v>5569.5410199999997</v>
      </c>
      <c r="B192">
        <v>1382.8504600000001</v>
      </c>
      <c r="C192">
        <v>190.632813</v>
      </c>
      <c r="T192" s="1"/>
      <c r="U192" s="1"/>
      <c r="V192" s="1"/>
    </row>
    <row r="193" spans="1:22" x14ac:dyDescent="0.25">
      <c r="A193">
        <v>6348.5654299999997</v>
      </c>
      <c r="B193">
        <v>1395.79675</v>
      </c>
      <c r="C193">
        <v>189.61552399999999</v>
      </c>
      <c r="T193" s="1"/>
      <c r="U193" s="1"/>
      <c r="V193" s="1"/>
    </row>
    <row r="194" spans="1:22" x14ac:dyDescent="0.25">
      <c r="A194">
        <v>7236.5532199999998</v>
      </c>
      <c r="B194">
        <v>1409.1110799999999</v>
      </c>
      <c r="C194">
        <v>189.793869</v>
      </c>
      <c r="T194" s="1"/>
      <c r="U194" s="1"/>
      <c r="V194" s="1"/>
    </row>
    <row r="195" spans="1:22" x14ac:dyDescent="0.25">
      <c r="A195">
        <v>8248.7460900000005</v>
      </c>
      <c r="B195">
        <v>1423.1461200000001</v>
      </c>
      <c r="C195">
        <v>190.90832499999999</v>
      </c>
      <c r="T195" s="1"/>
      <c r="U195" s="1"/>
      <c r="V195" s="1"/>
    </row>
    <row r="196" spans="1:22" x14ac:dyDescent="0.25">
      <c r="A196">
        <v>9402.5175799999997</v>
      </c>
      <c r="B196">
        <v>1438.14795</v>
      </c>
      <c r="C196">
        <v>192.59620699999999</v>
      </c>
      <c r="T196" s="1"/>
      <c r="U196" s="1"/>
      <c r="V196" s="1"/>
    </row>
    <row r="197" spans="1:22" x14ac:dyDescent="0.25">
      <c r="A197">
        <v>10717.668900000001</v>
      </c>
      <c r="B197">
        <v>1454.22192</v>
      </c>
      <c r="C197">
        <v>194.428314</v>
      </c>
      <c r="T197" s="1"/>
      <c r="U197" s="1"/>
      <c r="V197" s="1"/>
    </row>
    <row r="198" spans="1:22" x14ac:dyDescent="0.25">
      <c r="A198">
        <v>12216.7734</v>
      </c>
      <c r="B198">
        <v>1471.30908</v>
      </c>
      <c r="C198">
        <v>195.961761</v>
      </c>
      <c r="T198" s="1"/>
      <c r="U198" s="1"/>
      <c r="V198" s="1"/>
    </row>
    <row r="199" spans="1:22" x14ac:dyDescent="0.25">
      <c r="A199">
        <v>13925.5615</v>
      </c>
      <c r="B199">
        <v>1489.18481</v>
      </c>
      <c r="C199">
        <v>196.804901</v>
      </c>
      <c r="T199" s="1"/>
      <c r="U199" s="1"/>
      <c r="V199" s="1"/>
    </row>
    <row r="200" spans="1:22" x14ac:dyDescent="0.25">
      <c r="A200">
        <v>15873.3613</v>
      </c>
      <c r="B200">
        <v>1507.48657</v>
      </c>
      <c r="C200">
        <v>196.68331900000001</v>
      </c>
      <c r="T200" s="1"/>
      <c r="U200" s="1"/>
      <c r="V200" s="1"/>
    </row>
    <row r="201" spans="1:22" x14ac:dyDescent="0.25">
      <c r="A201">
        <v>18093.603500000001</v>
      </c>
      <c r="B201">
        <v>1525.77197</v>
      </c>
      <c r="C201">
        <v>195.49014299999999</v>
      </c>
      <c r="T201" s="1"/>
      <c r="U201" s="1"/>
      <c r="V201" s="1"/>
    </row>
    <row r="202" spans="1:22" x14ac:dyDescent="0.25">
      <c r="A202">
        <v>20624.398399999998</v>
      </c>
      <c r="B202">
        <v>1543.59509</v>
      </c>
      <c r="C202">
        <v>193.305466</v>
      </c>
      <c r="T202" s="1"/>
      <c r="U202" s="1"/>
      <c r="V202" s="1"/>
    </row>
    <row r="203" spans="1:22" x14ac:dyDescent="0.25">
      <c r="A203">
        <v>23509.179700000001</v>
      </c>
      <c r="B203">
        <v>1560.5843500000001</v>
      </c>
      <c r="C203">
        <v>190.37866199999999</v>
      </c>
      <c r="T203" s="1"/>
      <c r="U203" s="1"/>
      <c r="V203" s="1"/>
    </row>
    <row r="204" spans="1:22" x14ac:dyDescent="0.25">
      <c r="A204">
        <v>26797.460899999998</v>
      </c>
      <c r="B204">
        <v>1576.50073</v>
      </c>
      <c r="C204">
        <v>187.07925399999999</v>
      </c>
      <c r="T204" s="1"/>
      <c r="U204" s="1"/>
      <c r="V204" s="1"/>
    </row>
    <row r="205" spans="1:22" x14ac:dyDescent="0.25">
      <c r="A205">
        <v>30545.6816</v>
      </c>
      <c r="B205">
        <v>1591.26685</v>
      </c>
      <c r="C205">
        <v>183.83175700000001</v>
      </c>
      <c r="T205" s="1"/>
      <c r="U205" s="1"/>
      <c r="V205" s="1"/>
    </row>
    <row r="206" spans="1:22" x14ac:dyDescent="0.25">
      <c r="A206">
        <v>34818.175799999997</v>
      </c>
      <c r="B206">
        <v>1604.96631</v>
      </c>
      <c r="C206">
        <v>181.05102500000001</v>
      </c>
      <c r="T206" s="1"/>
      <c r="U206" s="1"/>
      <c r="V206" s="1"/>
    </row>
    <row r="207" spans="1:22" x14ac:dyDescent="0.25">
      <c r="A207">
        <v>39688.273399999998</v>
      </c>
      <c r="B207">
        <v>1617.82068</v>
      </c>
      <c r="C207">
        <v>179.08972199999999</v>
      </c>
      <c r="T207" s="1"/>
      <c r="U207" s="1"/>
      <c r="V207" s="1"/>
    </row>
    <row r="208" spans="1:22" x14ac:dyDescent="0.25">
      <c r="A208">
        <v>45239.5625</v>
      </c>
      <c r="B208">
        <v>1630.1557600000001</v>
      </c>
      <c r="C208">
        <v>178.20223999999999</v>
      </c>
      <c r="T208" s="1"/>
      <c r="U208" s="1"/>
      <c r="V208" s="1"/>
    </row>
    <row r="209" spans="1:22" x14ac:dyDescent="0.25">
      <c r="A209">
        <v>51567.324200000003</v>
      </c>
      <c r="B209">
        <v>1642.3634</v>
      </c>
      <c r="C209">
        <v>178.523056</v>
      </c>
      <c r="T209" s="1"/>
      <c r="U209" s="1"/>
      <c r="V209" s="1"/>
    </row>
    <row r="210" spans="1:22" x14ac:dyDescent="0.25">
      <c r="A210">
        <v>58780.160199999998</v>
      </c>
      <c r="B210">
        <v>1654.8648700000001</v>
      </c>
      <c r="C210">
        <v>180.055252</v>
      </c>
      <c r="T210" s="1"/>
      <c r="U210" s="1"/>
      <c r="V210" s="1"/>
    </row>
    <row r="211" spans="1:22" x14ac:dyDescent="0.25">
      <c r="A211">
        <v>67001.875</v>
      </c>
      <c r="B211">
        <v>1668.0730000000001</v>
      </c>
      <c r="C211">
        <v>182.66610700000001</v>
      </c>
      <c r="T211" s="1"/>
      <c r="U211" s="1"/>
      <c r="V211" s="1"/>
    </row>
    <row r="212" spans="1:22" x14ac:dyDescent="0.25">
      <c r="A212">
        <v>76373.578099999999</v>
      </c>
      <c r="B212">
        <v>1682.3538799999999</v>
      </c>
      <c r="C212">
        <v>186.089035</v>
      </c>
      <c r="T212" s="1"/>
      <c r="U212" s="1"/>
      <c r="V212" s="1"/>
    </row>
    <row r="213" spans="1:22" x14ac:dyDescent="0.25">
      <c r="A213">
        <v>87056.125</v>
      </c>
      <c r="B213">
        <v>1697.9836399999999</v>
      </c>
      <c r="C213">
        <v>189.93536399999999</v>
      </c>
      <c r="T213" s="1"/>
      <c r="U213" s="1"/>
      <c r="V213" s="1"/>
    </row>
    <row r="214" spans="1:22" x14ac:dyDescent="0.25">
      <c r="A214">
        <v>99232.859400000001</v>
      </c>
      <c r="B214">
        <v>1715.1049800000001</v>
      </c>
      <c r="C214">
        <v>193.72096300000001</v>
      </c>
      <c r="T214" s="1"/>
      <c r="U214" s="1"/>
      <c r="V214" s="1"/>
    </row>
    <row r="215" spans="1:22" x14ac:dyDescent="0.25">
      <c r="A215">
        <v>113112.789</v>
      </c>
      <c r="B215">
        <v>1733.6887200000001</v>
      </c>
      <c r="C215">
        <v>196.91255200000001</v>
      </c>
      <c r="T215" s="1"/>
      <c r="U215" s="1"/>
      <c r="V215" s="1"/>
    </row>
    <row r="216" spans="1:22" x14ac:dyDescent="0.25">
      <c r="A216">
        <v>128934.133</v>
      </c>
      <c r="B216">
        <v>1753.51331</v>
      </c>
      <c r="C216">
        <v>198.99389600000001</v>
      </c>
      <c r="T216" s="1"/>
      <c r="U216" s="1"/>
      <c r="V216" s="1"/>
    </row>
    <row r="217" spans="1:22" x14ac:dyDescent="0.25">
      <c r="A217">
        <v>146968.43799999999</v>
      </c>
      <c r="B217">
        <v>1774.17407</v>
      </c>
      <c r="C217">
        <v>199.543137</v>
      </c>
      <c r="T217" s="1"/>
      <c r="U217" s="1"/>
      <c r="V217" s="1"/>
    </row>
    <row r="218" spans="1:22" x14ac:dyDescent="0.25">
      <c r="A218">
        <v>167525.25</v>
      </c>
      <c r="B218">
        <v>1795.1289099999999</v>
      </c>
      <c r="C218">
        <v>198.304733</v>
      </c>
      <c r="T218" s="1"/>
      <c r="U218" s="1"/>
      <c r="V218" s="1"/>
    </row>
    <row r="219" spans="1:22" x14ac:dyDescent="0.25">
      <c r="A219">
        <v>190957.391</v>
      </c>
      <c r="B219">
        <v>1815.7760000000001</v>
      </c>
      <c r="C219">
        <v>195.23541299999999</v>
      </c>
      <c r="T219" s="1"/>
      <c r="U219" s="1"/>
      <c r="V219" s="1"/>
    </row>
    <row r="220" spans="1:22" x14ac:dyDescent="0.25">
      <c r="A220">
        <v>217667.03099999999</v>
      </c>
      <c r="B220">
        <v>1835.5451700000001</v>
      </c>
      <c r="C220">
        <v>190.50943000000001</v>
      </c>
      <c r="T220" s="1"/>
      <c r="U220" s="1"/>
      <c r="V220" s="1"/>
    </row>
    <row r="221" spans="1:22" x14ac:dyDescent="0.25">
      <c r="A221">
        <v>248112.609</v>
      </c>
      <c r="B221">
        <v>1853.9802199999999</v>
      </c>
      <c r="C221">
        <v>184.481537</v>
      </c>
      <c r="T221" s="1"/>
      <c r="U221" s="1"/>
      <c r="V221" s="1"/>
    </row>
    <row r="222" spans="1:22" x14ac:dyDescent="0.25">
      <c r="A222">
        <v>282816.68800000002</v>
      </c>
      <c r="B222">
        <v>1870.7919899999999</v>
      </c>
      <c r="C222">
        <v>177.62029999999999</v>
      </c>
      <c r="T222" s="1"/>
      <c r="U222" s="1"/>
      <c r="V222" s="1"/>
    </row>
    <row r="223" spans="1:22" x14ac:dyDescent="0.25">
      <c r="A223">
        <v>322374.875</v>
      </c>
      <c r="B223">
        <v>1885.8748800000001</v>
      </c>
      <c r="C223">
        <v>170.431961</v>
      </c>
      <c r="T223" s="1"/>
      <c r="U223" s="1"/>
      <c r="V223" s="1"/>
    </row>
    <row r="224" spans="1:22" x14ac:dyDescent="0.25">
      <c r="A224">
        <v>367466.18800000002</v>
      </c>
      <c r="B224">
        <v>1899.29053</v>
      </c>
      <c r="C224">
        <v>163.393326</v>
      </c>
      <c r="T224" s="1"/>
      <c r="U224" s="1"/>
      <c r="V224" s="1"/>
    </row>
    <row r="225" spans="1:22" x14ac:dyDescent="0.25">
      <c r="A225">
        <v>418864.53100000002</v>
      </c>
      <c r="B225">
        <v>1911.23315</v>
      </c>
      <c r="C225">
        <v>156.904144</v>
      </c>
      <c r="T225" s="1"/>
      <c r="U225" s="1"/>
      <c r="V225" s="1"/>
    </row>
    <row r="226" spans="1:22" x14ac:dyDescent="0.25">
      <c r="A226">
        <v>477452.06300000002</v>
      </c>
      <c r="B226">
        <v>1921.98596</v>
      </c>
      <c r="C226">
        <v>151.260727</v>
      </c>
      <c r="T226" s="1"/>
      <c r="U226" s="1"/>
      <c r="V226" s="1"/>
    </row>
    <row r="227" spans="1:22" x14ac:dyDescent="0.25">
      <c r="A227">
        <v>544234.375</v>
      </c>
      <c r="B227">
        <v>1931.8807400000001</v>
      </c>
      <c r="C227">
        <v>146.64666700000001</v>
      </c>
      <c r="T227" s="1"/>
      <c r="U227" s="1"/>
      <c r="V227" s="1"/>
    </row>
    <row r="228" spans="1:22" x14ac:dyDescent="0.25">
      <c r="A228">
        <v>620357.625</v>
      </c>
      <c r="B228">
        <v>1941.2625700000001</v>
      </c>
      <c r="C228">
        <v>143.13455200000001</v>
      </c>
      <c r="T228" s="1"/>
      <c r="U228" s="1"/>
      <c r="V228" s="1"/>
    </row>
    <row r="229" spans="1:22" x14ac:dyDescent="0.25">
      <c r="A229">
        <v>707128.5</v>
      </c>
      <c r="B229">
        <v>1950.4599599999999</v>
      </c>
      <c r="C229">
        <v>140.693985</v>
      </c>
      <c r="T229" s="1"/>
      <c r="U229" s="1"/>
      <c r="V229" s="1"/>
    </row>
    <row r="230" spans="1:22" x14ac:dyDescent="0.25">
      <c r="A230">
        <v>806036.125</v>
      </c>
      <c r="B230">
        <v>1959.75891</v>
      </c>
      <c r="C230">
        <v>139.20394899999999</v>
      </c>
      <c r="T230" s="1"/>
      <c r="U230" s="1"/>
      <c r="V230" s="1"/>
    </row>
    <row r="231" spans="1:22" x14ac:dyDescent="0.25">
      <c r="A231">
        <v>918778.25</v>
      </c>
      <c r="B231">
        <v>1969.3796400000001</v>
      </c>
      <c r="C231">
        <v>138.46992499999999</v>
      </c>
      <c r="T231" s="1"/>
      <c r="U231" s="1"/>
      <c r="V231" s="1"/>
    </row>
    <row r="232" spans="1:22" x14ac:dyDescent="0.25">
      <c r="A232">
        <v>1047289.81</v>
      </c>
      <c r="B232">
        <v>1979.45544</v>
      </c>
      <c r="C232">
        <v>138.247894</v>
      </c>
      <c r="T232" s="1"/>
      <c r="U232" s="1"/>
      <c r="V232" s="1"/>
    </row>
    <row r="233" spans="1:22" x14ac:dyDescent="0.25">
      <c r="A233">
        <v>1193776.6299999999</v>
      </c>
      <c r="B233">
        <v>1990.0190399999999</v>
      </c>
      <c r="C233">
        <v>138.27659600000001</v>
      </c>
      <c r="T233" s="1"/>
      <c r="U233" s="1"/>
      <c r="V233" s="1"/>
    </row>
    <row r="234" spans="1:22" x14ac:dyDescent="0.25">
      <c r="A234">
        <v>1360752.88</v>
      </c>
      <c r="B234">
        <v>2001.0004899999999</v>
      </c>
      <c r="C234">
        <v>138.31686400000001</v>
      </c>
      <c r="T234" s="1"/>
      <c r="U234" s="1"/>
      <c r="V234" s="1"/>
    </row>
    <row r="235" spans="1:22" x14ac:dyDescent="0.25">
      <c r="A235">
        <v>1551084.5</v>
      </c>
      <c r="B235">
        <v>2012.24207</v>
      </c>
      <c r="C235">
        <v>138.191956</v>
      </c>
      <c r="T235" s="1"/>
      <c r="U235" s="1"/>
      <c r="V235" s="1"/>
    </row>
    <row r="236" spans="1:22" x14ac:dyDescent="0.25">
      <c r="A236">
        <v>1768038.13</v>
      </c>
      <c r="B236">
        <v>2023.53088</v>
      </c>
      <c r="C236">
        <v>137.82008400000001</v>
      </c>
      <c r="T236" s="1"/>
      <c r="U236" s="1"/>
      <c r="V236" s="1"/>
    </row>
    <row r="237" spans="1:22" x14ac:dyDescent="0.25">
      <c r="A237">
        <v>2015337.63</v>
      </c>
      <c r="B237">
        <v>2034.6449</v>
      </c>
      <c r="C237">
        <v>137.22953799999999</v>
      </c>
      <c r="T237" s="1"/>
      <c r="U237" s="1"/>
      <c r="V237" s="1"/>
    </row>
    <row r="238" spans="1:22" x14ac:dyDescent="0.25">
      <c r="A238">
        <v>2297227.5</v>
      </c>
      <c r="B238">
        <v>2045.4002700000001</v>
      </c>
      <c r="C238">
        <v>136.55169699999999</v>
      </c>
      <c r="T238" s="1"/>
      <c r="U238" s="1"/>
      <c r="V238" s="1"/>
    </row>
    <row r="239" spans="1:22" x14ac:dyDescent="0.25">
      <c r="A239">
        <v>2618546</v>
      </c>
      <c r="B239">
        <v>2055.6904300000001</v>
      </c>
      <c r="C239">
        <v>135.994202</v>
      </c>
      <c r="T239" s="1"/>
      <c r="U239" s="1"/>
      <c r="V239" s="1"/>
    </row>
    <row r="240" spans="1:22" x14ac:dyDescent="0.25">
      <c r="A240">
        <v>2984808</v>
      </c>
      <c r="B240">
        <v>2065.5080600000001</v>
      </c>
      <c r="C240">
        <v>135.802109</v>
      </c>
      <c r="T240" s="1"/>
      <c r="U240" s="1"/>
      <c r="V240" s="1"/>
    </row>
    <row r="241" spans="1:22" x14ac:dyDescent="0.25">
      <c r="A241">
        <v>3402299.75</v>
      </c>
      <c r="B241">
        <v>2074.9494599999998</v>
      </c>
      <c r="C241">
        <v>136.216858</v>
      </c>
      <c r="T241" s="1"/>
      <c r="U241" s="1"/>
      <c r="V241" s="1"/>
    </row>
    <row r="242" spans="1:22" x14ac:dyDescent="0.25">
      <c r="A242">
        <v>3878187.25</v>
      </c>
      <c r="B242">
        <v>2084.2040999999999</v>
      </c>
      <c r="C242">
        <v>137.44042999999999</v>
      </c>
      <c r="T242" s="1"/>
      <c r="U242" s="1"/>
      <c r="V242" s="1"/>
    </row>
    <row r="243" spans="1:22" x14ac:dyDescent="0.25">
      <c r="A243">
        <v>4420638</v>
      </c>
      <c r="B243">
        <v>2093.5368699999999</v>
      </c>
      <c r="C243">
        <v>139.60763499999999</v>
      </c>
      <c r="T243" s="1"/>
      <c r="U243" s="1"/>
      <c r="V243" s="1"/>
    </row>
    <row r="244" spans="1:22" x14ac:dyDescent="0.25">
      <c r="A244">
        <v>5038962.5</v>
      </c>
      <c r="B244">
        <v>2103.26343</v>
      </c>
      <c r="C244">
        <v>142.76597599999999</v>
      </c>
      <c r="T244" s="1"/>
      <c r="U244" s="1"/>
      <c r="V244" s="1"/>
    </row>
    <row r="245" spans="1:22" x14ac:dyDescent="0.25">
      <c r="A245">
        <v>5743773.5</v>
      </c>
      <c r="B245">
        <v>2113.7272899999998</v>
      </c>
      <c r="C245">
        <v>146.86093099999999</v>
      </c>
      <c r="T245" s="1"/>
      <c r="U245" s="1"/>
      <c r="V245" s="1"/>
    </row>
    <row r="246" spans="1:22" x14ac:dyDescent="0.25">
      <c r="A246">
        <v>6547168.5</v>
      </c>
      <c r="B246">
        <v>2125.2683099999999</v>
      </c>
      <c r="C246">
        <v>151.72551000000001</v>
      </c>
      <c r="T246" s="1"/>
      <c r="U246" s="1"/>
      <c r="V246" s="1"/>
    </row>
    <row r="247" spans="1:22" x14ac:dyDescent="0.25">
      <c r="A247">
        <v>7462935.5</v>
      </c>
      <c r="B247">
        <v>2138.1914099999999</v>
      </c>
      <c r="C247">
        <v>157.074997</v>
      </c>
      <c r="T247" s="1"/>
      <c r="U247" s="1"/>
      <c r="V247" s="1"/>
    </row>
    <row r="248" spans="1:22" x14ac:dyDescent="0.25">
      <c r="A248">
        <v>8506793</v>
      </c>
      <c r="B248">
        <v>2152.7248500000001</v>
      </c>
      <c r="C248">
        <v>162.51078799999999</v>
      </c>
      <c r="T248" s="1"/>
      <c r="U248" s="1"/>
      <c r="V248" s="1"/>
    </row>
    <row r="249" spans="1:22" x14ac:dyDescent="0.25">
      <c r="A249">
        <v>9696658</v>
      </c>
      <c r="B249">
        <v>2168.9765600000001</v>
      </c>
      <c r="C249">
        <v>167.539413</v>
      </c>
      <c r="T249" s="1"/>
      <c r="U249" s="1"/>
      <c r="V249" s="1"/>
    </row>
    <row r="250" spans="1:22" x14ac:dyDescent="0.25">
      <c r="A250">
        <v>11052951</v>
      </c>
      <c r="B250">
        <v>2186.8923300000001</v>
      </c>
      <c r="C250">
        <v>171.61198400000001</v>
      </c>
      <c r="T250" s="1"/>
      <c r="U250" s="1"/>
      <c r="V250" s="1"/>
    </row>
    <row r="251" spans="1:22" x14ac:dyDescent="0.25">
      <c r="A251">
        <v>12598953</v>
      </c>
      <c r="B251">
        <v>2206.2297400000002</v>
      </c>
      <c r="C251">
        <v>174.18544</v>
      </c>
      <c r="T251" s="1"/>
      <c r="U251" s="1"/>
      <c r="V251" s="1"/>
    </row>
    <row r="252" spans="1:22" x14ac:dyDescent="0.25">
      <c r="A252">
        <v>14361197</v>
      </c>
      <c r="B252">
        <v>2226.5585900000001</v>
      </c>
      <c r="C252">
        <v>174.79856899999999</v>
      </c>
      <c r="T252" s="1"/>
      <c r="U252" s="1"/>
      <c r="V252" s="1"/>
    </row>
    <row r="253" spans="1:22" x14ac:dyDescent="0.25">
      <c r="A253">
        <v>16369930</v>
      </c>
      <c r="B253">
        <v>2247.2997999999998</v>
      </c>
      <c r="C253">
        <v>173.146591</v>
      </c>
      <c r="T253" s="1"/>
      <c r="U253" s="1"/>
      <c r="V253" s="1"/>
    </row>
    <row r="254" spans="1:22" x14ac:dyDescent="0.25">
      <c r="A254">
        <v>18659630</v>
      </c>
      <c r="B254">
        <v>2267.7976100000001</v>
      </c>
      <c r="C254">
        <v>169.133499</v>
      </c>
      <c r="T254" s="1"/>
      <c r="U254" s="1"/>
      <c r="V254" s="1"/>
    </row>
    <row r="255" spans="1:22" x14ac:dyDescent="0.25">
      <c r="A255">
        <v>21269594</v>
      </c>
      <c r="B255">
        <v>2287.40967</v>
      </c>
      <c r="C255">
        <v>162.8853</v>
      </c>
      <c r="T255" s="1"/>
      <c r="U255" s="1"/>
      <c r="V255" s="1"/>
    </row>
    <row r="256" spans="1:22" x14ac:dyDescent="0.25">
      <c r="A256">
        <v>24244620</v>
      </c>
      <c r="B256">
        <v>2305.5927700000002</v>
      </c>
      <c r="C256">
        <v>154.71965</v>
      </c>
      <c r="T256" s="1"/>
      <c r="U256" s="1"/>
      <c r="V256" s="1"/>
    </row>
    <row r="257" spans="1:22" x14ac:dyDescent="0.25">
      <c r="A257">
        <v>27635770</v>
      </c>
      <c r="B257">
        <v>2321.9606899999999</v>
      </c>
      <c r="C257">
        <v>145.08299299999999</v>
      </c>
      <c r="T257" s="1"/>
      <c r="U257" s="1"/>
      <c r="V257" s="1"/>
    </row>
    <row r="258" spans="1:22" x14ac:dyDescent="0.25">
      <c r="A258">
        <v>31501248</v>
      </c>
      <c r="B258">
        <v>2336.3051799999998</v>
      </c>
      <c r="C258">
        <v>134.47494499999999</v>
      </c>
      <c r="T258" s="1"/>
      <c r="U258" s="1"/>
      <c r="V258" s="1"/>
    </row>
    <row r="259" spans="1:22" x14ac:dyDescent="0.25">
      <c r="A259">
        <v>35907400</v>
      </c>
      <c r="B259">
        <v>2348.5830099999998</v>
      </c>
      <c r="C259">
        <v>123.380211</v>
      </c>
      <c r="T259" s="1"/>
      <c r="U259" s="1"/>
      <c r="V259" s="1"/>
    </row>
    <row r="260" spans="1:22" x14ac:dyDescent="0.25">
      <c r="A260">
        <v>40929848</v>
      </c>
      <c r="B260">
        <v>2358.8803699999999</v>
      </c>
      <c r="C260">
        <v>112.220596</v>
      </c>
      <c r="T260" s="1"/>
      <c r="U260" s="1"/>
      <c r="V260" s="1"/>
    </row>
    <row r="261" spans="1:22" x14ac:dyDescent="0.25">
      <c r="A261">
        <v>46654800</v>
      </c>
      <c r="B261">
        <v>2367.3703599999999</v>
      </c>
      <c r="C261">
        <v>101.330254</v>
      </c>
      <c r="T261" s="1"/>
      <c r="U261" s="1"/>
      <c r="V261" s="1"/>
    </row>
    <row r="262" spans="1:22" x14ac:dyDescent="0.25">
      <c r="A262">
        <v>53180512</v>
      </c>
      <c r="B262">
        <v>2374.2719699999998</v>
      </c>
      <c r="C262">
        <v>90.9507294</v>
      </c>
      <c r="T262" s="1"/>
      <c r="U262" s="1"/>
      <c r="V262" s="1"/>
    </row>
    <row r="263" spans="1:22" x14ac:dyDescent="0.25">
      <c r="A263">
        <v>60618988</v>
      </c>
      <c r="B263">
        <v>2379.8181199999999</v>
      </c>
      <c r="C263">
        <v>81.2390671</v>
      </c>
      <c r="T263" s="1"/>
      <c r="U263" s="1"/>
      <c r="V263" s="1"/>
    </row>
    <row r="264" spans="1:22" x14ac:dyDescent="0.25">
      <c r="A264">
        <v>69097904</v>
      </c>
      <c r="B264">
        <v>2384.2334000000001</v>
      </c>
      <c r="C264">
        <v>72.282440199999996</v>
      </c>
      <c r="T264" s="1"/>
      <c r="U264" s="1"/>
      <c r="V264" s="1"/>
    </row>
    <row r="265" spans="1:22" x14ac:dyDescent="0.25">
      <c r="A265">
        <v>78762784</v>
      </c>
      <c r="B265">
        <v>2387.7229000000002</v>
      </c>
      <c r="C265">
        <v>64.114570599999993</v>
      </c>
      <c r="T265" s="1"/>
      <c r="U265" s="1"/>
      <c r="V265" s="1"/>
    </row>
    <row r="266" spans="1:22" x14ac:dyDescent="0.25">
      <c r="A266">
        <v>89779512</v>
      </c>
      <c r="B266">
        <v>2390.4643599999999</v>
      </c>
      <c r="C266">
        <v>56.730953200000002</v>
      </c>
      <c r="T266" s="1"/>
      <c r="U266" s="1"/>
      <c r="V266" s="1"/>
    </row>
    <row r="267" spans="1:22" x14ac:dyDescent="0.25">
      <c r="A267">
        <v>102337176</v>
      </c>
      <c r="B267">
        <v>2392.6079100000002</v>
      </c>
      <c r="C267">
        <v>50.101535800000001</v>
      </c>
      <c r="T267" s="1"/>
      <c r="U267" s="1"/>
      <c r="V267" s="1"/>
    </row>
    <row r="268" spans="1:22" x14ac:dyDescent="0.25">
      <c r="A268">
        <v>116651312</v>
      </c>
      <c r="B268">
        <v>2394.27808</v>
      </c>
      <c r="C268">
        <v>44.180599200000003</v>
      </c>
      <c r="T268" s="1"/>
      <c r="U268" s="1"/>
      <c r="V268" s="1"/>
    </row>
    <row r="269" spans="1:22" x14ac:dyDescent="0.25">
      <c r="A269">
        <v>132967600</v>
      </c>
      <c r="B269">
        <v>2395.5752000000002</v>
      </c>
      <c r="C269">
        <v>38.913986199999997</v>
      </c>
      <c r="T269" s="1"/>
      <c r="U269" s="1"/>
      <c r="V269" s="1"/>
    </row>
    <row r="270" spans="1:22" x14ac:dyDescent="0.25">
      <c r="A270">
        <v>151566080</v>
      </c>
      <c r="B270">
        <v>2396.58032</v>
      </c>
      <c r="C270">
        <v>34.244159699999997</v>
      </c>
      <c r="T270" s="1"/>
      <c r="U270" s="1"/>
      <c r="V270" s="1"/>
    </row>
    <row r="271" spans="1:22" x14ac:dyDescent="0.25">
      <c r="A271">
        <v>172765968</v>
      </c>
      <c r="B271">
        <v>2397.3576699999999</v>
      </c>
      <c r="C271">
        <v>30.113584500000002</v>
      </c>
      <c r="T271" s="1"/>
      <c r="U271" s="1"/>
      <c r="V271" s="1"/>
    </row>
    <row r="272" spans="1:22" x14ac:dyDescent="0.25">
      <c r="A272">
        <v>196931136</v>
      </c>
      <c r="B272">
        <v>2397.9572800000001</v>
      </c>
      <c r="C272">
        <v>26.466865500000001</v>
      </c>
      <c r="T272" s="1"/>
      <c r="U272" s="1"/>
      <c r="V272" s="1"/>
    </row>
    <row r="273" spans="1:22" x14ac:dyDescent="0.25">
      <c r="A273">
        <v>224476336</v>
      </c>
      <c r="B273">
        <v>2398.4187000000002</v>
      </c>
      <c r="C273">
        <v>23.251996999999999</v>
      </c>
      <c r="T273" s="1"/>
      <c r="U273" s="1"/>
      <c r="V273" s="1"/>
    </row>
    <row r="274" spans="1:22" x14ac:dyDescent="0.25">
      <c r="A274">
        <v>255874352</v>
      </c>
      <c r="B274">
        <v>2398.77295</v>
      </c>
      <c r="C274">
        <v>20.421011</v>
      </c>
      <c r="T274" s="1"/>
      <c r="U274" s="1"/>
      <c r="V274" s="1"/>
    </row>
    <row r="275" spans="1:22" x14ac:dyDescent="0.25">
      <c r="A275">
        <v>291664064</v>
      </c>
      <c r="B275">
        <v>2399.0434599999999</v>
      </c>
      <c r="C275">
        <v>17.930219699999999</v>
      </c>
      <c r="T275" s="1"/>
      <c r="U275" s="1"/>
      <c r="V275" s="1"/>
    </row>
    <row r="276" spans="1:22" x14ac:dyDescent="0.25">
      <c r="A276">
        <v>332459808</v>
      </c>
      <c r="B276">
        <v>2399.24854</v>
      </c>
      <c r="C276">
        <v>15.7401991</v>
      </c>
      <c r="T276" s="1"/>
      <c r="U276" s="1"/>
      <c r="V276" s="1"/>
    </row>
    <row r="277" spans="1:22" x14ac:dyDescent="0.25">
      <c r="A277">
        <v>378961696</v>
      </c>
      <c r="B277">
        <v>2399.4020999999998</v>
      </c>
      <c r="C277">
        <v>13.8156166</v>
      </c>
      <c r="T277" s="1"/>
      <c r="U277" s="1"/>
      <c r="V277" s="1"/>
    </row>
    <row r="278" spans="1:22" x14ac:dyDescent="0.25">
      <c r="A278">
        <v>431967936</v>
      </c>
      <c r="B278">
        <v>2399.5144</v>
      </c>
      <c r="C278">
        <v>12.1249685</v>
      </c>
      <c r="T278" s="1"/>
      <c r="U278" s="1"/>
      <c r="V278" s="1"/>
    </row>
    <row r="279" spans="1:22" x14ac:dyDescent="0.25">
      <c r="A279">
        <v>492388256</v>
      </c>
      <c r="B279">
        <v>2399.5935100000002</v>
      </c>
      <c r="C279">
        <v>10.6402702</v>
      </c>
      <c r="T279" s="1"/>
      <c r="U279" s="1"/>
      <c r="V279" s="1"/>
    </row>
    <row r="280" spans="1:22" x14ac:dyDescent="0.25">
      <c r="A280">
        <v>561259712</v>
      </c>
      <c r="B280">
        <v>2399.6440400000001</v>
      </c>
      <c r="C280">
        <v>9.33673763</v>
      </c>
      <c r="T280" s="1"/>
      <c r="U280" s="1"/>
      <c r="V280" s="1"/>
    </row>
    <row r="281" spans="1:22" x14ac:dyDescent="0.25">
      <c r="A281">
        <v>639764416</v>
      </c>
      <c r="B281">
        <v>2399.66968</v>
      </c>
      <c r="C281">
        <v>8.1924724599999994</v>
      </c>
      <c r="T281" s="1"/>
      <c r="U281" s="1"/>
      <c r="V281" s="1"/>
    </row>
    <row r="282" spans="1:22" x14ac:dyDescent="0.25">
      <c r="A282">
        <v>729249664</v>
      </c>
      <c r="B282">
        <v>2399.6709000000001</v>
      </c>
      <c r="C282">
        <v>7.1881523100000004</v>
      </c>
      <c r="T282" s="1"/>
      <c r="U282" s="1"/>
      <c r="V282" s="1"/>
    </row>
    <row r="283" spans="1:22" x14ac:dyDescent="0.25">
      <c r="A283">
        <v>831251520</v>
      </c>
      <c r="B283">
        <v>2399.6455099999998</v>
      </c>
      <c r="C283">
        <v>6.3067569700000004</v>
      </c>
      <c r="T283" s="1"/>
      <c r="U283" s="1"/>
      <c r="V283" s="1"/>
    </row>
    <row r="284" spans="1:22" x14ac:dyDescent="0.25">
      <c r="A284">
        <v>947520512</v>
      </c>
      <c r="B284">
        <v>2399.5805700000001</v>
      </c>
      <c r="C284">
        <v>5.5333046899999996</v>
      </c>
      <c r="T284" s="1"/>
      <c r="U284" s="1"/>
      <c r="V284" s="1"/>
    </row>
    <row r="285" spans="1:22" x14ac:dyDescent="0.25">
      <c r="A285">
        <v>1080052350</v>
      </c>
      <c r="B285">
        <v>2399.31738</v>
      </c>
      <c r="C285">
        <v>4.8546199799999998</v>
      </c>
      <c r="T285" s="1"/>
      <c r="U285" s="1"/>
      <c r="V285" s="1"/>
    </row>
    <row r="286" spans="1:22" x14ac:dyDescent="0.25">
      <c r="A286">
        <v>1231121790</v>
      </c>
      <c r="B286">
        <v>2399.6169399999999</v>
      </c>
      <c r="C286">
        <v>4.2591156999999997</v>
      </c>
      <c r="T286" s="1"/>
      <c r="U286" s="1"/>
      <c r="V286" s="1"/>
    </row>
    <row r="287" spans="1:22" x14ac:dyDescent="0.25">
      <c r="A287">
        <v>1403321600</v>
      </c>
      <c r="B287">
        <v>2399.4133299999999</v>
      </c>
      <c r="C287">
        <v>3.7366206599999998</v>
      </c>
      <c r="T287" s="1"/>
      <c r="U287" s="1"/>
      <c r="V287" s="1"/>
    </row>
    <row r="288" spans="1:22" x14ac:dyDescent="0.25">
      <c r="A288">
        <v>1599607300</v>
      </c>
      <c r="B288">
        <v>2399.2197299999998</v>
      </c>
      <c r="C288">
        <v>3.27819657</v>
      </c>
      <c r="T288" s="1"/>
      <c r="U288" s="1"/>
      <c r="V288" s="1"/>
    </row>
    <row r="289" spans="1:22" x14ac:dyDescent="0.25">
      <c r="A289">
        <v>1823347970</v>
      </c>
      <c r="B289">
        <v>2398.9765600000001</v>
      </c>
      <c r="C289">
        <v>2.87599516</v>
      </c>
      <c r="T289" s="1"/>
      <c r="U289" s="1"/>
      <c r="V289" s="1"/>
    </row>
    <row r="290" spans="1:22" x14ac:dyDescent="0.25">
      <c r="A290">
        <v>2078383870</v>
      </c>
      <c r="B290">
        <v>2398.6464799999999</v>
      </c>
      <c r="C290">
        <v>2.5231275599999998</v>
      </c>
      <c r="T290" s="1"/>
      <c r="U290" s="1"/>
      <c r="V290" s="1"/>
    </row>
    <row r="291" spans="1:22" x14ac:dyDescent="0.25">
      <c r="A291">
        <v>2369092100</v>
      </c>
      <c r="B291">
        <v>2398.3046899999999</v>
      </c>
      <c r="C291">
        <v>2.2135460400000002</v>
      </c>
      <c r="T291" s="1"/>
      <c r="U291" s="1"/>
      <c r="V291" s="1"/>
    </row>
    <row r="292" spans="1:22" x14ac:dyDescent="0.25">
      <c r="A292">
        <v>2700462340</v>
      </c>
      <c r="B292">
        <v>2397.5747099999999</v>
      </c>
      <c r="C292">
        <v>1.94194555</v>
      </c>
      <c r="T292" s="1"/>
      <c r="U292" s="1"/>
      <c r="V292" s="1"/>
    </row>
    <row r="293" spans="1:22" x14ac:dyDescent="0.25">
      <c r="A293">
        <v>3078182140</v>
      </c>
      <c r="B293">
        <v>2397.1162100000001</v>
      </c>
      <c r="C293">
        <v>1.7036632300000001</v>
      </c>
      <c r="T293" s="1"/>
      <c r="U293" s="1"/>
      <c r="V293" s="1"/>
    </row>
    <row r="294" spans="1:22" x14ac:dyDescent="0.25">
      <c r="A294">
        <v>3508734460</v>
      </c>
      <c r="B294">
        <v>2393.8222700000001</v>
      </c>
      <c r="C294">
        <v>1.4946566800000001</v>
      </c>
      <c r="T294" s="1"/>
      <c r="U294" s="1"/>
      <c r="V294" s="1"/>
    </row>
    <row r="295" spans="1:22" x14ac:dyDescent="0.25">
      <c r="A295">
        <v>3999508990</v>
      </c>
      <c r="B295">
        <v>2395.2456099999999</v>
      </c>
      <c r="C295">
        <v>1.31122088</v>
      </c>
      <c r="T295" s="1"/>
      <c r="U295" s="1"/>
      <c r="V295" s="1"/>
    </row>
    <row r="296" spans="1:22" x14ac:dyDescent="0.25">
      <c r="A296">
        <v>4558929410</v>
      </c>
      <c r="B296">
        <v>2394.7077599999998</v>
      </c>
      <c r="C296">
        <v>1.1503405600000001</v>
      </c>
      <c r="T296" s="1"/>
      <c r="U296" s="1"/>
      <c r="V296" s="1"/>
    </row>
    <row r="297" spans="1:22" x14ac:dyDescent="0.25">
      <c r="A297">
        <v>5196597250</v>
      </c>
      <c r="B297">
        <v>2391.9252900000001</v>
      </c>
      <c r="C297">
        <v>1.00917447</v>
      </c>
      <c r="T297" s="1"/>
      <c r="U297" s="1"/>
      <c r="V297" s="1"/>
    </row>
    <row r="298" spans="1:22" x14ac:dyDescent="0.25">
      <c r="A298">
        <v>5923457020</v>
      </c>
      <c r="B298">
        <v>2389.4436000000001</v>
      </c>
      <c r="C298">
        <v>0.88534182299999997</v>
      </c>
      <c r="T298" s="1"/>
      <c r="U298" s="1"/>
      <c r="V298" s="1"/>
    </row>
    <row r="299" spans="1:22" x14ac:dyDescent="0.25">
      <c r="A299">
        <v>6751984640</v>
      </c>
      <c r="B299">
        <v>2386.24316</v>
      </c>
      <c r="C299">
        <v>0.77670407299999999</v>
      </c>
      <c r="T299" s="1"/>
      <c r="U299" s="1"/>
      <c r="V299" s="1"/>
    </row>
    <row r="300" spans="1:22" x14ac:dyDescent="0.25">
      <c r="A300">
        <v>7696399870</v>
      </c>
      <c r="B300">
        <v>2382.0927700000002</v>
      </c>
      <c r="C300">
        <v>0.68139690200000003</v>
      </c>
      <c r="T300" s="1"/>
      <c r="U300" s="1"/>
      <c r="V300" s="1"/>
    </row>
    <row r="301" spans="1:22" x14ac:dyDescent="0.25">
      <c r="A301">
        <v>8772913150</v>
      </c>
      <c r="B301">
        <v>2376.70361</v>
      </c>
      <c r="C301">
        <v>0.59778457900000004</v>
      </c>
      <c r="T301" s="1"/>
      <c r="U301" s="1"/>
      <c r="V301" s="1"/>
    </row>
    <row r="302" spans="1:22" x14ac:dyDescent="0.25">
      <c r="A302">
        <v>10000000000</v>
      </c>
      <c r="B302">
        <v>2369.7033700000002</v>
      </c>
      <c r="C302">
        <v>0.52443230200000002</v>
      </c>
      <c r="T302" s="1"/>
      <c r="U302" s="1"/>
      <c r="V302" s="1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zoomScale="90" zoomScaleNormal="90" workbookViewId="0">
      <selection activeCell="N35" sqref="N35"/>
    </sheetView>
  </sheetViews>
  <sheetFormatPr defaultRowHeight="15" x14ac:dyDescent="0.25"/>
  <cols>
    <col min="2" max="2" width="24.85546875" customWidth="1"/>
    <col min="21" max="21" width="27.28515625" customWidth="1"/>
  </cols>
  <sheetData>
    <row r="1" spans="1:7" x14ac:dyDescent="0.25">
      <c r="A1" t="s">
        <v>56</v>
      </c>
      <c r="B1" t="s">
        <v>57</v>
      </c>
      <c r="C1">
        <v>9.4130400000000005</v>
      </c>
      <c r="D1" t="s">
        <v>58</v>
      </c>
      <c r="E1">
        <v>1.4093199999999999</v>
      </c>
    </row>
    <row r="2" spans="1:7" x14ac:dyDescent="0.25">
      <c r="A2" t="s">
        <v>56</v>
      </c>
      <c r="B2" t="s">
        <v>59</v>
      </c>
      <c r="C2">
        <v>10.0867</v>
      </c>
      <c r="D2" t="s">
        <v>58</v>
      </c>
      <c r="E2">
        <v>1.58257</v>
      </c>
      <c r="G2" t="s">
        <v>193</v>
      </c>
    </row>
    <row r="3" spans="1:7" x14ac:dyDescent="0.25">
      <c r="A3" t="s">
        <v>56</v>
      </c>
      <c r="B3" t="s">
        <v>60</v>
      </c>
      <c r="C3">
        <v>10.804399999999999</v>
      </c>
      <c r="D3" t="s">
        <v>58</v>
      </c>
      <c r="E3">
        <v>1.71827</v>
      </c>
    </row>
    <row r="4" spans="1:7" x14ac:dyDescent="0.25">
      <c r="A4" t="s">
        <v>56</v>
      </c>
      <c r="B4" t="s">
        <v>61</v>
      </c>
      <c r="C4">
        <v>11.4693</v>
      </c>
      <c r="D4" t="s">
        <v>58</v>
      </c>
      <c r="E4">
        <v>2.1286800000000001</v>
      </c>
    </row>
    <row r="5" spans="1:7" x14ac:dyDescent="0.25">
      <c r="A5" t="s">
        <v>56</v>
      </c>
      <c r="B5" t="s">
        <v>62</v>
      </c>
      <c r="C5">
        <v>12.5693</v>
      </c>
      <c r="D5" t="s">
        <v>58</v>
      </c>
      <c r="E5">
        <v>2.9879799999999999</v>
      </c>
    </row>
    <row r="6" spans="1:7" x14ac:dyDescent="0.25">
      <c r="A6" t="s">
        <v>56</v>
      </c>
      <c r="B6" t="s">
        <v>63</v>
      </c>
      <c r="C6">
        <v>13.9072</v>
      </c>
      <c r="D6" t="s">
        <v>58</v>
      </c>
      <c r="E6">
        <v>3.8399800000000002</v>
      </c>
    </row>
    <row r="7" spans="1:7" x14ac:dyDescent="0.25">
      <c r="A7" t="s">
        <v>56</v>
      </c>
      <c r="B7" t="s">
        <v>64</v>
      </c>
      <c r="C7">
        <v>15.4125</v>
      </c>
      <c r="D7" t="s">
        <v>58</v>
      </c>
      <c r="E7">
        <v>5.5813199999999998</v>
      </c>
    </row>
    <row r="8" spans="1:7" x14ac:dyDescent="0.25">
      <c r="A8" t="s">
        <v>56</v>
      </c>
      <c r="B8" t="s">
        <v>65</v>
      </c>
      <c r="C8">
        <v>18.218499999999999</v>
      </c>
      <c r="D8" t="s">
        <v>58</v>
      </c>
      <c r="E8">
        <v>8.5049899999999994</v>
      </c>
    </row>
    <row r="9" spans="1:7" x14ac:dyDescent="0.25">
      <c r="A9" t="s">
        <v>56</v>
      </c>
      <c r="B9" t="s">
        <v>66</v>
      </c>
      <c r="C9">
        <v>21.338699999999999</v>
      </c>
      <c r="D9" t="s">
        <v>58</v>
      </c>
      <c r="E9">
        <v>11.1274</v>
      </c>
    </row>
    <row r="10" spans="1:7" x14ac:dyDescent="0.25">
      <c r="A10" t="s">
        <v>56</v>
      </c>
      <c r="B10" t="s">
        <v>67</v>
      </c>
      <c r="C10">
        <v>25.634799999999998</v>
      </c>
      <c r="D10" t="s">
        <v>58</v>
      </c>
      <c r="E10">
        <v>16.627700000000001</v>
      </c>
    </row>
    <row r="11" spans="1:7" x14ac:dyDescent="0.25">
      <c r="A11" t="s">
        <v>56</v>
      </c>
      <c r="B11" t="s">
        <v>68</v>
      </c>
      <c r="C11">
        <v>35.245199999999997</v>
      </c>
      <c r="D11" t="s">
        <v>58</v>
      </c>
      <c r="E11">
        <v>27.418600000000001</v>
      </c>
    </row>
    <row r="12" spans="1:7" x14ac:dyDescent="0.25">
      <c r="A12" t="s">
        <v>56</v>
      </c>
      <c r="B12" t="s">
        <v>69</v>
      </c>
      <c r="C12">
        <v>48.7958</v>
      </c>
      <c r="D12" t="s">
        <v>58</v>
      </c>
      <c r="E12">
        <v>38.372999999999998</v>
      </c>
    </row>
    <row r="13" spans="1:7" x14ac:dyDescent="0.25">
      <c r="A13" t="s">
        <v>56</v>
      </c>
      <c r="B13" t="s">
        <v>70</v>
      </c>
      <c r="C13">
        <v>65.604200000000006</v>
      </c>
      <c r="D13" t="s">
        <v>58</v>
      </c>
      <c r="E13">
        <v>57.171799999999998</v>
      </c>
    </row>
    <row r="14" spans="1:7" x14ac:dyDescent="0.25">
      <c r="A14" t="s">
        <v>56</v>
      </c>
      <c r="B14" t="s">
        <v>71</v>
      </c>
      <c r="C14">
        <v>79.723600000000005</v>
      </c>
      <c r="D14" t="s">
        <v>58</v>
      </c>
      <c r="E14">
        <v>70.985600000000005</v>
      </c>
    </row>
    <row r="15" spans="1:7" x14ac:dyDescent="0.25">
      <c r="A15" t="s">
        <v>56</v>
      </c>
      <c r="B15" t="s">
        <v>72</v>
      </c>
      <c r="C15">
        <v>106.38</v>
      </c>
      <c r="D15" t="s">
        <v>58</v>
      </c>
      <c r="E15">
        <v>87.804100000000005</v>
      </c>
    </row>
    <row r="16" spans="1:7" x14ac:dyDescent="0.25">
      <c r="A16" t="s">
        <v>56</v>
      </c>
      <c r="B16" t="s">
        <v>73</v>
      </c>
      <c r="C16">
        <v>136.41800000000001</v>
      </c>
      <c r="D16" t="s">
        <v>58</v>
      </c>
      <c r="E16">
        <v>98.305199999999999</v>
      </c>
    </row>
    <row r="17" spans="1:5" x14ac:dyDescent="0.25">
      <c r="A17" t="s">
        <v>56</v>
      </c>
      <c r="B17" t="s">
        <v>74</v>
      </c>
      <c r="C17">
        <v>167.19399999999999</v>
      </c>
      <c r="D17" t="s">
        <v>58</v>
      </c>
      <c r="E17">
        <v>108.532</v>
      </c>
    </row>
    <row r="18" spans="1:5" x14ac:dyDescent="0.25">
      <c r="A18" t="s">
        <v>56</v>
      </c>
      <c r="B18" t="s">
        <v>75</v>
      </c>
      <c r="C18">
        <v>206.30799999999999</v>
      </c>
      <c r="D18" t="s">
        <v>58</v>
      </c>
      <c r="E18">
        <v>133.18199999999999</v>
      </c>
    </row>
    <row r="19" spans="1:5" x14ac:dyDescent="0.25">
      <c r="A19" t="s">
        <v>56</v>
      </c>
      <c r="B19" t="s">
        <v>76</v>
      </c>
      <c r="C19">
        <v>292.79700000000003</v>
      </c>
      <c r="D19" t="s">
        <v>58</v>
      </c>
      <c r="E19">
        <v>171.20599999999999</v>
      </c>
    </row>
    <row r="20" spans="1:5" x14ac:dyDescent="0.25">
      <c r="A20" t="s">
        <v>56</v>
      </c>
      <c r="B20" t="s">
        <v>77</v>
      </c>
      <c r="C20">
        <v>386.97899999999998</v>
      </c>
      <c r="D20" t="s">
        <v>58</v>
      </c>
      <c r="E20">
        <v>174.19900000000001</v>
      </c>
    </row>
    <row r="21" spans="1:5" x14ac:dyDescent="0.25">
      <c r="A21" t="s">
        <v>56</v>
      </c>
      <c r="B21" t="s">
        <v>78</v>
      </c>
      <c r="C21">
        <v>460.70699999999999</v>
      </c>
      <c r="D21" t="s">
        <v>58</v>
      </c>
      <c r="E21">
        <v>186.45699999999999</v>
      </c>
    </row>
    <row r="22" spans="1:5" x14ac:dyDescent="0.25">
      <c r="A22" t="s">
        <v>56</v>
      </c>
      <c r="B22" t="s">
        <v>79</v>
      </c>
      <c r="C22">
        <v>605.10900000000004</v>
      </c>
      <c r="D22" t="s">
        <v>58</v>
      </c>
      <c r="E22">
        <v>216.65100000000001</v>
      </c>
    </row>
    <row r="23" spans="1:5" x14ac:dyDescent="0.25">
      <c r="A23" t="s">
        <v>56</v>
      </c>
      <c r="B23" t="s">
        <v>80</v>
      </c>
      <c r="C23">
        <v>685.56399999999996</v>
      </c>
      <c r="D23" t="s">
        <v>58</v>
      </c>
      <c r="E23">
        <v>204.47399999999999</v>
      </c>
    </row>
    <row r="24" spans="1:5" x14ac:dyDescent="0.25">
      <c r="A24" t="s">
        <v>56</v>
      </c>
      <c r="B24" t="s">
        <v>81</v>
      </c>
      <c r="C24">
        <v>754.82</v>
      </c>
      <c r="D24" t="s">
        <v>58</v>
      </c>
      <c r="E24">
        <v>198.208</v>
      </c>
    </row>
    <row r="25" spans="1:5" x14ac:dyDescent="0.25">
      <c r="A25" t="s">
        <v>56</v>
      </c>
      <c r="B25" t="s">
        <v>82</v>
      </c>
      <c r="C25">
        <v>852.81399999999996</v>
      </c>
      <c r="D25" t="s">
        <v>58</v>
      </c>
      <c r="E25">
        <v>218.51400000000001</v>
      </c>
    </row>
    <row r="26" spans="1:5" x14ac:dyDescent="0.25">
      <c r="A26" t="s">
        <v>56</v>
      </c>
      <c r="B26" t="s">
        <v>83</v>
      </c>
      <c r="C26">
        <v>970.42399999999998</v>
      </c>
      <c r="D26" t="s">
        <v>58</v>
      </c>
      <c r="E26">
        <v>213.45099999999999</v>
      </c>
    </row>
    <row r="27" spans="1:5" x14ac:dyDescent="0.25">
      <c r="A27" t="s">
        <v>56</v>
      </c>
      <c r="B27" t="s">
        <v>84</v>
      </c>
      <c r="C27">
        <v>1053.82</v>
      </c>
      <c r="D27" t="s">
        <v>58</v>
      </c>
      <c r="E27">
        <v>206.143</v>
      </c>
    </row>
    <row r="28" spans="1:5" x14ac:dyDescent="0.25">
      <c r="A28" t="s">
        <v>56</v>
      </c>
      <c r="B28" t="s">
        <v>85</v>
      </c>
      <c r="C28">
        <v>1157.95</v>
      </c>
      <c r="D28" t="s">
        <v>58</v>
      </c>
      <c r="E28">
        <v>229.6</v>
      </c>
    </row>
    <row r="29" spans="1:5" x14ac:dyDescent="0.25">
      <c r="A29" t="s">
        <v>56</v>
      </c>
      <c r="B29" t="s">
        <v>86</v>
      </c>
      <c r="C29">
        <v>1289.8499999999999</v>
      </c>
      <c r="D29" t="s">
        <v>58</v>
      </c>
      <c r="E29">
        <v>220.05799999999999</v>
      </c>
    </row>
    <row r="30" spans="1:5" x14ac:dyDescent="0.25">
      <c r="A30" t="s">
        <v>56</v>
      </c>
      <c r="B30" t="s">
        <v>87</v>
      </c>
      <c r="C30">
        <v>1380.24</v>
      </c>
      <c r="D30" t="s">
        <v>58</v>
      </c>
      <c r="E30">
        <v>191.42500000000001</v>
      </c>
    </row>
    <row r="31" spans="1:5" x14ac:dyDescent="0.25">
      <c r="A31" t="s">
        <v>56</v>
      </c>
      <c r="B31" t="s">
        <v>88</v>
      </c>
      <c r="C31">
        <v>1468.13</v>
      </c>
      <c r="D31" t="s">
        <v>58</v>
      </c>
      <c r="E31">
        <v>195.905</v>
      </c>
    </row>
    <row r="32" spans="1:5" x14ac:dyDescent="0.25">
      <c r="A32" t="s">
        <v>56</v>
      </c>
      <c r="B32" t="s">
        <v>89</v>
      </c>
      <c r="C32">
        <v>1570.36</v>
      </c>
      <c r="D32" t="s">
        <v>58</v>
      </c>
      <c r="E32">
        <v>188.88300000000001</v>
      </c>
    </row>
    <row r="33" spans="1:5" x14ac:dyDescent="0.25">
      <c r="A33" t="s">
        <v>56</v>
      </c>
      <c r="B33" t="s">
        <v>90</v>
      </c>
      <c r="C33">
        <v>1647.05</v>
      </c>
      <c r="D33" t="s">
        <v>58</v>
      </c>
      <c r="E33">
        <v>179.20699999999999</v>
      </c>
    </row>
    <row r="34" spans="1:5" x14ac:dyDescent="0.25">
      <c r="A34" t="s">
        <v>56</v>
      </c>
      <c r="B34" t="s">
        <v>91</v>
      </c>
      <c r="C34">
        <v>1737.44</v>
      </c>
      <c r="D34" t="s">
        <v>58</v>
      </c>
      <c r="E34">
        <v>197.57599999999999</v>
      </c>
    </row>
    <row r="35" spans="1:5" x14ac:dyDescent="0.25">
      <c r="A35" t="s">
        <v>56</v>
      </c>
      <c r="B35" t="s">
        <v>92</v>
      </c>
      <c r="C35">
        <v>1855.62</v>
      </c>
      <c r="D35" t="s">
        <v>58</v>
      </c>
      <c r="E35">
        <v>184.42500000000001</v>
      </c>
    </row>
    <row r="36" spans="1:5" x14ac:dyDescent="0.25">
      <c r="A36" t="s">
        <v>56</v>
      </c>
      <c r="B36" t="s">
        <v>93</v>
      </c>
      <c r="C36">
        <v>1931.67</v>
      </c>
      <c r="D36" t="s">
        <v>58</v>
      </c>
      <c r="E36">
        <v>147.21</v>
      </c>
    </row>
    <row r="37" spans="1:5" x14ac:dyDescent="0.25">
      <c r="A37" t="s">
        <v>56</v>
      </c>
      <c r="B37" t="s">
        <v>94</v>
      </c>
      <c r="C37">
        <v>2009.44</v>
      </c>
      <c r="D37" t="s">
        <v>58</v>
      </c>
      <c r="E37">
        <v>138.41399999999999</v>
      </c>
    </row>
    <row r="38" spans="1:5" x14ac:dyDescent="0.25">
      <c r="A38" t="s">
        <v>56</v>
      </c>
      <c r="B38" t="s">
        <v>95</v>
      </c>
      <c r="C38">
        <v>2096.61</v>
      </c>
      <c r="D38" t="s">
        <v>58</v>
      </c>
      <c r="E38">
        <v>140.65899999999999</v>
      </c>
    </row>
    <row r="39" spans="1:5" x14ac:dyDescent="0.25">
      <c r="A39" t="s">
        <v>56</v>
      </c>
      <c r="B39" t="s">
        <v>96</v>
      </c>
      <c r="C39">
        <v>2229.04</v>
      </c>
      <c r="D39" t="s">
        <v>58</v>
      </c>
      <c r="E39">
        <v>174.96100000000001</v>
      </c>
    </row>
    <row r="40" spans="1:5" x14ac:dyDescent="0.25">
      <c r="A40" t="s">
        <v>56</v>
      </c>
      <c r="B40" t="s">
        <v>97</v>
      </c>
      <c r="C40">
        <v>2367.35</v>
      </c>
      <c r="D40" t="s">
        <v>58</v>
      </c>
      <c r="E40">
        <v>102.181</v>
      </c>
    </row>
    <row r="41" spans="1:5" x14ac:dyDescent="0.25">
      <c r="A41" t="s">
        <v>56</v>
      </c>
      <c r="B41" t="s">
        <v>98</v>
      </c>
      <c r="C41">
        <v>2392.52</v>
      </c>
      <c r="D41" t="s">
        <v>58</v>
      </c>
      <c r="E41">
        <v>51.342300000000002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01"/>
  <sheetViews>
    <sheetView zoomScale="90" zoomScaleNormal="90" workbookViewId="0">
      <selection activeCell="AC2" sqref="AC2"/>
    </sheetView>
  </sheetViews>
  <sheetFormatPr defaultRowHeight="15" x14ac:dyDescent="0.25"/>
  <cols>
    <col min="1" max="1" width="8.7109375" customWidth="1"/>
    <col min="2" max="2" width="2.7109375" customWidth="1"/>
    <col min="3" max="4" width="10.7109375" customWidth="1"/>
    <col min="5" max="5" width="1.7109375" customWidth="1"/>
    <col min="6" max="7" width="10.7109375" customWidth="1"/>
    <col min="8" max="8" width="1.7109375" customWidth="1"/>
    <col min="9" max="10" width="10.7109375" customWidth="1"/>
    <col min="11" max="11" width="1.7109375" customWidth="1"/>
    <col min="12" max="13" width="10.7109375" customWidth="1"/>
    <col min="14" max="14" width="1.7109375" customWidth="1"/>
    <col min="15" max="16" width="10.7109375" customWidth="1"/>
    <col min="17" max="17" width="1.7109375" customWidth="1"/>
    <col min="18" max="19" width="10.7109375" customWidth="1"/>
    <col min="20" max="20" width="1.7109375" customWidth="1"/>
    <col min="21" max="22" width="10.7109375" customWidth="1"/>
    <col min="23" max="23" width="1.7109375" customWidth="1"/>
    <col min="24" max="25" width="10.7109375" customWidth="1"/>
    <col min="26" max="26" width="1.7109375" customWidth="1"/>
    <col min="27" max="28" width="10.7109375" customWidth="1"/>
  </cols>
  <sheetData>
    <row r="1" spans="1:28" ht="348.75" customHeight="1" x14ac:dyDescent="0.25"/>
    <row r="2" spans="1:28" x14ac:dyDescent="0.25">
      <c r="C2" s="72" t="s">
        <v>209</v>
      </c>
      <c r="D2" s="73">
        <v>60</v>
      </c>
      <c r="F2" s="72" t="s">
        <v>209</v>
      </c>
      <c r="G2" s="73">
        <v>65</v>
      </c>
      <c r="I2" s="72" t="s">
        <v>209</v>
      </c>
      <c r="J2" s="73">
        <v>70</v>
      </c>
      <c r="L2" s="72" t="s">
        <v>209</v>
      </c>
      <c r="M2" s="73">
        <v>75</v>
      </c>
      <c r="O2" s="72" t="s">
        <v>209</v>
      </c>
      <c r="P2" s="73">
        <v>80</v>
      </c>
      <c r="R2" s="72" t="s">
        <v>209</v>
      </c>
      <c r="S2" s="73">
        <v>85</v>
      </c>
      <c r="U2" s="72" t="s">
        <v>209</v>
      </c>
      <c r="V2" s="73">
        <v>90</v>
      </c>
      <c r="X2" s="72" t="s">
        <v>209</v>
      </c>
      <c r="Y2" s="73">
        <v>95</v>
      </c>
      <c r="AA2" s="72" t="s">
        <v>209</v>
      </c>
      <c r="AB2" s="73">
        <v>100</v>
      </c>
    </row>
    <row r="3" spans="1:28" x14ac:dyDescent="0.25">
      <c r="A3" s="79" t="s">
        <v>210</v>
      </c>
      <c r="C3" s="60" t="s">
        <v>46</v>
      </c>
      <c r="D3" s="61" t="s">
        <v>3</v>
      </c>
      <c r="E3" s="79"/>
      <c r="F3" s="60" t="s">
        <v>46</v>
      </c>
      <c r="G3" s="61" t="s">
        <v>3</v>
      </c>
      <c r="H3" s="79"/>
      <c r="I3" s="60" t="s">
        <v>46</v>
      </c>
      <c r="J3" s="61" t="s">
        <v>3</v>
      </c>
      <c r="K3" s="79"/>
      <c r="L3" s="60" t="s">
        <v>46</v>
      </c>
      <c r="M3" s="61" t="s">
        <v>3</v>
      </c>
      <c r="N3" s="79"/>
      <c r="O3" s="60" t="s">
        <v>46</v>
      </c>
      <c r="P3" s="61" t="s">
        <v>3</v>
      </c>
      <c r="Q3" s="79"/>
      <c r="R3" s="60" t="s">
        <v>46</v>
      </c>
      <c r="S3" s="61" t="s">
        <v>3</v>
      </c>
      <c r="T3" s="79"/>
      <c r="U3" s="60" t="s">
        <v>46</v>
      </c>
      <c r="V3" s="61" t="s">
        <v>3</v>
      </c>
      <c r="W3" s="79"/>
      <c r="X3" s="60" t="s">
        <v>46</v>
      </c>
      <c r="Y3" s="61" t="s">
        <v>3</v>
      </c>
      <c r="Z3" s="79"/>
      <c r="AA3" s="60" t="s">
        <v>46</v>
      </c>
      <c r="AB3" s="61" t="s">
        <v>3</v>
      </c>
    </row>
    <row r="4" spans="1:28" x14ac:dyDescent="0.25">
      <c r="A4" s="79" t="s">
        <v>55</v>
      </c>
      <c r="C4" s="60" t="s">
        <v>211</v>
      </c>
      <c r="D4" s="61" t="s">
        <v>211</v>
      </c>
      <c r="F4" s="66" t="s">
        <v>211</v>
      </c>
      <c r="G4" s="67" t="s">
        <v>211</v>
      </c>
      <c r="I4" s="66" t="s">
        <v>211</v>
      </c>
      <c r="J4" s="67" t="s">
        <v>211</v>
      </c>
      <c r="L4" s="66" t="s">
        <v>211</v>
      </c>
      <c r="M4" s="67" t="s">
        <v>211</v>
      </c>
      <c r="O4" s="66" t="s">
        <v>211</v>
      </c>
      <c r="P4" s="67" t="s">
        <v>211</v>
      </c>
      <c r="R4" s="66" t="s">
        <v>211</v>
      </c>
      <c r="S4" s="67" t="s">
        <v>211</v>
      </c>
      <c r="U4" s="66" t="s">
        <v>211</v>
      </c>
      <c r="V4" s="67" t="s">
        <v>211</v>
      </c>
      <c r="X4" s="66" t="s">
        <v>211</v>
      </c>
      <c r="Y4" s="67" t="s">
        <v>211</v>
      </c>
      <c r="AA4" s="66" t="s">
        <v>211</v>
      </c>
      <c r="AB4" s="67" t="s">
        <v>211</v>
      </c>
    </row>
    <row r="5" spans="1:28" x14ac:dyDescent="0.25">
      <c r="A5" s="2">
        <v>0.1</v>
      </c>
      <c r="B5" s="5"/>
      <c r="C5" s="62">
        <v>1853.1703341724781</v>
      </c>
      <c r="D5" s="63">
        <v>184.54950627680512</v>
      </c>
      <c r="F5" s="62">
        <v>1009.0298690598737</v>
      </c>
      <c r="G5" s="63">
        <v>205.8985478664674</v>
      </c>
      <c r="I5" s="62">
        <v>393.73254596940853</v>
      </c>
      <c r="J5" s="63">
        <v>173.5349969277778</v>
      </c>
      <c r="L5" s="62">
        <v>87.242384078762072</v>
      </c>
      <c r="M5" s="63">
        <v>76.742544112389567</v>
      </c>
      <c r="N5" s="59"/>
      <c r="O5" s="62">
        <v>26.830517259969856</v>
      </c>
      <c r="P5" s="63">
        <v>18.304850025367081</v>
      </c>
      <c r="Q5" s="59"/>
      <c r="R5" s="62">
        <v>15.629648143519459</v>
      </c>
      <c r="S5" s="63">
        <v>5.8585227607447479</v>
      </c>
      <c r="T5" s="59"/>
      <c r="U5" s="62">
        <v>12.191637865101095</v>
      </c>
      <c r="V5" s="63">
        <v>2.7315238959153865</v>
      </c>
      <c r="X5" s="62">
        <v>10.638919705778301</v>
      </c>
      <c r="Y5" s="63">
        <v>1.6803170790120916</v>
      </c>
      <c r="AA5" s="68">
        <v>9.4521826250147623</v>
      </c>
      <c r="AB5" s="69">
        <v>1.4133431777572878</v>
      </c>
    </row>
    <row r="6" spans="1:28" x14ac:dyDescent="0.25">
      <c r="A6" s="2">
        <v>0.15</v>
      </c>
      <c r="B6" s="5"/>
      <c r="C6" s="62">
        <v>1899.9425911272776</v>
      </c>
      <c r="D6" s="63">
        <v>162.82141962368752</v>
      </c>
      <c r="F6" s="62">
        <v>1053.2890633041413</v>
      </c>
      <c r="G6" s="63">
        <v>205.80109400093897</v>
      </c>
      <c r="I6" s="62">
        <v>432.41192323442698</v>
      </c>
      <c r="J6" s="63">
        <v>177.37383532284264</v>
      </c>
      <c r="L6" s="62">
        <v>111.34860467638653</v>
      </c>
      <c r="M6" s="63">
        <v>89.871700186184071</v>
      </c>
      <c r="N6" s="59"/>
      <c r="O6" s="62">
        <v>31.110940311664905</v>
      </c>
      <c r="P6" s="63">
        <v>23.460952701695092</v>
      </c>
      <c r="Q6" s="59"/>
      <c r="R6" s="62">
        <v>16.995489678210628</v>
      </c>
      <c r="S6" s="63">
        <v>7.3836361098683145</v>
      </c>
      <c r="T6" s="59"/>
      <c r="U6" s="62">
        <v>12.900701019658918</v>
      </c>
      <c r="V6" s="63">
        <v>3.1875626389677962</v>
      </c>
      <c r="X6" s="62">
        <v>10.990350384939621</v>
      </c>
      <c r="Y6" s="63">
        <v>1.7821104366793727</v>
      </c>
      <c r="AA6" s="68">
        <v>9.7745017608067055</v>
      </c>
      <c r="AB6" s="69">
        <v>1.4978563630284358</v>
      </c>
    </row>
    <row r="7" spans="1:28" x14ac:dyDescent="0.25">
      <c r="A7" s="2">
        <v>0.22</v>
      </c>
      <c r="B7" s="5"/>
      <c r="C7" s="62">
        <v>1931.6475400634722</v>
      </c>
      <c r="D7" s="63">
        <v>146.58461260132179</v>
      </c>
      <c r="F7" s="62">
        <v>1099.3659984719216</v>
      </c>
      <c r="G7" s="63">
        <v>216.57888096224869</v>
      </c>
      <c r="I7" s="62">
        <v>471.82251095846493</v>
      </c>
      <c r="J7" s="63">
        <v>190.53623886787443</v>
      </c>
      <c r="L7" s="62">
        <v>136.37786802307093</v>
      </c>
      <c r="M7" s="63">
        <v>98.102154960116721</v>
      </c>
      <c r="N7" s="59"/>
      <c r="O7" s="62">
        <v>36.849675097235895</v>
      </c>
      <c r="P7" s="63">
        <v>28.752536760257353</v>
      </c>
      <c r="Q7" s="59"/>
      <c r="R7" s="62">
        <v>18.740675428427856</v>
      </c>
      <c r="S7" s="63">
        <v>8.9341367381784398</v>
      </c>
      <c r="T7" s="59"/>
      <c r="U7" s="62">
        <v>13.602798911882742</v>
      </c>
      <c r="V7" s="63">
        <v>3.6125472634579952</v>
      </c>
      <c r="X7" s="62">
        <v>11.309463614866489</v>
      </c>
      <c r="Y7" s="63">
        <v>1.9922718866508058</v>
      </c>
      <c r="AA7" s="68">
        <v>10.140501806815653</v>
      </c>
      <c r="AB7" s="69">
        <v>1.5934181805406582</v>
      </c>
    </row>
    <row r="8" spans="1:28" x14ac:dyDescent="0.25">
      <c r="A8" s="2">
        <v>0.32</v>
      </c>
      <c r="B8" s="5"/>
      <c r="C8" s="62">
        <v>1958.1146722675785</v>
      </c>
      <c r="D8" s="63">
        <v>139.28099315757717</v>
      </c>
      <c r="F8" s="62">
        <v>1156.7268923842173</v>
      </c>
      <c r="G8" s="63">
        <v>229.21021515955402</v>
      </c>
      <c r="I8" s="62">
        <v>521.39108301838576</v>
      </c>
      <c r="J8" s="63">
        <v>206.97313908025743</v>
      </c>
      <c r="L8" s="62">
        <v>159.02345882671614</v>
      </c>
      <c r="M8" s="63">
        <v>104.95789671307736</v>
      </c>
      <c r="N8" s="59"/>
      <c r="O8" s="62">
        <v>43.464288556089201</v>
      </c>
      <c r="P8" s="63">
        <v>33.889879580677679</v>
      </c>
      <c r="Q8" s="59"/>
      <c r="R8" s="62">
        <v>20.650753385631074</v>
      </c>
      <c r="S8" s="63">
        <v>10.494066871164957</v>
      </c>
      <c r="T8" s="59"/>
      <c r="U8" s="62">
        <v>14.254842911856114</v>
      </c>
      <c r="V8" s="63">
        <v>4.1565835702732539</v>
      </c>
      <c r="X8" s="62">
        <v>11.693320083410454</v>
      </c>
      <c r="Y8" s="63">
        <v>2.3302657171997194</v>
      </c>
      <c r="AA8" s="68">
        <v>10.518165404474439</v>
      </c>
      <c r="AB8" s="69">
        <v>1.6602144574781406</v>
      </c>
    </row>
    <row r="9" spans="1:28" x14ac:dyDescent="0.25">
      <c r="A9" s="2">
        <v>0.46</v>
      </c>
      <c r="B9" s="5"/>
      <c r="C9" s="62">
        <v>1985.5631322926765</v>
      </c>
      <c r="D9" s="63">
        <v>138.16451150804988</v>
      </c>
      <c r="F9" s="62">
        <v>1221.5033063263897</v>
      </c>
      <c r="G9" s="63">
        <v>231.83851567135764</v>
      </c>
      <c r="I9" s="62">
        <v>579.7275948761602</v>
      </c>
      <c r="J9" s="63">
        <v>216.05520204977094</v>
      </c>
      <c r="L9" s="62">
        <v>179.79163361634744</v>
      </c>
      <c r="M9" s="63">
        <v>115.27424276851109</v>
      </c>
      <c r="N9" s="59"/>
      <c r="O9" s="62">
        <v>50.059625244613507</v>
      </c>
      <c r="P9" s="63">
        <v>39.524560845289109</v>
      </c>
      <c r="Q9" s="59"/>
      <c r="R9" s="62">
        <v>22.495909208580219</v>
      </c>
      <c r="S9" s="63">
        <v>12.341040216901831</v>
      </c>
      <c r="T9" s="59"/>
      <c r="U9" s="62">
        <v>14.930435756129354</v>
      </c>
      <c r="V9" s="63">
        <v>4.9597055200197158</v>
      </c>
      <c r="X9" s="62">
        <v>12.199955932240794</v>
      </c>
      <c r="Y9" s="63">
        <v>2.7375622649663298</v>
      </c>
      <c r="AA9" s="68">
        <v>10.849728903076766</v>
      </c>
      <c r="AB9" s="69">
        <v>1.7289650251076536</v>
      </c>
    </row>
    <row r="10" spans="1:28" x14ac:dyDescent="0.25">
      <c r="A10" s="2">
        <v>0.68</v>
      </c>
      <c r="B10" s="5"/>
      <c r="C10" s="62">
        <v>2018.6158740242461</v>
      </c>
      <c r="D10" s="63">
        <v>137.9134326966346</v>
      </c>
      <c r="F10" s="62">
        <v>1288.0521141281774</v>
      </c>
      <c r="G10" s="63">
        <v>219.72253143129305</v>
      </c>
      <c r="I10" s="62">
        <v>643.01072017689989</v>
      </c>
      <c r="J10" s="63">
        <v>212.27788896290414</v>
      </c>
      <c r="L10" s="62">
        <v>206.12322057318033</v>
      </c>
      <c r="M10" s="63">
        <v>133.04973226262555</v>
      </c>
      <c r="N10" s="59"/>
      <c r="O10" s="62">
        <v>57.751216651468532</v>
      </c>
      <c r="P10" s="63">
        <v>47.975007743346637</v>
      </c>
      <c r="Q10" s="59"/>
      <c r="R10" s="62">
        <v>24.657472459545112</v>
      </c>
      <c r="S10" s="63">
        <v>15.22730305051336</v>
      </c>
      <c r="T10" s="59"/>
      <c r="U10" s="62">
        <v>15.907155223016675</v>
      </c>
      <c r="V10" s="63">
        <v>6.197289343165191</v>
      </c>
      <c r="X10" s="62">
        <v>12.883378606546231</v>
      </c>
      <c r="Y10" s="63">
        <v>3.1773907971090432</v>
      </c>
      <c r="AA10" s="68">
        <v>11.171636745561337</v>
      </c>
      <c r="AB10" s="69">
        <v>1.8869467758932894</v>
      </c>
    </row>
    <row r="11" spans="1:28" x14ac:dyDescent="0.25">
      <c r="A11" s="2">
        <v>1</v>
      </c>
      <c r="B11" s="5"/>
      <c r="C11" s="62">
        <v>2050.7278239759239</v>
      </c>
      <c r="D11" s="63">
        <v>136.15291757687152</v>
      </c>
      <c r="F11" s="62">
        <v>1339.9932878583777</v>
      </c>
      <c r="G11" s="63">
        <v>201.9931439265869</v>
      </c>
      <c r="I11" s="62">
        <v>694.88901318836417</v>
      </c>
      <c r="J11" s="63">
        <v>201.74127385359412</v>
      </c>
      <c r="L11" s="62">
        <v>242.3595348241754</v>
      </c>
      <c r="M11" s="63">
        <v>154.17827050117288</v>
      </c>
      <c r="N11" s="59"/>
      <c r="O11" s="62">
        <v>67.970461035732711</v>
      </c>
      <c r="P11" s="63">
        <v>59.774942891230054</v>
      </c>
      <c r="Q11" s="59"/>
      <c r="R11" s="62">
        <v>27.57330789823331</v>
      </c>
      <c r="S11" s="63">
        <v>19.296117858890415</v>
      </c>
      <c r="T11" s="59"/>
      <c r="U11" s="62">
        <v>17.313678916024138</v>
      </c>
      <c r="V11" s="63">
        <v>7.6921397676892953</v>
      </c>
      <c r="X11" s="62">
        <v>13.590828280172506</v>
      </c>
      <c r="Y11" s="63">
        <v>3.6045072894624415</v>
      </c>
      <c r="AA11" s="68">
        <v>11.52537600796323</v>
      </c>
      <c r="AB11" s="69">
        <v>2.1806647627367761</v>
      </c>
    </row>
    <row r="12" spans="1:28" x14ac:dyDescent="0.25">
      <c r="A12" s="2">
        <v>1.5</v>
      </c>
      <c r="B12" s="5"/>
      <c r="C12" s="62">
        <v>2080.7101426741292</v>
      </c>
      <c r="D12" s="63">
        <v>136.9021433522563</v>
      </c>
      <c r="F12" s="62">
        <v>1382.4991549202678</v>
      </c>
      <c r="G12" s="63">
        <v>190.58520590649658</v>
      </c>
      <c r="I12" s="62">
        <v>738.73558724759278</v>
      </c>
      <c r="J12" s="63">
        <v>196.64703141365376</v>
      </c>
      <c r="L12" s="62">
        <v>292.62435870037126</v>
      </c>
      <c r="M12" s="63">
        <v>170.94141693122583</v>
      </c>
      <c r="N12" s="59"/>
      <c r="O12" s="62">
        <v>84.472699702693617</v>
      </c>
      <c r="P12" s="63">
        <v>74.729202172909012</v>
      </c>
      <c r="Q12" s="59"/>
      <c r="R12" s="62">
        <v>32.239876660496591</v>
      </c>
      <c r="S12" s="63">
        <v>24.619046456245687</v>
      </c>
      <c r="T12" s="59"/>
      <c r="U12" s="62">
        <v>19.239085299882088</v>
      </c>
      <c r="V12" s="63">
        <v>9.3366241916264627</v>
      </c>
      <c r="X12" s="62">
        <v>14.296698043536072</v>
      </c>
      <c r="Y12" s="63">
        <v>4.2000590859353339</v>
      </c>
      <c r="AA12" s="68">
        <v>12.034452358918976</v>
      </c>
      <c r="AB12" s="69">
        <v>2.61339039299836</v>
      </c>
    </row>
    <row r="13" spans="1:28" x14ac:dyDescent="0.25">
      <c r="A13" s="2">
        <v>2.2000000000000002</v>
      </c>
      <c r="B13" s="5"/>
      <c r="C13" s="62">
        <v>2109.0632399234282</v>
      </c>
      <c r="D13" s="63">
        <v>145.05767202840042</v>
      </c>
      <c r="F13" s="62">
        <v>1421.5778214343402</v>
      </c>
      <c r="G13" s="63">
        <v>190.70917042857619</v>
      </c>
      <c r="I13" s="62">
        <v>779.98203521413393</v>
      </c>
      <c r="J13" s="63">
        <v>202.87165592597353</v>
      </c>
      <c r="L13" s="62">
        <v>343.31837394223408</v>
      </c>
      <c r="M13" s="63">
        <v>175.49744302915209</v>
      </c>
      <c r="N13" s="59"/>
      <c r="O13" s="62">
        <v>106.4108008294324</v>
      </c>
      <c r="P13" s="63">
        <v>87.722186928144836</v>
      </c>
      <c r="Q13" s="59"/>
      <c r="R13" s="62">
        <v>38.287319800367712</v>
      </c>
      <c r="S13" s="63">
        <v>29.907268287383665</v>
      </c>
      <c r="T13" s="59"/>
      <c r="U13" s="62">
        <v>21.198820875038109</v>
      </c>
      <c r="V13" s="63">
        <v>10.98548640731868</v>
      </c>
      <c r="X13" s="62">
        <v>15.023582758736753</v>
      </c>
      <c r="Y13" s="63">
        <v>5.0804314917319271</v>
      </c>
      <c r="AA13" s="68">
        <v>12.672105807673582</v>
      </c>
      <c r="AB13" s="69">
        <v>3.0508288262500529</v>
      </c>
    </row>
    <row r="14" spans="1:28" x14ac:dyDescent="0.25">
      <c r="A14" s="2">
        <v>3.2</v>
      </c>
      <c r="B14" s="5"/>
      <c r="C14" s="62">
        <v>2144.3138442797886</v>
      </c>
      <c r="D14" s="63">
        <v>159.52084698458629</v>
      </c>
      <c r="F14" s="62">
        <v>1466.8848180980158</v>
      </c>
      <c r="G14" s="63">
        <v>195.57494882218225</v>
      </c>
      <c r="I14" s="62">
        <v>829.39033091145882</v>
      </c>
      <c r="J14" s="63">
        <v>214.44944567489796</v>
      </c>
      <c r="L14" s="62">
        <v>386.62362236947166</v>
      </c>
      <c r="M14" s="63">
        <v>173.73861910332872</v>
      </c>
      <c r="N14" s="59"/>
      <c r="O14" s="62">
        <v>130.8847245028351</v>
      </c>
      <c r="P14" s="63">
        <v>96.553481607955291</v>
      </c>
      <c r="Q14" s="59"/>
      <c r="R14" s="62">
        <v>44.992494585100246</v>
      </c>
      <c r="S14" s="63">
        <v>35.091660882136367</v>
      </c>
      <c r="T14" s="59"/>
      <c r="U14" s="62">
        <v>23.114877683004369</v>
      </c>
      <c r="V14" s="63">
        <v>13.100577887850859</v>
      </c>
      <c r="X14" s="62">
        <v>15.992910908710581</v>
      </c>
      <c r="Y14" s="63">
        <v>6.29898597888225</v>
      </c>
      <c r="AA14" s="68">
        <v>13.362332653258875</v>
      </c>
      <c r="AB14" s="69">
        <v>3.4590987745588668</v>
      </c>
    </row>
    <row r="15" spans="1:28" x14ac:dyDescent="0.25">
      <c r="A15" s="2">
        <v>4.5999999999999996</v>
      </c>
      <c r="B15" s="5"/>
      <c r="C15" s="62">
        <v>2190.8340550758971</v>
      </c>
      <c r="D15" s="63">
        <v>172.29379046410708</v>
      </c>
      <c r="F15" s="62">
        <v>1516.9446851143391</v>
      </c>
      <c r="G15" s="63">
        <v>196.06259983017949</v>
      </c>
      <c r="I15" s="62">
        <v>886.55122976094299</v>
      </c>
      <c r="J15" s="63">
        <v>220.88611664677731</v>
      </c>
      <c r="L15" s="62">
        <v>421.92498479755204</v>
      </c>
      <c r="M15" s="63">
        <v>175.27142549753938</v>
      </c>
      <c r="N15" s="59"/>
      <c r="O15" s="62">
        <v>153.39522694456542</v>
      </c>
      <c r="P15" s="63">
        <v>103.00135327696573</v>
      </c>
      <c r="Q15" s="59"/>
      <c r="R15" s="62">
        <v>51.620591499894232</v>
      </c>
      <c r="S15" s="63">
        <v>41.081904343775406</v>
      </c>
      <c r="T15" s="59"/>
      <c r="U15" s="62">
        <v>25.248797558013148</v>
      </c>
      <c r="V15" s="63">
        <v>16.078860207780284</v>
      </c>
      <c r="X15" s="62">
        <v>17.336009212195716</v>
      </c>
      <c r="Y15" s="63">
        <v>7.7132438967322132</v>
      </c>
      <c r="AA15" s="68">
        <v>14.004796001630668</v>
      </c>
      <c r="AB15" s="69">
        <v>3.9195598953390105</v>
      </c>
    </row>
    <row r="16" spans="1:28" x14ac:dyDescent="0.25">
      <c r="A16" s="2">
        <v>6.8</v>
      </c>
      <c r="B16" s="5"/>
      <c r="C16" s="62">
        <v>2251.339891443698</v>
      </c>
      <c r="D16" s="63">
        <v>172.44361853461825</v>
      </c>
      <c r="F16" s="62">
        <v>1568.7094772612379</v>
      </c>
      <c r="G16" s="63">
        <v>188.54983506145427</v>
      </c>
      <c r="I16" s="62">
        <v>948.46297294224769</v>
      </c>
      <c r="J16" s="63">
        <v>216.52809231717973</v>
      </c>
      <c r="L16" s="62">
        <v>460.25856482496397</v>
      </c>
      <c r="M16" s="63">
        <v>186.20530142326854</v>
      </c>
      <c r="N16" s="59"/>
      <c r="O16" s="62">
        <v>175.75084176824672</v>
      </c>
      <c r="P16" s="63">
        <v>112.86428106317399</v>
      </c>
      <c r="Q16" s="59"/>
      <c r="R16" s="62">
        <v>59.666593424114637</v>
      </c>
      <c r="S16" s="63">
        <v>50.256606436997011</v>
      </c>
      <c r="T16" s="59"/>
      <c r="U16" s="62">
        <v>28.512801943105384</v>
      </c>
      <c r="V16" s="63">
        <v>20.490345479728077</v>
      </c>
      <c r="X16" s="62">
        <v>19.191521544610964</v>
      </c>
      <c r="Y16" s="63">
        <v>9.2984642926499408</v>
      </c>
      <c r="AA16" s="68">
        <v>14.69832807183362</v>
      </c>
      <c r="AB16" s="69">
        <v>4.6647139787588152</v>
      </c>
    </row>
    <row r="17" spans="1:28" x14ac:dyDescent="0.25">
      <c r="A17" s="2">
        <v>10</v>
      </c>
      <c r="B17" s="5"/>
      <c r="C17" s="62">
        <v>2308.0045949594382</v>
      </c>
      <c r="D17" s="63">
        <v>153.24463948672886</v>
      </c>
      <c r="F17" s="62">
        <v>1610.8726446252163</v>
      </c>
      <c r="G17" s="63">
        <v>179.93351198002406</v>
      </c>
      <c r="I17" s="62">
        <v>999.81543572537396</v>
      </c>
      <c r="J17" s="63">
        <v>207.28368591203537</v>
      </c>
      <c r="L17" s="62">
        <v>507.88062756074731</v>
      </c>
      <c r="M17" s="63">
        <v>203.14283911183242</v>
      </c>
      <c r="N17" s="59"/>
      <c r="O17" s="62">
        <v>200.48414231449701</v>
      </c>
      <c r="P17" s="63">
        <v>129.19722606694003</v>
      </c>
      <c r="Q17" s="59"/>
      <c r="R17" s="62">
        <v>70.830105051613501</v>
      </c>
      <c r="S17" s="63">
        <v>62.763714757660487</v>
      </c>
      <c r="T17" s="59"/>
      <c r="U17" s="62">
        <v>33.337335092045549</v>
      </c>
      <c r="V17" s="63">
        <v>25.680952076526847</v>
      </c>
      <c r="X17" s="62">
        <v>21.164724251786417</v>
      </c>
      <c r="Y17" s="63">
        <v>10.953761519061079</v>
      </c>
      <c r="AA17" s="68">
        <v>15.56032716217266</v>
      </c>
      <c r="AB17" s="69">
        <v>5.7717321279761755</v>
      </c>
    </row>
    <row r="18" spans="1:28" x14ac:dyDescent="0.25">
      <c r="A18" s="2">
        <v>14.6</v>
      </c>
      <c r="B18" s="5"/>
      <c r="C18" s="62">
        <v>2348.9035603222037</v>
      </c>
      <c r="D18" s="63">
        <v>122.80573390673185</v>
      </c>
      <c r="F18" s="62">
        <v>1646.7119035395056</v>
      </c>
      <c r="G18" s="63">
        <v>178.9218534301086</v>
      </c>
      <c r="I18" s="62">
        <v>1041.7932587442722</v>
      </c>
      <c r="J18" s="63">
        <v>204.56227787854198</v>
      </c>
      <c r="L18" s="62">
        <v>566.80494503114244</v>
      </c>
      <c r="M18" s="63">
        <v>215.1164699552215</v>
      </c>
      <c r="N18" s="59"/>
      <c r="O18" s="62">
        <v>233.66125696359842</v>
      </c>
      <c r="P18" s="63">
        <v>149.79928751405623</v>
      </c>
      <c r="Q18" s="59"/>
      <c r="R18" s="62">
        <v>87.390289918146436</v>
      </c>
      <c r="S18" s="63">
        <v>76.846575131730219</v>
      </c>
      <c r="T18" s="59"/>
      <c r="U18" s="62">
        <v>39.548391356206182</v>
      </c>
      <c r="V18" s="63">
        <v>30.890456731005791</v>
      </c>
      <c r="X18" s="62">
        <v>23.09923370487147</v>
      </c>
      <c r="Y18" s="63">
        <v>13.080527844768106</v>
      </c>
      <c r="AA18" s="68">
        <v>16.78762408016151</v>
      </c>
      <c r="AB18" s="69">
        <v>7.1736163734530161</v>
      </c>
    </row>
    <row r="19" spans="1:28" x14ac:dyDescent="0.25">
      <c r="A19" s="2">
        <v>21.5</v>
      </c>
      <c r="B19" s="5"/>
      <c r="C19" s="62">
        <v>2374.0914361861833</v>
      </c>
      <c r="D19" s="63">
        <v>90.8600281148818</v>
      </c>
      <c r="F19" s="62">
        <v>1687.0569491593794</v>
      </c>
      <c r="G19" s="63">
        <v>187.2853293916281</v>
      </c>
      <c r="I19" s="62">
        <v>1086.051432064314</v>
      </c>
      <c r="J19" s="63">
        <v>212.99203029953279</v>
      </c>
      <c r="L19" s="62">
        <v>630.49671102736568</v>
      </c>
      <c r="M19" s="63">
        <v>214.0501258955689</v>
      </c>
      <c r="N19" s="59"/>
      <c r="O19" s="62">
        <v>279.42628633769544</v>
      </c>
      <c r="P19" s="63">
        <v>167.86455676051793</v>
      </c>
      <c r="Q19" s="59"/>
      <c r="R19" s="62">
        <v>110.33897510789832</v>
      </c>
      <c r="S19" s="63">
        <v>89.450785433928473</v>
      </c>
      <c r="T19" s="59"/>
      <c r="U19" s="62">
        <v>46.524191910820775</v>
      </c>
      <c r="V19" s="63">
        <v>36.345335688906296</v>
      </c>
      <c r="X19" s="62">
        <v>25.393169316487459</v>
      </c>
      <c r="Y19" s="63">
        <v>16.286454322627169</v>
      </c>
      <c r="AA19" s="68">
        <v>18.500756767529506</v>
      </c>
      <c r="AB19" s="69">
        <v>8.7369210725941073</v>
      </c>
    </row>
    <row r="20" spans="1:28" x14ac:dyDescent="0.25">
      <c r="A20" s="2">
        <v>31.6</v>
      </c>
      <c r="B20" s="5"/>
      <c r="C20" s="62">
        <v>2387.1909885102259</v>
      </c>
      <c r="D20" s="63">
        <v>64.459969217942785</v>
      </c>
      <c r="F20" s="62">
        <v>1738.5507319365738</v>
      </c>
      <c r="G20" s="63">
        <v>197.53878538588134</v>
      </c>
      <c r="I20" s="62">
        <v>1141.4887491016648</v>
      </c>
      <c r="J20" s="63">
        <v>226.62936534733987</v>
      </c>
      <c r="L20" s="62">
        <v>684.92729110409743</v>
      </c>
      <c r="M20" s="63">
        <v>203.89035808276211</v>
      </c>
      <c r="N20" s="59"/>
      <c r="O20" s="62">
        <v>330.72135218786059</v>
      </c>
      <c r="P20" s="63">
        <v>175.30530956967746</v>
      </c>
      <c r="Q20" s="59"/>
      <c r="R20" s="62">
        <v>135.51581210218282</v>
      </c>
      <c r="S20" s="63">
        <v>97.863371158741472</v>
      </c>
      <c r="T20" s="59"/>
      <c r="U20" s="62">
        <v>53.648538068776595</v>
      </c>
      <c r="V20" s="63">
        <v>43.245279425389029</v>
      </c>
      <c r="X20" s="62">
        <v>28.672183426591157</v>
      </c>
      <c r="Y20" s="63">
        <v>20.686302574904971</v>
      </c>
      <c r="AA20" s="68">
        <v>20.454779777048916</v>
      </c>
      <c r="AB20" s="69">
        <v>10.326514878290558</v>
      </c>
    </row>
    <row r="21" spans="1:28" x14ac:dyDescent="0.25">
      <c r="A21" s="2">
        <v>46.4</v>
      </c>
      <c r="B21" s="5"/>
      <c r="C21" s="62">
        <v>2393.4986564592145</v>
      </c>
      <c r="D21" s="63">
        <v>44.764574684086178</v>
      </c>
      <c r="F21" s="62">
        <v>1798.9641490927436</v>
      </c>
      <c r="G21" s="63">
        <v>197.73684289665405</v>
      </c>
      <c r="I21" s="62">
        <v>1208.7228826774028</v>
      </c>
      <c r="J21" s="63">
        <v>232.44152687400933</v>
      </c>
      <c r="L21" s="62">
        <v>728.0996409929387</v>
      </c>
      <c r="M21" s="63">
        <v>196.83174927662546</v>
      </c>
      <c r="N21" s="59"/>
      <c r="O21" s="62">
        <v>377.17710124663319</v>
      </c>
      <c r="P21" s="63">
        <v>174.18313926301127</v>
      </c>
      <c r="Q21" s="59"/>
      <c r="R21" s="62">
        <v>158.79180607029679</v>
      </c>
      <c r="S21" s="63">
        <v>104.87157032549011</v>
      </c>
      <c r="T21" s="59"/>
      <c r="U21" s="62">
        <v>62.135972509326997</v>
      </c>
      <c r="V21" s="63">
        <v>53.184860475777292</v>
      </c>
      <c r="X21" s="62">
        <v>33.542931431069846</v>
      </c>
      <c r="Y21" s="63">
        <v>25.873588128405483</v>
      </c>
      <c r="AA21" s="68">
        <v>22.408901298205567</v>
      </c>
      <c r="AB21" s="69">
        <v>12.240131011357279</v>
      </c>
    </row>
    <row r="22" spans="1:28" x14ac:dyDescent="0.25">
      <c r="A22" s="2">
        <v>68</v>
      </c>
      <c r="B22" s="5"/>
      <c r="C22" s="62">
        <v>2396.5117751216326</v>
      </c>
      <c r="D22" s="63">
        <v>30.827006011151962</v>
      </c>
      <c r="F22" s="62">
        <v>1855.7860224336216</v>
      </c>
      <c r="G22" s="63">
        <v>183.5739507016001</v>
      </c>
      <c r="I22" s="62">
        <v>1275.5498650683057</v>
      </c>
      <c r="J22" s="63">
        <v>223.10797495823005</v>
      </c>
      <c r="L22" s="62">
        <v>768.15658509911793</v>
      </c>
      <c r="M22" s="63">
        <v>200.24137287984138</v>
      </c>
      <c r="N22" s="59"/>
      <c r="O22" s="62">
        <v>415.46338710902421</v>
      </c>
      <c r="P22" s="63">
        <v>174.39939992143391</v>
      </c>
      <c r="Q22" s="59"/>
      <c r="R22" s="62">
        <v>180.69988979477108</v>
      </c>
      <c r="S22" s="63">
        <v>115.83828933865168</v>
      </c>
      <c r="T22" s="59"/>
      <c r="U22" s="62">
        <v>74.45282963344215</v>
      </c>
      <c r="V22" s="63">
        <v>66.301874579228183</v>
      </c>
      <c r="X22" s="62">
        <v>39.860535708695608</v>
      </c>
      <c r="Y22" s="63">
        <v>31.130870276402383</v>
      </c>
      <c r="AA22" s="68">
        <v>24.499363769096274</v>
      </c>
      <c r="AB22" s="69">
        <v>15.000553895670691</v>
      </c>
    </row>
    <row r="23" spans="1:28" x14ac:dyDescent="0.25">
      <c r="A23" s="2">
        <v>100</v>
      </c>
      <c r="B23" s="5"/>
      <c r="C23" s="64">
        <v>2398.0757369599642</v>
      </c>
      <c r="D23" s="65">
        <v>21.061824225059606</v>
      </c>
      <c r="F23" s="64">
        <v>1899.9085718906551</v>
      </c>
      <c r="G23" s="65">
        <v>162.83974186405712</v>
      </c>
      <c r="I23" s="64">
        <v>1330.5223285809773</v>
      </c>
      <c r="J23" s="65">
        <v>205.41334582009384</v>
      </c>
      <c r="L23" s="64">
        <v>816.05392879915632</v>
      </c>
      <c r="M23" s="65">
        <v>211.63065609772914</v>
      </c>
      <c r="N23" s="59"/>
      <c r="O23" s="64">
        <v>452.46772233135755</v>
      </c>
      <c r="P23" s="65">
        <v>183.40450604445223</v>
      </c>
      <c r="Q23" s="59"/>
      <c r="R23" s="64">
        <v>206.91693954730172</v>
      </c>
      <c r="S23" s="65">
        <v>133.58450851544154</v>
      </c>
      <c r="T23" s="59"/>
      <c r="U23" s="64">
        <v>93.029098659946825</v>
      </c>
      <c r="V23" s="65">
        <v>80.565410315368069</v>
      </c>
      <c r="X23" s="64">
        <v>46.819591367622934</v>
      </c>
      <c r="Y23" s="65">
        <v>36.594429069947978</v>
      </c>
      <c r="AA23" s="70">
        <v>27.33973916988321</v>
      </c>
      <c r="AB23" s="71">
        <v>18.988811025043656</v>
      </c>
    </row>
    <row r="24" spans="1:28" x14ac:dyDescent="0.25">
      <c r="A24" s="2"/>
      <c r="C24" s="45"/>
      <c r="D24" s="45"/>
      <c r="K24" s="1"/>
    </row>
    <row r="25" spans="1:28" x14ac:dyDescent="0.25">
      <c r="K25" s="1"/>
    </row>
    <row r="26" spans="1:28" x14ac:dyDescent="0.25">
      <c r="K26" s="1"/>
    </row>
    <row r="27" spans="1:28" x14ac:dyDescent="0.25">
      <c r="K27" s="1"/>
    </row>
    <row r="28" spans="1:28" x14ac:dyDescent="0.25">
      <c r="K28" s="1"/>
    </row>
    <row r="29" spans="1:28" x14ac:dyDescent="0.25">
      <c r="K29" s="1"/>
    </row>
    <row r="30" spans="1:28" x14ac:dyDescent="0.25">
      <c r="K30" s="1"/>
    </row>
    <row r="31" spans="1:28" x14ac:dyDescent="0.25">
      <c r="K31" s="1"/>
    </row>
    <row r="32" spans="1:28" x14ac:dyDescent="0.25">
      <c r="K32" s="1"/>
    </row>
    <row r="33" spans="11:11" x14ac:dyDescent="0.25">
      <c r="K33" s="1"/>
    </row>
    <row r="34" spans="11:11" x14ac:dyDescent="0.25">
      <c r="K34" s="1"/>
    </row>
    <row r="35" spans="11:11" x14ac:dyDescent="0.25">
      <c r="K35" s="1"/>
    </row>
    <row r="36" spans="11:11" x14ac:dyDescent="0.25">
      <c r="K36" s="1"/>
    </row>
    <row r="37" spans="11:11" x14ac:dyDescent="0.25">
      <c r="K37" s="1"/>
    </row>
    <row r="38" spans="11:11" x14ac:dyDescent="0.25">
      <c r="K38" s="1"/>
    </row>
    <row r="39" spans="11:11" x14ac:dyDescent="0.25">
      <c r="K39" s="1"/>
    </row>
    <row r="40" spans="11:11" x14ac:dyDescent="0.25">
      <c r="K40" s="1"/>
    </row>
    <row r="41" spans="11:11" x14ac:dyDescent="0.25">
      <c r="K41" s="1"/>
    </row>
    <row r="42" spans="11:11" x14ac:dyDescent="0.25">
      <c r="K42" s="1"/>
    </row>
    <row r="43" spans="11:11" x14ac:dyDescent="0.25">
      <c r="K43" s="1"/>
    </row>
    <row r="44" spans="11:11" x14ac:dyDescent="0.25">
      <c r="K44" s="1"/>
    </row>
    <row r="45" spans="11:11" x14ac:dyDescent="0.25">
      <c r="K45" s="1"/>
    </row>
    <row r="46" spans="11:11" x14ac:dyDescent="0.25">
      <c r="K46" s="1"/>
    </row>
    <row r="47" spans="11:11" x14ac:dyDescent="0.25">
      <c r="K47" s="1"/>
    </row>
    <row r="48" spans="11:11" x14ac:dyDescent="0.25">
      <c r="K48" s="1"/>
    </row>
    <row r="49" spans="11:11" x14ac:dyDescent="0.25">
      <c r="K49" s="1"/>
    </row>
    <row r="50" spans="11:11" x14ac:dyDescent="0.25">
      <c r="K50" s="1"/>
    </row>
    <row r="51" spans="11:11" x14ac:dyDescent="0.25">
      <c r="K51" s="1"/>
    </row>
    <row r="52" spans="11:11" x14ac:dyDescent="0.25">
      <c r="K52" s="1"/>
    </row>
    <row r="53" spans="11:11" x14ac:dyDescent="0.25">
      <c r="K53" s="1"/>
    </row>
    <row r="54" spans="11:11" x14ac:dyDescent="0.25">
      <c r="K54" s="1"/>
    </row>
    <row r="55" spans="11:11" x14ac:dyDescent="0.25">
      <c r="K55" s="1"/>
    </row>
    <row r="56" spans="11:11" x14ac:dyDescent="0.25">
      <c r="K56" s="1"/>
    </row>
    <row r="57" spans="11:11" x14ac:dyDescent="0.25">
      <c r="K57" s="1"/>
    </row>
    <row r="58" spans="11:11" x14ac:dyDescent="0.25">
      <c r="K58" s="1"/>
    </row>
    <row r="59" spans="11:11" x14ac:dyDescent="0.25">
      <c r="K59" s="1"/>
    </row>
    <row r="60" spans="11:11" x14ac:dyDescent="0.25">
      <c r="K60" s="1"/>
    </row>
    <row r="61" spans="11:11" x14ac:dyDescent="0.25">
      <c r="K61" s="1"/>
    </row>
    <row r="63" spans="11:11" x14ac:dyDescent="0.25">
      <c r="K63" s="1"/>
    </row>
    <row r="64" spans="11:11" x14ac:dyDescent="0.25">
      <c r="K64" s="1"/>
    </row>
    <row r="65" spans="11:11" x14ac:dyDescent="0.25">
      <c r="K65" s="1"/>
    </row>
    <row r="66" spans="11:11" x14ac:dyDescent="0.25">
      <c r="K66" s="1"/>
    </row>
    <row r="67" spans="11:11" x14ac:dyDescent="0.25">
      <c r="K67" s="1"/>
    </row>
    <row r="68" spans="11:11" x14ac:dyDescent="0.25">
      <c r="K68" s="1"/>
    </row>
    <row r="69" spans="11:11" x14ac:dyDescent="0.25">
      <c r="K69" s="1"/>
    </row>
    <row r="70" spans="11:11" x14ac:dyDescent="0.25">
      <c r="K70" s="1"/>
    </row>
    <row r="71" spans="11:11" x14ac:dyDescent="0.25">
      <c r="K71" s="1"/>
    </row>
    <row r="72" spans="11:11" x14ac:dyDescent="0.25">
      <c r="K72" s="1"/>
    </row>
    <row r="73" spans="11:11" x14ac:dyDescent="0.25">
      <c r="K73" s="1"/>
    </row>
    <row r="74" spans="11:11" x14ac:dyDescent="0.25">
      <c r="K74" s="1"/>
    </row>
    <row r="75" spans="11:11" x14ac:dyDescent="0.25">
      <c r="K75" s="1"/>
    </row>
    <row r="76" spans="11:11" x14ac:dyDescent="0.25">
      <c r="K76" s="1"/>
    </row>
    <row r="77" spans="11:11" x14ac:dyDescent="0.25">
      <c r="K77" s="1"/>
    </row>
    <row r="78" spans="11:11" x14ac:dyDescent="0.25">
      <c r="K78" s="1"/>
    </row>
    <row r="79" spans="11:11" x14ac:dyDescent="0.25">
      <c r="K79" s="1"/>
    </row>
    <row r="80" spans="11:11" x14ac:dyDescent="0.25">
      <c r="K80" s="1"/>
    </row>
    <row r="81" spans="11:11" x14ac:dyDescent="0.25">
      <c r="K81" s="1"/>
    </row>
    <row r="82" spans="11:11" x14ac:dyDescent="0.25">
      <c r="K82" s="1"/>
    </row>
    <row r="83" spans="11:11" x14ac:dyDescent="0.25">
      <c r="K83" s="1"/>
    </row>
    <row r="84" spans="11:11" x14ac:dyDescent="0.25">
      <c r="K84" s="1"/>
    </row>
    <row r="85" spans="11:11" x14ac:dyDescent="0.25">
      <c r="K85" s="1"/>
    </row>
    <row r="86" spans="11:11" x14ac:dyDescent="0.25">
      <c r="K86" s="1"/>
    </row>
    <row r="87" spans="11:11" x14ac:dyDescent="0.25">
      <c r="K87" s="1"/>
    </row>
    <row r="88" spans="11:11" x14ac:dyDescent="0.25">
      <c r="K88" s="1"/>
    </row>
    <row r="89" spans="11:11" x14ac:dyDescent="0.25">
      <c r="K89" s="1"/>
    </row>
    <row r="90" spans="11:11" x14ac:dyDescent="0.25">
      <c r="K90" s="1"/>
    </row>
    <row r="91" spans="11:11" x14ac:dyDescent="0.25">
      <c r="K91" s="1"/>
    </row>
    <row r="92" spans="11:11" x14ac:dyDescent="0.25">
      <c r="K92" s="1"/>
    </row>
    <row r="93" spans="11:11" x14ac:dyDescent="0.25">
      <c r="K93" s="1"/>
    </row>
    <row r="94" spans="11:11" x14ac:dyDescent="0.25">
      <c r="K94" s="1"/>
    </row>
    <row r="95" spans="11:11" x14ac:dyDescent="0.25">
      <c r="K95" s="1"/>
    </row>
    <row r="96" spans="11:11" x14ac:dyDescent="0.25">
      <c r="K96" s="1"/>
    </row>
    <row r="97" spans="11:11" x14ac:dyDescent="0.25">
      <c r="K97" s="1"/>
    </row>
    <row r="98" spans="11:11" x14ac:dyDescent="0.25">
      <c r="K98" s="1"/>
    </row>
    <row r="99" spans="11:11" x14ac:dyDescent="0.25">
      <c r="K99" s="1"/>
    </row>
    <row r="100" spans="11:11" x14ac:dyDescent="0.25">
      <c r="K100" s="1"/>
    </row>
    <row r="101" spans="11:11" x14ac:dyDescent="0.25">
      <c r="K101" s="1"/>
    </row>
  </sheetData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9"/>
  <sheetViews>
    <sheetView zoomScale="90" zoomScaleNormal="90" workbookViewId="0">
      <selection activeCell="I3" sqref="I3"/>
    </sheetView>
  </sheetViews>
  <sheetFormatPr defaultRowHeight="15" x14ac:dyDescent="0.25"/>
  <cols>
    <col min="1" max="1" width="27.7109375" bestFit="1" customWidth="1"/>
    <col min="2" max="3" width="10.7109375" customWidth="1"/>
    <col min="4" max="4" width="3.7109375" customWidth="1"/>
    <col min="5" max="5" width="27.7109375" customWidth="1"/>
    <col min="6" max="7" width="10.7109375" customWidth="1"/>
    <col min="8" max="8" width="3.7109375" customWidth="1"/>
    <col min="9" max="9" width="27.7109375" customWidth="1"/>
    <col min="10" max="10" width="10.7109375" customWidth="1"/>
    <col min="11" max="11" width="12" bestFit="1" customWidth="1"/>
    <col min="12" max="12" width="3.7109375" customWidth="1"/>
    <col min="13" max="13" width="27.7109375" bestFit="1" customWidth="1"/>
    <col min="14" max="14" width="10.7109375" customWidth="1"/>
    <col min="15" max="15" width="12" bestFit="1" customWidth="1"/>
    <col min="16" max="16" width="3.7109375" customWidth="1"/>
    <col min="17" max="17" width="27.7109375" customWidth="1"/>
    <col min="18" max="19" width="10.7109375" customWidth="1"/>
    <col min="20" max="20" width="9" customWidth="1"/>
    <col min="21" max="23" width="12" bestFit="1" customWidth="1"/>
    <col min="25" max="25" width="29.85546875" bestFit="1" customWidth="1"/>
    <col min="26" max="26" width="9" customWidth="1"/>
    <col min="27" max="29" width="12" bestFit="1" customWidth="1"/>
  </cols>
  <sheetData>
    <row r="1" spans="1:19" x14ac:dyDescent="0.25">
      <c r="A1" t="s">
        <v>195</v>
      </c>
    </row>
    <row r="2" spans="1:19" x14ac:dyDescent="0.25">
      <c r="A2" t="s">
        <v>194</v>
      </c>
    </row>
    <row r="5" spans="1:19" x14ac:dyDescent="0.25">
      <c r="A5" t="s">
        <v>107</v>
      </c>
      <c r="E5" t="s">
        <v>110</v>
      </c>
      <c r="I5" t="s">
        <v>111</v>
      </c>
      <c r="M5" t="s">
        <v>112</v>
      </c>
      <c r="Q5" t="s">
        <v>113</v>
      </c>
    </row>
    <row r="6" spans="1:19" x14ac:dyDescent="0.25">
      <c r="A6" t="s">
        <v>119</v>
      </c>
      <c r="E6" t="s">
        <v>119</v>
      </c>
      <c r="I6" t="s">
        <v>119</v>
      </c>
      <c r="M6" t="s">
        <v>119</v>
      </c>
      <c r="Q6" t="s">
        <v>119</v>
      </c>
    </row>
    <row r="7" spans="1:19" x14ac:dyDescent="0.25">
      <c r="A7" t="s">
        <v>120</v>
      </c>
      <c r="B7" t="s">
        <v>108</v>
      </c>
      <c r="E7" t="s">
        <v>120</v>
      </c>
      <c r="F7" t="s">
        <v>108</v>
      </c>
      <c r="I7" t="s">
        <v>120</v>
      </c>
      <c r="J7" t="s">
        <v>108</v>
      </c>
      <c r="M7" t="s">
        <v>120</v>
      </c>
      <c r="N7" t="s">
        <v>108</v>
      </c>
      <c r="Q7" t="s">
        <v>120</v>
      </c>
      <c r="R7" t="s">
        <v>108</v>
      </c>
    </row>
    <row r="8" spans="1:19" x14ac:dyDescent="0.25">
      <c r="A8" t="s">
        <v>121</v>
      </c>
      <c r="B8" t="s">
        <v>109</v>
      </c>
      <c r="E8" t="s">
        <v>121</v>
      </c>
      <c r="F8" t="s">
        <v>109</v>
      </c>
      <c r="I8" t="s">
        <v>121</v>
      </c>
      <c r="J8" t="s">
        <v>109</v>
      </c>
      <c r="M8" t="s">
        <v>121</v>
      </c>
      <c r="N8" t="s">
        <v>109</v>
      </c>
      <c r="Q8" t="s">
        <v>121</v>
      </c>
      <c r="R8" t="s">
        <v>109</v>
      </c>
    </row>
    <row r="9" spans="1:19" x14ac:dyDescent="0.25">
      <c r="A9">
        <v>6.2839708035299993E-2</v>
      </c>
      <c r="B9">
        <v>1567.1402752399999</v>
      </c>
      <c r="C9">
        <v>189.552356635</v>
      </c>
      <c r="D9" s="1"/>
      <c r="E9">
        <v>6.2839708035299993E-2</v>
      </c>
      <c r="F9">
        <v>704.69719574700002</v>
      </c>
      <c r="G9">
        <v>200.457628615</v>
      </c>
      <c r="H9" s="1"/>
      <c r="I9">
        <v>0.62839708035300001</v>
      </c>
      <c r="J9">
        <v>394.10447898500001</v>
      </c>
      <c r="K9">
        <v>173.981226835</v>
      </c>
      <c r="M9">
        <v>0.62839708035300001</v>
      </c>
      <c r="N9">
        <v>87.270511650100005</v>
      </c>
      <c r="O9">
        <v>76.796208495000002</v>
      </c>
      <c r="Q9">
        <v>0.62839708035300001</v>
      </c>
      <c r="R9">
        <v>26.843155754800001</v>
      </c>
      <c r="S9">
        <v>18.317002966</v>
      </c>
    </row>
    <row r="10" spans="1:19" x14ac:dyDescent="0.25">
      <c r="A10">
        <v>0.125679416071</v>
      </c>
      <c r="B10">
        <v>1638.8715213200001</v>
      </c>
      <c r="C10">
        <v>178.59889801700001</v>
      </c>
      <c r="D10" s="1"/>
      <c r="E10">
        <v>0.125679416071</v>
      </c>
      <c r="F10">
        <v>778.74523622699996</v>
      </c>
      <c r="G10">
        <v>202.716453229</v>
      </c>
      <c r="H10" s="1"/>
      <c r="I10">
        <v>0.94259444202099996</v>
      </c>
      <c r="J10">
        <v>432.82720955600001</v>
      </c>
      <c r="K10">
        <v>177.695734246</v>
      </c>
      <c r="M10">
        <v>0.94259444202099996</v>
      </c>
      <c r="N10">
        <v>111.355483882</v>
      </c>
      <c r="O10">
        <v>89.988825647400006</v>
      </c>
      <c r="Q10">
        <v>0.94259444202099996</v>
      </c>
      <c r="R10">
        <v>31.120937764200001</v>
      </c>
      <c r="S10">
        <v>23.474178668499999</v>
      </c>
    </row>
    <row r="11" spans="1:19" x14ac:dyDescent="0.25">
      <c r="A11">
        <v>0.188519595511</v>
      </c>
      <c r="B11">
        <v>1679.4423414800001</v>
      </c>
      <c r="C11">
        <v>185.48431253000001</v>
      </c>
      <c r="D11" s="1"/>
      <c r="E11">
        <v>0.188519595511</v>
      </c>
      <c r="F11">
        <v>832.24672055400004</v>
      </c>
      <c r="G11">
        <v>215.149681294</v>
      </c>
      <c r="H11" s="1"/>
      <c r="I11">
        <v>1.3824749596300001</v>
      </c>
      <c r="J11">
        <v>472.28777554499999</v>
      </c>
      <c r="K11">
        <v>190.77261775900001</v>
      </c>
      <c r="M11">
        <v>1.3824749596300001</v>
      </c>
      <c r="N11">
        <v>136.41804669800001</v>
      </c>
      <c r="O11">
        <v>98.305230672199997</v>
      </c>
      <c r="Q11">
        <v>1.3824749596300001</v>
      </c>
      <c r="R11">
        <v>36.8550399668</v>
      </c>
      <c r="S11">
        <v>28.779438033000002</v>
      </c>
    </row>
    <row r="12" spans="1:19" x14ac:dyDescent="0.25">
      <c r="A12">
        <v>0.314198540177</v>
      </c>
      <c r="B12">
        <v>1747.2604798100001</v>
      </c>
      <c r="C12">
        <v>198.690805883</v>
      </c>
      <c r="D12" s="1"/>
      <c r="E12">
        <v>0.314198540177</v>
      </c>
      <c r="F12">
        <v>913.69911582600002</v>
      </c>
      <c r="G12">
        <v>220.88940954200001</v>
      </c>
      <c r="H12" s="1"/>
      <c r="I12">
        <v>2.0108706571299999</v>
      </c>
      <c r="J12">
        <v>521.91241219100004</v>
      </c>
      <c r="K12">
        <v>207.23037921700001</v>
      </c>
      <c r="M12">
        <v>2.0108706571299999</v>
      </c>
      <c r="N12">
        <v>159.14082188200001</v>
      </c>
      <c r="O12">
        <v>105.179466203</v>
      </c>
      <c r="Q12">
        <v>2.0108706571299999</v>
      </c>
      <c r="R12">
        <v>43.475672526899999</v>
      </c>
      <c r="S12">
        <v>33.940127522799997</v>
      </c>
    </row>
    <row r="13" spans="1:19" x14ac:dyDescent="0.25">
      <c r="A13">
        <v>0.43987762631999999</v>
      </c>
      <c r="B13">
        <v>1800.4928731</v>
      </c>
      <c r="C13">
        <v>198.052490377</v>
      </c>
      <c r="D13" s="1"/>
      <c r="E13">
        <v>0.43987762631999999</v>
      </c>
      <c r="F13">
        <v>964.74870891499995</v>
      </c>
      <c r="G13">
        <v>214.49548580300001</v>
      </c>
      <c r="H13" s="1"/>
      <c r="I13">
        <v>2.8906272935300001</v>
      </c>
      <c r="J13">
        <v>580.25222866000001</v>
      </c>
      <c r="K13">
        <v>216.457658963</v>
      </c>
      <c r="M13">
        <v>2.8906272935300001</v>
      </c>
      <c r="N13">
        <v>179.95154921400001</v>
      </c>
      <c r="O13">
        <v>115.45061634699999</v>
      </c>
      <c r="Q13">
        <v>2.8906272935300001</v>
      </c>
      <c r="R13">
        <v>50.086677362000003</v>
      </c>
      <c r="S13">
        <v>39.584552255600002</v>
      </c>
    </row>
    <row r="14" spans="1:19" x14ac:dyDescent="0.25">
      <c r="A14">
        <v>0.62839708035300001</v>
      </c>
      <c r="B14">
        <v>1853.7847218300001</v>
      </c>
      <c r="C14">
        <v>185.12264920999999</v>
      </c>
      <c r="D14" s="1"/>
      <c r="E14">
        <v>0.62839708035300001</v>
      </c>
      <c r="F14">
        <v>1009.77267581</v>
      </c>
      <c r="G14">
        <v>206.421678609</v>
      </c>
      <c r="H14" s="1"/>
      <c r="I14">
        <v>4.2731022802299998</v>
      </c>
      <c r="J14">
        <v>643.58557129799999</v>
      </c>
      <c r="K14">
        <v>212.858423652</v>
      </c>
      <c r="M14">
        <v>4.2731022802299998</v>
      </c>
      <c r="N14">
        <v>206.307516789</v>
      </c>
      <c r="O14">
        <v>133.18151454299999</v>
      </c>
      <c r="Q14">
        <v>4.2731022802299998</v>
      </c>
      <c r="R14">
        <v>57.789823584300002</v>
      </c>
      <c r="S14">
        <v>48.026284031599999</v>
      </c>
    </row>
    <row r="15" spans="1:19" x14ac:dyDescent="0.25">
      <c r="A15">
        <v>0.94259444202099996</v>
      </c>
      <c r="B15">
        <v>1900.5893356399999</v>
      </c>
      <c r="C15">
        <v>163.33730370500001</v>
      </c>
      <c r="D15" s="1"/>
      <c r="E15">
        <v>0.94259444202099996</v>
      </c>
      <c r="F15">
        <v>1053.96399677</v>
      </c>
      <c r="G15">
        <v>206.162783112</v>
      </c>
      <c r="H15" s="1"/>
      <c r="I15">
        <v>6.2839708035299999</v>
      </c>
      <c r="J15">
        <v>695.52034936300004</v>
      </c>
      <c r="K15">
        <v>202.30388578899999</v>
      </c>
      <c r="M15">
        <v>6.2839708035299999</v>
      </c>
      <c r="N15">
        <v>242.54866569399999</v>
      </c>
      <c r="O15">
        <v>154.31567332899999</v>
      </c>
      <c r="Q15">
        <v>6.2839708035299999</v>
      </c>
      <c r="R15">
        <v>68.008661516800004</v>
      </c>
      <c r="S15">
        <v>59.813402435900002</v>
      </c>
    </row>
    <row r="16" spans="1:19" x14ac:dyDescent="0.25">
      <c r="A16">
        <v>1.3824749596300001</v>
      </c>
      <c r="B16">
        <v>1932.28640367</v>
      </c>
      <c r="C16">
        <v>146.94600479499999</v>
      </c>
      <c r="D16" s="1"/>
      <c r="E16">
        <v>1.3824749596300001</v>
      </c>
      <c r="F16">
        <v>1100.03977461</v>
      </c>
      <c r="G16">
        <v>216.851666037</v>
      </c>
      <c r="H16" s="1"/>
      <c r="I16">
        <v>9.4259444096100005</v>
      </c>
      <c r="J16">
        <v>739.36819134899997</v>
      </c>
      <c r="K16">
        <v>197.047691775</v>
      </c>
      <c r="M16">
        <v>9.4259444096100005</v>
      </c>
      <c r="N16">
        <v>292.79667057900002</v>
      </c>
      <c r="O16">
        <v>171.20570322099999</v>
      </c>
      <c r="Q16">
        <v>9.4259444096100005</v>
      </c>
      <c r="R16">
        <v>84.500443098299996</v>
      </c>
      <c r="S16">
        <v>74.774983645099994</v>
      </c>
    </row>
    <row r="17" spans="1:19" x14ac:dyDescent="0.25">
      <c r="A17">
        <v>2.0108706571299999</v>
      </c>
      <c r="B17">
        <v>1958.80977478</v>
      </c>
      <c r="C17">
        <v>139.53880174899999</v>
      </c>
      <c r="D17" s="1"/>
      <c r="E17">
        <v>2.0108706571299999</v>
      </c>
      <c r="F17">
        <v>1157.4212023499999</v>
      </c>
      <c r="G17">
        <v>229.52761819099999</v>
      </c>
      <c r="H17" s="1"/>
      <c r="I17">
        <v>13.8247495735</v>
      </c>
      <c r="J17">
        <v>780.64120136199995</v>
      </c>
      <c r="K17">
        <v>203.159655039</v>
      </c>
      <c r="M17">
        <v>13.8247495735</v>
      </c>
      <c r="N17">
        <v>343.54600763600001</v>
      </c>
      <c r="O17">
        <v>175.930239884</v>
      </c>
      <c r="Q17">
        <v>13.8247495735</v>
      </c>
      <c r="R17">
        <v>106.418797814</v>
      </c>
      <c r="S17">
        <v>87.821969061900006</v>
      </c>
    </row>
    <row r="18" spans="1:19" x14ac:dyDescent="0.25">
      <c r="A18">
        <v>2.8906272935300001</v>
      </c>
      <c r="B18">
        <v>1986.3397068500001</v>
      </c>
      <c r="C18">
        <v>138.395898593</v>
      </c>
      <c r="D18" s="1"/>
      <c r="E18">
        <v>2.8906272935300001</v>
      </c>
      <c r="F18">
        <v>1222.17987924</v>
      </c>
      <c r="G18">
        <v>232.33191374099999</v>
      </c>
      <c r="H18" s="1"/>
      <c r="I18">
        <v>20.108706571300001</v>
      </c>
      <c r="J18">
        <v>830.11210054900005</v>
      </c>
      <c r="K18">
        <v>214.739019824</v>
      </c>
      <c r="M18">
        <v>20.108706571300001</v>
      </c>
      <c r="N18">
        <v>386.97904188299998</v>
      </c>
      <c r="O18">
        <v>174.19868334099999</v>
      </c>
      <c r="Q18">
        <v>20.108706571300001</v>
      </c>
      <c r="R18">
        <v>130.91805110600001</v>
      </c>
      <c r="S18">
        <v>96.743434014299993</v>
      </c>
    </row>
    <row r="19" spans="1:19" x14ac:dyDescent="0.25">
      <c r="A19">
        <v>4.2731022802299998</v>
      </c>
      <c r="B19">
        <v>2019.3987530500001</v>
      </c>
      <c r="C19">
        <v>138.190466289</v>
      </c>
      <c r="D19" s="1"/>
      <c r="E19">
        <v>4.2731022802299998</v>
      </c>
      <c r="F19">
        <v>1288.77386563</v>
      </c>
      <c r="G19">
        <v>220.374686892</v>
      </c>
      <c r="H19" s="1"/>
      <c r="I19">
        <v>28.906273068299999</v>
      </c>
      <c r="J19">
        <v>887.25848513899996</v>
      </c>
      <c r="K19">
        <v>221.296323462</v>
      </c>
      <c r="M19">
        <v>28.906273068299999</v>
      </c>
      <c r="N19">
        <v>422.33000951899999</v>
      </c>
      <c r="O19">
        <v>175.629317517</v>
      </c>
      <c r="Q19">
        <v>28.906273068299999</v>
      </c>
      <c r="R19">
        <v>153.48908448200001</v>
      </c>
      <c r="S19">
        <v>103.225721514</v>
      </c>
    </row>
    <row r="20" spans="1:19" x14ac:dyDescent="0.25">
      <c r="A20">
        <v>6.2839708035299999</v>
      </c>
      <c r="B20">
        <v>2051.4398046599999</v>
      </c>
      <c r="C20">
        <v>136.47493492500001</v>
      </c>
      <c r="D20" s="1"/>
      <c r="E20">
        <v>6.2839708035299999</v>
      </c>
      <c r="F20">
        <v>1340.7388876099999</v>
      </c>
      <c r="G20">
        <v>202.577035252</v>
      </c>
      <c r="H20" s="1"/>
      <c r="I20">
        <v>42.731022874899999</v>
      </c>
      <c r="J20">
        <v>949.18109698199999</v>
      </c>
      <c r="K20">
        <v>217.101946849</v>
      </c>
      <c r="M20">
        <v>42.731022874899999</v>
      </c>
      <c r="N20">
        <v>460.70737288599997</v>
      </c>
      <c r="O20">
        <v>186.45715566499999</v>
      </c>
      <c r="Q20">
        <v>42.731022874899999</v>
      </c>
      <c r="R20">
        <v>175.900264405</v>
      </c>
      <c r="S20">
        <v>113.049277754</v>
      </c>
    </row>
    <row r="21" spans="1:19" x14ac:dyDescent="0.25">
      <c r="A21">
        <v>9.4259444096100005</v>
      </c>
      <c r="B21">
        <v>2081.31150127</v>
      </c>
      <c r="C21">
        <v>137.179289724</v>
      </c>
      <c r="D21" s="1"/>
      <c r="E21">
        <v>9.4259444096100005</v>
      </c>
      <c r="F21">
        <v>1383.22339678</v>
      </c>
      <c r="G21">
        <v>190.98653598999999</v>
      </c>
      <c r="H21" s="1"/>
      <c r="I21">
        <v>62.839708035299999</v>
      </c>
      <c r="J21">
        <v>1000.5648058100001</v>
      </c>
      <c r="K21">
        <v>207.83402006200001</v>
      </c>
      <c r="M21">
        <v>62.839708035299999</v>
      </c>
      <c r="N21">
        <v>508.39493525300003</v>
      </c>
      <c r="O21">
        <v>203.383965875</v>
      </c>
      <c r="Q21">
        <v>62.839708035299999</v>
      </c>
      <c r="R21">
        <v>200.66394892400001</v>
      </c>
      <c r="S21">
        <v>129.33449432899999</v>
      </c>
    </row>
    <row r="22" spans="1:19" x14ac:dyDescent="0.25">
      <c r="A22">
        <v>13.8247495735</v>
      </c>
      <c r="B22">
        <v>2109.5376861300001</v>
      </c>
      <c r="C22">
        <v>145.251925919</v>
      </c>
      <c r="D22" s="1"/>
      <c r="E22">
        <v>13.8247495735</v>
      </c>
      <c r="F22">
        <v>1422.3450990399999</v>
      </c>
      <c r="G22">
        <v>191.00292567599999</v>
      </c>
      <c r="H22" s="1"/>
      <c r="I22">
        <v>91.745841830399996</v>
      </c>
      <c r="J22">
        <v>1042.4913582700001</v>
      </c>
      <c r="K22">
        <v>204.96388928299999</v>
      </c>
      <c r="M22">
        <v>91.745841830399996</v>
      </c>
      <c r="N22">
        <v>567.32870443399997</v>
      </c>
      <c r="O22">
        <v>215.47890930599999</v>
      </c>
      <c r="Q22">
        <v>91.745841830399996</v>
      </c>
      <c r="R22">
        <v>233.857649243</v>
      </c>
      <c r="S22">
        <v>149.93314885000001</v>
      </c>
    </row>
    <row r="23" spans="1:19" x14ac:dyDescent="0.25">
      <c r="A23">
        <v>20.108706571300001</v>
      </c>
      <c r="B23">
        <v>2144.7059696699998</v>
      </c>
      <c r="C23">
        <v>159.677620932</v>
      </c>
      <c r="D23" s="1"/>
      <c r="E23">
        <v>20.108706571300001</v>
      </c>
      <c r="F23">
        <v>1467.72267306</v>
      </c>
      <c r="G23">
        <v>195.87545674399999</v>
      </c>
      <c r="H23" s="1"/>
      <c r="I23">
        <v>135.10502062099999</v>
      </c>
      <c r="J23">
        <v>1086.7279731399999</v>
      </c>
      <c r="K23">
        <v>213.28174732599999</v>
      </c>
      <c r="M23">
        <v>135.10502062099999</v>
      </c>
      <c r="N23">
        <v>631.05371960399998</v>
      </c>
      <c r="O23">
        <v>214.60537750099999</v>
      </c>
      <c r="Q23">
        <v>135.10502062099999</v>
      </c>
      <c r="R23">
        <v>279.61037229099998</v>
      </c>
      <c r="S23">
        <v>168.092214544</v>
      </c>
    </row>
    <row r="24" spans="1:19" x14ac:dyDescent="0.25">
      <c r="A24">
        <v>28.906273068299999</v>
      </c>
      <c r="B24">
        <v>2191.1471908799999</v>
      </c>
      <c r="C24">
        <v>172.491483039</v>
      </c>
      <c r="D24" s="1"/>
      <c r="E24">
        <v>28.906273068299999</v>
      </c>
      <c r="F24">
        <v>1517.7624858199999</v>
      </c>
      <c r="G24">
        <v>196.47010138799999</v>
      </c>
      <c r="H24" s="1"/>
      <c r="I24">
        <v>198.57390993999999</v>
      </c>
      <c r="J24">
        <v>1142.1852911599999</v>
      </c>
      <c r="K24">
        <v>226.922750444</v>
      </c>
      <c r="M24">
        <v>198.57390993999999</v>
      </c>
      <c r="N24">
        <v>685.56375417699996</v>
      </c>
      <c r="O24">
        <v>204.47354887899999</v>
      </c>
      <c r="Q24">
        <v>198.57390993999999</v>
      </c>
      <c r="R24">
        <v>330.93765333699997</v>
      </c>
      <c r="S24">
        <v>175.70633571499999</v>
      </c>
    </row>
    <row r="25" spans="1:19" x14ac:dyDescent="0.25">
      <c r="A25">
        <v>42.731022874899999</v>
      </c>
      <c r="B25">
        <v>2251.60313219</v>
      </c>
      <c r="C25">
        <v>172.82982922900001</v>
      </c>
      <c r="D25" s="1"/>
      <c r="E25">
        <v>42.731022874899999</v>
      </c>
      <c r="F25">
        <v>1569.5044532700001</v>
      </c>
      <c r="G25">
        <v>189.06206976300001</v>
      </c>
      <c r="H25" s="1"/>
      <c r="I25">
        <v>291.57624761699998</v>
      </c>
      <c r="J25">
        <v>1209.38400138</v>
      </c>
      <c r="K25">
        <v>232.888193669</v>
      </c>
      <c r="M25">
        <v>291.57624761699998</v>
      </c>
      <c r="N25">
        <v>728.73518228800003</v>
      </c>
      <c r="O25">
        <v>197.27503671700001</v>
      </c>
      <c r="Q25">
        <v>291.57624761699998</v>
      </c>
      <c r="R25">
        <v>377.49542172100001</v>
      </c>
      <c r="S25">
        <v>174.65305255499999</v>
      </c>
    </row>
    <row r="26" spans="1:19" x14ac:dyDescent="0.25">
      <c r="A26">
        <v>62.839708035299999</v>
      </c>
      <c r="B26">
        <v>2308.37101325</v>
      </c>
      <c r="C26">
        <v>153.80185357600001</v>
      </c>
      <c r="D26" s="1"/>
      <c r="E26">
        <v>62.839708035299999</v>
      </c>
      <c r="F26">
        <v>1611.6270019599999</v>
      </c>
      <c r="G26">
        <v>180.383879527</v>
      </c>
      <c r="H26" s="1"/>
      <c r="I26">
        <v>427.31020695400002</v>
      </c>
      <c r="J26">
        <v>1276.2391432700001</v>
      </c>
      <c r="K26">
        <v>223.74298773199999</v>
      </c>
      <c r="M26">
        <v>427.31020695400002</v>
      </c>
      <c r="N26">
        <v>768.80165529800001</v>
      </c>
      <c r="O26">
        <v>200.550919233</v>
      </c>
      <c r="Q26">
        <v>427.31020695400002</v>
      </c>
      <c r="R26">
        <v>415.86105789200002</v>
      </c>
      <c r="S26">
        <v>174.78016809900001</v>
      </c>
    </row>
    <row r="27" spans="1:19" x14ac:dyDescent="0.25">
      <c r="A27">
        <v>91.745841830399996</v>
      </c>
      <c r="B27">
        <v>2349.3932596200002</v>
      </c>
      <c r="C27">
        <v>123.31974170300001</v>
      </c>
      <c r="D27" s="1"/>
      <c r="E27">
        <v>91.745841830399996</v>
      </c>
      <c r="F27">
        <v>1647.3707906300001</v>
      </c>
      <c r="G27">
        <v>179.24031792299999</v>
      </c>
      <c r="H27" s="1"/>
      <c r="I27">
        <v>628.39708035299998</v>
      </c>
      <c r="J27">
        <v>1331.26654725</v>
      </c>
      <c r="K27">
        <v>206.027308551</v>
      </c>
      <c r="M27">
        <v>628.39708035299998</v>
      </c>
      <c r="N27">
        <v>816.75649363100001</v>
      </c>
      <c r="O27">
        <v>211.903127111</v>
      </c>
      <c r="Q27">
        <v>628.39708035299998</v>
      </c>
      <c r="R27">
        <v>452.90580619299999</v>
      </c>
      <c r="S27">
        <v>183.67130455500001</v>
      </c>
    </row>
    <row r="28" spans="1:19" x14ac:dyDescent="0.25">
      <c r="A28">
        <v>135.10502062099999</v>
      </c>
      <c r="B28">
        <v>2374.6469331600001</v>
      </c>
      <c r="C28">
        <v>91.218290145599994</v>
      </c>
      <c r="D28" s="1"/>
      <c r="E28">
        <v>135.10502062099999</v>
      </c>
      <c r="F28">
        <v>1687.6740257399999</v>
      </c>
      <c r="G28">
        <v>187.524309531</v>
      </c>
    </row>
    <row r="29" spans="1:19" x14ac:dyDescent="0.25">
      <c r="A29">
        <v>198.57390993999999</v>
      </c>
      <c r="B29">
        <v>2387.86446045</v>
      </c>
      <c r="C29">
        <v>64.701339189500004</v>
      </c>
      <c r="D29" s="1"/>
      <c r="E29">
        <v>198.57390993999999</v>
      </c>
      <c r="F29">
        <v>1739.15488037</v>
      </c>
      <c r="G29">
        <v>197.81012076600001</v>
      </c>
    </row>
    <row r="30" spans="1:19" x14ac:dyDescent="0.25">
      <c r="A30">
        <v>291.57624761699998</v>
      </c>
      <c r="B30">
        <v>2394.3300469599999</v>
      </c>
      <c r="C30">
        <v>44.936899778099999</v>
      </c>
      <c r="D30" s="1"/>
      <c r="E30">
        <v>291.57624761699998</v>
      </c>
      <c r="F30">
        <v>1799.52531226</v>
      </c>
      <c r="G30">
        <v>198.169653727</v>
      </c>
    </row>
    <row r="31" spans="1:19" x14ac:dyDescent="0.25">
      <c r="A31">
        <v>427.31020695400002</v>
      </c>
      <c r="B31">
        <v>2397.37861522</v>
      </c>
      <c r="C31">
        <v>30.938149718799998</v>
      </c>
      <c r="D31" s="1"/>
      <c r="E31">
        <v>427.31020695400002</v>
      </c>
      <c r="F31">
        <v>1856.3879173800001</v>
      </c>
      <c r="G31">
        <v>184.149455515</v>
      </c>
    </row>
    <row r="32" spans="1:19" x14ac:dyDescent="0.25">
      <c r="A32">
        <v>628.39708035299998</v>
      </c>
      <c r="B32">
        <v>2398.8046371199998</v>
      </c>
      <c r="C32">
        <v>21.1234869092</v>
      </c>
      <c r="D32" s="1"/>
      <c r="E32">
        <v>628.39708035299998</v>
      </c>
      <c r="F32">
        <v>1900.5553246500001</v>
      </c>
      <c r="G32">
        <v>163.35573189499999</v>
      </c>
    </row>
    <row r="35" spans="1:19" x14ac:dyDescent="0.25">
      <c r="A35" t="s">
        <v>114</v>
      </c>
      <c r="E35" t="s">
        <v>115</v>
      </c>
      <c r="I35" t="s">
        <v>116</v>
      </c>
      <c r="M35" t="s">
        <v>117</v>
      </c>
      <c r="Q35" t="s">
        <v>118</v>
      </c>
    </row>
    <row r="36" spans="1:19" x14ac:dyDescent="0.25">
      <c r="A36" t="s">
        <v>119</v>
      </c>
      <c r="E36" t="s">
        <v>119</v>
      </c>
      <c r="I36" t="s">
        <v>119</v>
      </c>
      <c r="M36" t="s">
        <v>119</v>
      </c>
      <c r="Q36" t="s">
        <v>119</v>
      </c>
    </row>
    <row r="37" spans="1:19" x14ac:dyDescent="0.25">
      <c r="A37" t="s">
        <v>120</v>
      </c>
      <c r="B37" t="s">
        <v>108</v>
      </c>
      <c r="E37" t="s">
        <v>120</v>
      </c>
      <c r="F37" t="s">
        <v>108</v>
      </c>
      <c r="I37" t="s">
        <v>120</v>
      </c>
      <c r="J37" t="s">
        <v>108</v>
      </c>
      <c r="M37" t="s">
        <v>120</v>
      </c>
      <c r="N37" t="s">
        <v>108</v>
      </c>
      <c r="Q37" t="s">
        <v>120</v>
      </c>
      <c r="R37" t="s">
        <v>108</v>
      </c>
    </row>
    <row r="38" spans="1:19" x14ac:dyDescent="0.25">
      <c r="A38" t="s">
        <v>121</v>
      </c>
      <c r="B38" t="s">
        <v>109</v>
      </c>
      <c r="E38" t="s">
        <v>121</v>
      </c>
      <c r="F38" t="s">
        <v>109</v>
      </c>
      <c r="I38" t="s">
        <v>121</v>
      </c>
      <c r="J38" t="s">
        <v>109</v>
      </c>
      <c r="M38" t="s">
        <v>121</v>
      </c>
      <c r="N38" t="s">
        <v>109</v>
      </c>
      <c r="Q38" t="s">
        <v>121</v>
      </c>
      <c r="R38" t="s">
        <v>109</v>
      </c>
    </row>
    <row r="39" spans="1:19" x14ac:dyDescent="0.25">
      <c r="A39">
        <v>0.62839708035300001</v>
      </c>
      <c r="B39">
        <v>15.63510177</v>
      </c>
      <c r="C39">
        <v>5.8626542740299996</v>
      </c>
      <c r="D39" s="1"/>
      <c r="E39">
        <v>0.62839708035300001</v>
      </c>
      <c r="F39">
        <v>12.1954745245</v>
      </c>
      <c r="G39">
        <v>2.7339596259899999</v>
      </c>
      <c r="H39" s="1"/>
      <c r="I39">
        <v>0.62839708035300001</v>
      </c>
      <c r="J39">
        <v>10.644811603000001</v>
      </c>
      <c r="K39">
        <v>1.6840402042</v>
      </c>
      <c r="M39">
        <v>0.62839708035300001</v>
      </c>
      <c r="N39">
        <v>9.4560755674900001</v>
      </c>
      <c r="O39">
        <v>1.4158243152000001</v>
      </c>
      <c r="P39" s="1"/>
      <c r="Q39" s="1">
        <v>3.96493183391E-5</v>
      </c>
      <c r="R39">
        <v>9.4130365973100005</v>
      </c>
      <c r="S39">
        <v>1.40932429805</v>
      </c>
    </row>
    <row r="40" spans="1:19" x14ac:dyDescent="0.25">
      <c r="A40">
        <v>0.94259444202099996</v>
      </c>
      <c r="B40">
        <v>17.000124956499999</v>
      </c>
      <c r="C40">
        <v>7.3884553995999998</v>
      </c>
      <c r="D40" s="1"/>
      <c r="E40">
        <v>0.94259444202099996</v>
      </c>
      <c r="F40">
        <v>12.9040104735</v>
      </c>
      <c r="G40">
        <v>3.1919145545699998</v>
      </c>
      <c r="H40" s="1"/>
      <c r="I40">
        <v>0.94259444202099996</v>
      </c>
      <c r="J40">
        <v>10.9957656839</v>
      </c>
      <c r="K40">
        <v>1.78545792474</v>
      </c>
      <c r="M40">
        <v>0.94259444202099996</v>
      </c>
      <c r="N40">
        <v>9.7797134862899995</v>
      </c>
      <c r="O40">
        <v>1.4999323503399999</v>
      </c>
      <c r="P40" s="1"/>
      <c r="Q40" s="1">
        <v>8.7227703968900002E-5</v>
      </c>
      <c r="R40">
        <v>10.086656360799999</v>
      </c>
      <c r="S40">
        <v>1.58257298913</v>
      </c>
    </row>
    <row r="41" spans="1:19" x14ac:dyDescent="0.25">
      <c r="A41">
        <v>1.3824749596300001</v>
      </c>
      <c r="B41">
        <v>18.7442657952</v>
      </c>
      <c r="C41">
        <v>8.94367841601</v>
      </c>
      <c r="D41" s="1"/>
      <c r="E41">
        <v>1.3824749596300001</v>
      </c>
      <c r="F41">
        <v>13.606895081299999</v>
      </c>
      <c r="G41">
        <v>3.6187975274299999</v>
      </c>
      <c r="H41" s="1"/>
      <c r="I41">
        <v>1.3824749596300001</v>
      </c>
      <c r="J41">
        <v>11.3141167967</v>
      </c>
      <c r="K41">
        <v>1.9946941978799999</v>
      </c>
      <c r="M41">
        <v>1.3824749596300001</v>
      </c>
      <c r="N41">
        <v>10.1463066775</v>
      </c>
      <c r="O41">
        <v>1.5960091087999999</v>
      </c>
      <c r="P41" s="1"/>
      <c r="Q41">
        <v>1.8238595408099999E-4</v>
      </c>
      <c r="R41">
        <v>10.804407214999999</v>
      </c>
      <c r="S41">
        <v>1.71827378949</v>
      </c>
    </row>
    <row r="42" spans="1:19" x14ac:dyDescent="0.25">
      <c r="A42">
        <v>2.0108706571299999</v>
      </c>
      <c r="B42">
        <v>20.656833791099999</v>
      </c>
      <c r="C42">
        <v>10.5100460265</v>
      </c>
      <c r="D42" s="1"/>
      <c r="E42">
        <v>2.0108706571299999</v>
      </c>
      <c r="F42">
        <v>14.2601794416</v>
      </c>
      <c r="G42">
        <v>4.1627071867499996</v>
      </c>
      <c r="H42" s="1"/>
      <c r="I42">
        <v>2.0108706571299999</v>
      </c>
      <c r="J42">
        <v>11.697538445699999</v>
      </c>
      <c r="K42">
        <v>2.3322538069599998</v>
      </c>
      <c r="M42">
        <v>2.0108706571299999</v>
      </c>
      <c r="N42">
        <v>10.5240834149</v>
      </c>
      <c r="O42">
        <v>1.6637702249999999</v>
      </c>
      <c r="P42" s="1"/>
      <c r="Q42">
        <v>3.9649317713599997E-4</v>
      </c>
      <c r="R42">
        <v>11.469269044700001</v>
      </c>
      <c r="S42">
        <v>2.1286799896500002</v>
      </c>
    </row>
    <row r="43" spans="1:19" x14ac:dyDescent="0.25">
      <c r="A43">
        <v>2.8906272935300001</v>
      </c>
      <c r="B43">
        <v>22.506208301800001</v>
      </c>
      <c r="C43">
        <v>12.3584757465</v>
      </c>
      <c r="D43" s="1"/>
      <c r="E43">
        <v>2.8906272935300001</v>
      </c>
      <c r="F43">
        <v>14.935963662200001</v>
      </c>
      <c r="G43">
        <v>4.9645231586099996</v>
      </c>
      <c r="H43" s="1"/>
      <c r="I43">
        <v>2.8906272935300001</v>
      </c>
      <c r="J43">
        <v>12.203787500700001</v>
      </c>
      <c r="K43">
        <v>2.7400149518200001</v>
      </c>
      <c r="M43">
        <v>2.8906272935300001</v>
      </c>
      <c r="N43">
        <v>10.855469121600001</v>
      </c>
      <c r="O43">
        <v>1.7326283067199999</v>
      </c>
      <c r="P43" s="1"/>
      <c r="Q43">
        <v>8.72277009415E-4</v>
      </c>
      <c r="R43">
        <v>12.569300157500001</v>
      </c>
      <c r="S43">
        <v>2.9879750307299999</v>
      </c>
    </row>
    <row r="44" spans="1:19" x14ac:dyDescent="0.25">
      <c r="A44">
        <v>4.2731022802299998</v>
      </c>
      <c r="B44">
        <v>24.6699997638</v>
      </c>
      <c r="C44">
        <v>15.241611514100001</v>
      </c>
      <c r="D44" s="1"/>
      <c r="E44">
        <v>4.2731022802299998</v>
      </c>
      <c r="F44">
        <v>15.9125625706</v>
      </c>
      <c r="G44">
        <v>6.2013945810999997</v>
      </c>
      <c r="H44" s="1"/>
      <c r="I44">
        <v>4.2731022802299998</v>
      </c>
      <c r="J44">
        <v>12.886849339599999</v>
      </c>
      <c r="K44">
        <v>3.1817955282899999</v>
      </c>
      <c r="M44">
        <v>4.2731022802299998</v>
      </c>
      <c r="N44">
        <v>11.176689634000001</v>
      </c>
      <c r="O44">
        <v>1.8897789363899999</v>
      </c>
      <c r="P44" s="1"/>
      <c r="Q44">
        <v>1.8238594084599999E-3</v>
      </c>
      <c r="R44">
        <v>13.907228468</v>
      </c>
      <c r="S44">
        <v>3.8399820713600001</v>
      </c>
    </row>
    <row r="45" spans="1:19" x14ac:dyDescent="0.25">
      <c r="A45">
        <v>6.2839708035299999</v>
      </c>
      <c r="B45">
        <v>27.585329399700001</v>
      </c>
      <c r="C45">
        <v>19.3072962946</v>
      </c>
      <c r="D45" s="1"/>
      <c r="E45">
        <v>6.2839708035299999</v>
      </c>
      <c r="F45">
        <v>17.3180619372</v>
      </c>
      <c r="G45">
        <v>7.6975681434099998</v>
      </c>
      <c r="H45" s="1"/>
      <c r="I45">
        <v>6.2839708035299999</v>
      </c>
      <c r="J45">
        <v>13.5949038776</v>
      </c>
      <c r="K45">
        <v>3.61074172451</v>
      </c>
      <c r="M45">
        <v>6.2839708035299999</v>
      </c>
      <c r="N45">
        <v>11.5296817455</v>
      </c>
      <c r="O45">
        <v>2.1826975038</v>
      </c>
      <c r="P45" s="1"/>
      <c r="Q45">
        <v>3.9649317713599998E-3</v>
      </c>
      <c r="R45">
        <v>15.4124515527</v>
      </c>
      <c r="S45">
        <v>5.5813168523799996</v>
      </c>
    </row>
    <row r="46" spans="1:19" x14ac:dyDescent="0.25">
      <c r="A46">
        <v>9.4259444096100005</v>
      </c>
      <c r="B46">
        <v>32.248871509899999</v>
      </c>
      <c r="C46">
        <v>24.634033389300001</v>
      </c>
      <c r="D46" s="1"/>
      <c r="E46">
        <v>9.4259444096100005</v>
      </c>
      <c r="F46">
        <v>19.2427917304</v>
      </c>
      <c r="G46">
        <v>9.3479080527100002</v>
      </c>
      <c r="H46" s="1"/>
      <c r="I46">
        <v>9.4259444096100005</v>
      </c>
      <c r="J46">
        <v>14.3019144113</v>
      </c>
      <c r="K46">
        <v>4.2060199571099997</v>
      </c>
      <c r="M46">
        <v>9.4259444096100005</v>
      </c>
      <c r="N46">
        <v>12.038321908</v>
      </c>
      <c r="O46">
        <v>2.6154711120999998</v>
      </c>
      <c r="P46" s="1"/>
      <c r="Q46">
        <v>8.52482854546E-3</v>
      </c>
      <c r="R46">
        <v>18.218459431300001</v>
      </c>
      <c r="S46">
        <v>8.5049900940600001</v>
      </c>
    </row>
    <row r="47" spans="1:19" x14ac:dyDescent="0.25">
      <c r="A47">
        <v>13.8247495735</v>
      </c>
      <c r="B47">
        <v>38.292375993</v>
      </c>
      <c r="C47">
        <v>29.938995226999999</v>
      </c>
      <c r="D47" s="1"/>
      <c r="E47">
        <v>13.8247495735</v>
      </c>
      <c r="F47">
        <v>21.205641466500001</v>
      </c>
      <c r="G47">
        <v>11.0022103622</v>
      </c>
      <c r="H47" s="1"/>
      <c r="I47">
        <v>13.8247495735</v>
      </c>
      <c r="J47">
        <v>15.028956234600001</v>
      </c>
      <c r="K47">
        <v>5.0849484227300001</v>
      </c>
      <c r="M47">
        <v>13.8247495735</v>
      </c>
      <c r="N47">
        <v>12.6754532497</v>
      </c>
      <c r="O47">
        <v>3.05441664153</v>
      </c>
      <c r="P47" s="1"/>
      <c r="Q47">
        <v>1.5784707063499999E-2</v>
      </c>
      <c r="R47">
        <v>21.338733939000001</v>
      </c>
      <c r="S47">
        <v>11.1274077764</v>
      </c>
    </row>
    <row r="48" spans="1:19" x14ac:dyDescent="0.25">
      <c r="A48">
        <v>20.108706571300001</v>
      </c>
      <c r="B48">
        <v>45.006995179500002</v>
      </c>
      <c r="C48">
        <v>35.145892325600002</v>
      </c>
      <c r="D48" s="1"/>
      <c r="E48">
        <v>20.108706571300001</v>
      </c>
      <c r="F48">
        <v>23.126210031700001</v>
      </c>
      <c r="G48">
        <v>13.117329696200001</v>
      </c>
      <c r="H48" s="1"/>
      <c r="I48">
        <v>20.108706571300001</v>
      </c>
      <c r="J48">
        <v>15.9982965426</v>
      </c>
      <c r="K48">
        <v>6.3031060243399999</v>
      </c>
      <c r="M48">
        <v>20.108706571300001</v>
      </c>
      <c r="N48">
        <v>13.366200494499999</v>
      </c>
      <c r="O48">
        <v>3.4649702198300001</v>
      </c>
      <c r="P48" s="1"/>
      <c r="Q48">
        <v>3.3937233130299997E-2</v>
      </c>
      <c r="R48">
        <v>25.634830496399999</v>
      </c>
      <c r="S48">
        <v>16.6277063235</v>
      </c>
    </row>
    <row r="49" spans="1:19" x14ac:dyDescent="0.25">
      <c r="A49">
        <v>28.906273068299999</v>
      </c>
      <c r="B49">
        <v>51.649537690999999</v>
      </c>
      <c r="C49">
        <v>41.1402609485</v>
      </c>
      <c r="D49" s="1"/>
      <c r="E49">
        <v>28.906273068299999</v>
      </c>
      <c r="F49">
        <v>25.261037236899998</v>
      </c>
      <c r="G49">
        <v>16.091838378399999</v>
      </c>
      <c r="H49" s="1"/>
      <c r="I49">
        <v>28.906273068299999</v>
      </c>
      <c r="J49">
        <v>17.340378292600001</v>
      </c>
      <c r="K49">
        <v>7.7187232798599998</v>
      </c>
      <c r="M49">
        <v>28.906273068299999</v>
      </c>
      <c r="N49">
        <v>14.009643801299999</v>
      </c>
      <c r="O49">
        <v>3.9259290129400002</v>
      </c>
      <c r="P49" s="1"/>
      <c r="Q49">
        <v>7.9108835613500003E-2</v>
      </c>
      <c r="R49">
        <v>35.2451575009</v>
      </c>
      <c r="S49">
        <v>27.4186391245</v>
      </c>
    </row>
    <row r="50" spans="1:19" x14ac:dyDescent="0.25">
      <c r="A50">
        <v>42.731022874899999</v>
      </c>
      <c r="B50">
        <v>59.704670137699999</v>
      </c>
      <c r="C50">
        <v>50.303507632699997</v>
      </c>
      <c r="D50" s="1"/>
      <c r="E50">
        <v>42.731022874899999</v>
      </c>
      <c r="F50">
        <v>28.524497122300001</v>
      </c>
      <c r="G50">
        <v>20.501538911299999</v>
      </c>
      <c r="H50" s="1"/>
      <c r="I50">
        <v>42.731022874899999</v>
      </c>
      <c r="J50">
        <v>19.1952090662</v>
      </c>
      <c r="K50">
        <v>9.3095844293599992</v>
      </c>
      <c r="M50">
        <v>42.731022874899999</v>
      </c>
      <c r="N50">
        <v>14.703718051999999</v>
      </c>
      <c r="O50">
        <v>4.6698379576300004</v>
      </c>
      <c r="P50" s="1"/>
      <c r="Q50">
        <v>0.17008873418699999</v>
      </c>
      <c r="R50">
        <v>48.795797667199999</v>
      </c>
      <c r="S50">
        <v>38.372992489700003</v>
      </c>
    </row>
    <row r="51" spans="1:19" x14ac:dyDescent="0.25">
      <c r="A51">
        <v>62.839708035299999</v>
      </c>
      <c r="B51">
        <v>70.869286813200006</v>
      </c>
      <c r="C51">
        <v>62.803834621199996</v>
      </c>
      <c r="D51" s="1"/>
      <c r="E51">
        <v>62.839708035299999</v>
      </c>
      <c r="F51">
        <v>33.346270238700001</v>
      </c>
      <c r="G51">
        <v>25.699312868</v>
      </c>
      <c r="H51" s="1"/>
      <c r="I51">
        <v>62.839708035299999</v>
      </c>
      <c r="J51">
        <v>21.171961431100002</v>
      </c>
      <c r="K51">
        <v>10.9707391301</v>
      </c>
      <c r="M51">
        <v>62.839708035299999</v>
      </c>
      <c r="N51">
        <v>15.5657889236</v>
      </c>
      <c r="O51">
        <v>5.7758905438800001</v>
      </c>
      <c r="P51" s="1"/>
      <c r="Q51">
        <v>0.36707205830700002</v>
      </c>
      <c r="R51">
        <v>65.6041894369</v>
      </c>
      <c r="S51">
        <v>57.171760246700003</v>
      </c>
    </row>
    <row r="52" spans="1:19" x14ac:dyDescent="0.25">
      <c r="A52">
        <v>91.745841830399996</v>
      </c>
      <c r="B52">
        <v>87.418239681800003</v>
      </c>
      <c r="C52">
        <v>76.900462189600006</v>
      </c>
      <c r="D52" s="1"/>
      <c r="E52">
        <v>91.745841830399996</v>
      </c>
      <c r="F52">
        <v>39.555179423799999</v>
      </c>
      <c r="G52">
        <v>30.927805100099999</v>
      </c>
      <c r="H52" s="1"/>
      <c r="I52">
        <v>91.745841830399996</v>
      </c>
      <c r="J52">
        <v>23.1105426558</v>
      </c>
      <c r="K52">
        <v>13.0972976782</v>
      </c>
      <c r="M52">
        <v>91.745841830399996</v>
      </c>
      <c r="N52">
        <v>16.7926519146</v>
      </c>
      <c r="O52">
        <v>7.1784248452900004</v>
      </c>
      <c r="P52" s="1"/>
      <c r="Q52">
        <v>0.53795132409799995</v>
      </c>
      <c r="R52">
        <v>79.723643388799999</v>
      </c>
      <c r="S52">
        <v>70.985641975500002</v>
      </c>
    </row>
    <row r="53" spans="1:19" x14ac:dyDescent="0.25">
      <c r="A53">
        <v>135.10502062099999</v>
      </c>
      <c r="B53">
        <v>110.350871156</v>
      </c>
      <c r="C53">
        <v>89.567875387599997</v>
      </c>
      <c r="D53" s="1"/>
      <c r="E53">
        <v>135.10502062099999</v>
      </c>
      <c r="F53">
        <v>46.542250000199999</v>
      </c>
      <c r="G53">
        <v>36.402542378500002</v>
      </c>
      <c r="H53" s="1"/>
      <c r="I53">
        <v>135.10502062099999</v>
      </c>
      <c r="J53">
        <v>25.4058017318</v>
      </c>
      <c r="K53">
        <v>16.299728914599999</v>
      </c>
      <c r="M53">
        <v>135.10502062099999</v>
      </c>
      <c r="N53">
        <v>18.504754678899999</v>
      </c>
      <c r="O53">
        <v>8.7459977995500005</v>
      </c>
      <c r="P53" s="1"/>
      <c r="Q53">
        <v>0.87227700941499997</v>
      </c>
      <c r="R53">
        <v>106.380270217</v>
      </c>
      <c r="S53">
        <v>87.804128120100003</v>
      </c>
    </row>
    <row r="54" spans="1:19" x14ac:dyDescent="0.25">
      <c r="A54">
        <v>198.57390993999999</v>
      </c>
      <c r="B54">
        <v>135.56029156599999</v>
      </c>
      <c r="C54">
        <v>98.066596048400001</v>
      </c>
      <c r="D54" s="1"/>
      <c r="E54">
        <v>198.57390993999999</v>
      </c>
      <c r="F54">
        <v>53.682791258800002</v>
      </c>
      <c r="G54">
        <v>43.302625269700002</v>
      </c>
      <c r="H54" s="1"/>
      <c r="I54">
        <v>198.57390993999999</v>
      </c>
      <c r="J54">
        <v>28.684383223699999</v>
      </c>
      <c r="K54">
        <v>20.698425802999999</v>
      </c>
      <c r="M54">
        <v>198.57390993999999</v>
      </c>
      <c r="N54">
        <v>20.4604749447</v>
      </c>
      <c r="O54">
        <v>10.3420131996</v>
      </c>
      <c r="P54" s="1"/>
      <c r="Q54">
        <v>1.3824749596300001</v>
      </c>
      <c r="R54">
        <v>136.41804669800001</v>
      </c>
      <c r="S54">
        <v>98.305230672199997</v>
      </c>
    </row>
    <row r="55" spans="1:19" x14ac:dyDescent="0.25">
      <c r="A55">
        <v>291.57624761699998</v>
      </c>
      <c r="B55">
        <v>158.90263377799999</v>
      </c>
      <c r="C55">
        <v>105.092155463</v>
      </c>
      <c r="D55" s="1"/>
      <c r="E55">
        <v>291.57624761699998</v>
      </c>
      <c r="F55">
        <v>62.174597634900003</v>
      </c>
      <c r="G55">
        <v>53.228371659799997</v>
      </c>
      <c r="H55" s="1"/>
      <c r="I55">
        <v>291.57624761699998</v>
      </c>
      <c r="J55">
        <v>33.550718998100002</v>
      </c>
      <c r="K55">
        <v>25.891236348</v>
      </c>
      <c r="M55">
        <v>291.57624761699998</v>
      </c>
      <c r="N55">
        <v>22.4185548781</v>
      </c>
      <c r="O55">
        <v>12.2573185558</v>
      </c>
      <c r="P55" s="1"/>
      <c r="Q55">
        <v>2.31607356544</v>
      </c>
      <c r="R55">
        <v>167.19366796599999</v>
      </c>
      <c r="S55">
        <v>108.53177805599999</v>
      </c>
    </row>
    <row r="56" spans="1:19" x14ac:dyDescent="0.25">
      <c r="A56">
        <v>427.31020695400002</v>
      </c>
      <c r="B56">
        <v>180.85611819499999</v>
      </c>
      <c r="C56">
        <v>116.01056226199999</v>
      </c>
      <c r="D56" s="1"/>
      <c r="E56">
        <v>427.31020695400002</v>
      </c>
      <c r="F56">
        <v>74.488496946599994</v>
      </c>
      <c r="G56">
        <v>66.339551801400006</v>
      </c>
      <c r="H56" s="1"/>
      <c r="I56">
        <v>427.31020695400002</v>
      </c>
      <c r="J56">
        <v>39.866028451299997</v>
      </c>
      <c r="K56">
        <v>31.1681330037</v>
      </c>
      <c r="M56">
        <v>427.31020695400002</v>
      </c>
      <c r="N56">
        <v>24.511423434699999</v>
      </c>
      <c r="O56">
        <v>15.014662867</v>
      </c>
      <c r="P56" s="1"/>
      <c r="Q56">
        <v>4.2731022802299998</v>
      </c>
      <c r="R56">
        <v>206.307516789</v>
      </c>
      <c r="S56">
        <v>133.18151454299999</v>
      </c>
    </row>
    <row r="57" spans="1:19" x14ac:dyDescent="0.25">
      <c r="A57">
        <v>628.39708035299998</v>
      </c>
      <c r="B57">
        <v>207.097048476</v>
      </c>
      <c r="C57">
        <v>133.711647879</v>
      </c>
      <c r="D57" s="1"/>
      <c r="E57">
        <v>628.39708035299998</v>
      </c>
      <c r="F57">
        <v>93.048005814000007</v>
      </c>
      <c r="G57">
        <v>80.626839299599993</v>
      </c>
      <c r="H57" s="1"/>
      <c r="I57">
        <v>628.39708035299998</v>
      </c>
      <c r="J57">
        <v>46.836778987599999</v>
      </c>
      <c r="K57">
        <v>36.651154422200001</v>
      </c>
      <c r="M57">
        <v>628.39708035299998</v>
      </c>
      <c r="N57">
        <v>27.3518191</v>
      </c>
      <c r="O57">
        <v>19.000050133199998</v>
      </c>
      <c r="P57" s="1"/>
      <c r="Q57">
        <v>9.4259444096100005</v>
      </c>
      <c r="R57">
        <v>292.79667057900002</v>
      </c>
      <c r="S57">
        <v>171.20570322099999</v>
      </c>
    </row>
    <row r="58" spans="1:19" x14ac:dyDescent="0.25">
      <c r="P58" s="1"/>
      <c r="Q58">
        <v>20.108706571300001</v>
      </c>
      <c r="R58">
        <v>386.97904188299998</v>
      </c>
      <c r="S58">
        <v>174.19868334099999</v>
      </c>
    </row>
    <row r="59" spans="1:19" x14ac:dyDescent="0.25">
      <c r="P59" s="1"/>
      <c r="Q59">
        <v>42.731022874899999</v>
      </c>
      <c r="R59">
        <v>460.70737288599997</v>
      </c>
      <c r="S59">
        <v>186.45715566499999</v>
      </c>
    </row>
    <row r="60" spans="1:19" x14ac:dyDescent="0.25">
      <c r="P60" s="1"/>
      <c r="Q60">
        <v>115.0783928</v>
      </c>
      <c r="R60">
        <v>605.10932800299997</v>
      </c>
      <c r="S60">
        <v>216.65103363599999</v>
      </c>
    </row>
    <row r="61" spans="1:19" x14ac:dyDescent="0.25">
      <c r="P61" s="1"/>
      <c r="Q61">
        <v>198.57390993999999</v>
      </c>
      <c r="R61">
        <v>685.56375417699996</v>
      </c>
      <c r="S61">
        <v>204.47354887899999</v>
      </c>
    </row>
    <row r="62" spans="1:19" x14ac:dyDescent="0.25">
      <c r="P62" s="1"/>
      <c r="Q62">
        <v>375.25371250500001</v>
      </c>
      <c r="R62">
        <v>754.81956163799998</v>
      </c>
      <c r="S62">
        <v>198.208218585</v>
      </c>
    </row>
    <row r="63" spans="1:19" x14ac:dyDescent="0.25">
      <c r="P63" s="1"/>
      <c r="Q63">
        <v>800.515906288</v>
      </c>
      <c r="R63">
        <v>852.81401842100001</v>
      </c>
      <c r="S63">
        <v>218.51449932200001</v>
      </c>
    </row>
    <row r="64" spans="1:19" x14ac:dyDescent="0.25">
      <c r="P64" s="1"/>
      <c r="Q64">
        <v>1701.12942056</v>
      </c>
      <c r="R64">
        <v>970.42413133000002</v>
      </c>
      <c r="S64">
        <v>213.45125236199999</v>
      </c>
    </row>
    <row r="65" spans="16:19" x14ac:dyDescent="0.25">
      <c r="P65" s="1"/>
      <c r="Q65">
        <v>3494.0749328100001</v>
      </c>
      <c r="R65">
        <v>1053.82180292</v>
      </c>
      <c r="S65">
        <v>206.14261900700001</v>
      </c>
    </row>
    <row r="66" spans="16:19" x14ac:dyDescent="0.25">
      <c r="P66" s="1"/>
      <c r="Q66">
        <v>7487.3584479700003</v>
      </c>
      <c r="R66">
        <v>1157.94618485</v>
      </c>
      <c r="S66">
        <v>229.59977616099999</v>
      </c>
    </row>
    <row r="67" spans="16:19" x14ac:dyDescent="0.25">
      <c r="P67" s="1"/>
      <c r="Q67">
        <v>15973.2185281</v>
      </c>
      <c r="R67">
        <v>1289.84762499</v>
      </c>
      <c r="S67">
        <v>220.05754114499999</v>
      </c>
    </row>
    <row r="68" spans="16:19" x14ac:dyDescent="0.25">
      <c r="P68" s="1"/>
      <c r="Q68">
        <v>33942.064701299998</v>
      </c>
      <c r="R68">
        <v>1380.23845538</v>
      </c>
      <c r="S68">
        <v>191.42468698600001</v>
      </c>
    </row>
    <row r="69" spans="16:19" x14ac:dyDescent="0.25">
      <c r="P69" s="1"/>
      <c r="Q69">
        <v>74873.361422600006</v>
      </c>
      <c r="R69">
        <v>1468.13040469</v>
      </c>
      <c r="S69">
        <v>195.904746316</v>
      </c>
    </row>
    <row r="70" spans="16:19" x14ac:dyDescent="0.25">
      <c r="P70" s="1"/>
      <c r="Q70">
        <v>159735.230893</v>
      </c>
      <c r="R70">
        <v>1570.3645728700001</v>
      </c>
      <c r="S70">
        <v>188.882896926</v>
      </c>
    </row>
    <row r="71" spans="16:19" x14ac:dyDescent="0.25">
      <c r="P71" s="1"/>
      <c r="Q71">
        <v>339448.15273799998</v>
      </c>
      <c r="R71">
        <v>1647.0531615899999</v>
      </c>
      <c r="S71">
        <v>179.20653330900001</v>
      </c>
    </row>
    <row r="72" spans="16:19" x14ac:dyDescent="0.25">
      <c r="P72" s="1"/>
      <c r="Q72">
        <v>728696.46937399998</v>
      </c>
      <c r="R72">
        <v>1737.43820865</v>
      </c>
      <c r="S72">
        <v>197.57605191600001</v>
      </c>
    </row>
    <row r="73" spans="16:19" x14ac:dyDescent="0.25">
      <c r="P73" s="1"/>
      <c r="Q73">
        <v>1576708.9854900001</v>
      </c>
      <c r="R73">
        <v>1855.6186881399999</v>
      </c>
      <c r="S73">
        <v>184.42514804699999</v>
      </c>
    </row>
    <row r="74" spans="16:19" x14ac:dyDescent="0.25">
      <c r="P74" s="1"/>
      <c r="Q74">
        <v>3391732.9593400001</v>
      </c>
      <c r="R74">
        <v>1931.6706405100001</v>
      </c>
      <c r="S74">
        <v>147.210321222</v>
      </c>
    </row>
    <row r="75" spans="16:19" x14ac:dyDescent="0.25">
      <c r="P75" s="1"/>
      <c r="Q75">
        <v>9413011.6961499993</v>
      </c>
      <c r="R75">
        <v>2009.44450871</v>
      </c>
      <c r="S75">
        <v>138.413521344</v>
      </c>
    </row>
    <row r="76" spans="16:19" x14ac:dyDescent="0.25">
      <c r="P76" s="1"/>
      <c r="Q76">
        <v>28888208.308899999</v>
      </c>
      <c r="R76">
        <v>2096.6129854400001</v>
      </c>
      <c r="S76">
        <v>140.65926467</v>
      </c>
    </row>
    <row r="77" spans="16:19" x14ac:dyDescent="0.25">
      <c r="P77" s="1"/>
      <c r="Q77">
        <v>93084226.773000002</v>
      </c>
      <c r="R77">
        <v>2229.0414223399998</v>
      </c>
      <c r="S77">
        <v>174.96071705099999</v>
      </c>
    </row>
    <row r="78" spans="16:19" x14ac:dyDescent="0.25">
      <c r="P78" s="1"/>
      <c r="Q78">
        <v>279252680.32099998</v>
      </c>
      <c r="R78">
        <v>2367.3485751600001</v>
      </c>
      <c r="S78">
        <v>102.180850773</v>
      </c>
    </row>
    <row r="79" spans="16:19" x14ac:dyDescent="0.25">
      <c r="P79" s="1"/>
      <c r="Q79">
        <v>628318530.722</v>
      </c>
      <c r="R79">
        <v>2392.5174401700001</v>
      </c>
      <c r="S79">
        <v>51.342276924899998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9"/>
  <sheetViews>
    <sheetView zoomScale="90" zoomScaleNormal="90" workbookViewId="0">
      <selection activeCell="O39" sqref="O39"/>
    </sheetView>
  </sheetViews>
  <sheetFormatPr defaultRowHeight="15" x14ac:dyDescent="0.25"/>
  <cols>
    <col min="2" max="2" width="27.7109375" bestFit="1" customWidth="1"/>
    <col min="3" max="4" width="10.7109375" customWidth="1"/>
    <col min="5" max="5" width="3.7109375" customWidth="1"/>
    <col min="6" max="6" width="27.7109375" customWidth="1"/>
    <col min="7" max="8" width="10.7109375" customWidth="1"/>
    <col min="9" max="9" width="3.7109375" customWidth="1"/>
    <col min="10" max="10" width="27.7109375" customWidth="1"/>
    <col min="11" max="11" width="10.7109375" customWidth="1"/>
    <col min="12" max="12" width="12" bestFit="1" customWidth="1"/>
    <col min="13" max="13" width="3.7109375" customWidth="1"/>
    <col min="14" max="14" width="27.7109375" bestFit="1" customWidth="1"/>
    <col min="15" max="15" width="10.7109375" customWidth="1"/>
    <col min="16" max="16" width="12" bestFit="1" customWidth="1"/>
    <col min="17" max="17" width="3.7109375" customWidth="1"/>
    <col min="18" max="18" width="27.7109375" customWidth="1"/>
    <col min="19" max="20" width="10.7109375" customWidth="1"/>
    <col min="21" max="21" width="9" customWidth="1"/>
    <col min="22" max="24" width="12" bestFit="1" customWidth="1"/>
    <col min="26" max="26" width="29.85546875" bestFit="1" customWidth="1"/>
    <col min="27" max="27" width="9" customWidth="1"/>
    <col min="28" max="30" width="12" bestFit="1" customWidth="1"/>
  </cols>
  <sheetData>
    <row r="1" spans="1:20" x14ac:dyDescent="0.25">
      <c r="B1" t="s">
        <v>195</v>
      </c>
    </row>
    <row r="2" spans="1:20" x14ac:dyDescent="0.25">
      <c r="B2" t="s">
        <v>194</v>
      </c>
    </row>
    <row r="5" spans="1:20" x14ac:dyDescent="0.25">
      <c r="B5" t="s">
        <v>107</v>
      </c>
      <c r="F5" t="s">
        <v>110</v>
      </c>
      <c r="J5" t="s">
        <v>111</v>
      </c>
      <c r="N5" t="s">
        <v>112</v>
      </c>
      <c r="R5" t="s">
        <v>113</v>
      </c>
    </row>
    <row r="6" spans="1:20" x14ac:dyDescent="0.25">
      <c r="B6" t="s">
        <v>119</v>
      </c>
      <c r="F6" t="s">
        <v>119</v>
      </c>
      <c r="J6" t="s">
        <v>119</v>
      </c>
      <c r="N6" t="s">
        <v>119</v>
      </c>
      <c r="R6" t="s">
        <v>119</v>
      </c>
    </row>
    <row r="7" spans="1:20" x14ac:dyDescent="0.25">
      <c r="B7" t="s">
        <v>120</v>
      </c>
      <c r="C7" t="s">
        <v>108</v>
      </c>
      <c r="F7" t="s">
        <v>120</v>
      </c>
      <c r="G7" t="s">
        <v>108</v>
      </c>
      <c r="J7" t="s">
        <v>120</v>
      </c>
      <c r="K7" t="s">
        <v>108</v>
      </c>
      <c r="N7" t="s">
        <v>120</v>
      </c>
      <c r="O7" t="s">
        <v>108</v>
      </c>
      <c r="R7" t="s">
        <v>120</v>
      </c>
      <c r="S7" t="s">
        <v>108</v>
      </c>
    </row>
    <row r="8" spans="1:20" x14ac:dyDescent="0.25">
      <c r="B8" t="s">
        <v>121</v>
      </c>
      <c r="C8" t="s">
        <v>109</v>
      </c>
      <c r="F8" t="s">
        <v>121</v>
      </c>
      <c r="G8" t="s">
        <v>109</v>
      </c>
      <c r="J8" t="s">
        <v>121</v>
      </c>
      <c r="K8" t="s">
        <v>109</v>
      </c>
      <c r="N8" t="s">
        <v>121</v>
      </c>
      <c r="O8" t="s">
        <v>109</v>
      </c>
      <c r="R8" t="s">
        <v>121</v>
      </c>
      <c r="S8" t="s">
        <v>109</v>
      </c>
    </row>
    <row r="9" spans="1:20" x14ac:dyDescent="0.25">
      <c r="A9">
        <v>9.9999990000000007E-3</v>
      </c>
      <c r="B9">
        <v>6.2839708035299993E-2</v>
      </c>
      <c r="C9">
        <v>1567.1402752399999</v>
      </c>
      <c r="D9">
        <v>189.552356635</v>
      </c>
      <c r="E9" s="1"/>
      <c r="F9">
        <v>6.2839708035299993E-2</v>
      </c>
      <c r="G9">
        <v>704.69719574700002</v>
      </c>
      <c r="H9">
        <v>200.457628615</v>
      </c>
      <c r="I9" s="1"/>
      <c r="J9">
        <v>0.62839708035300001</v>
      </c>
      <c r="K9">
        <v>394.10447898500001</v>
      </c>
      <c r="L9">
        <v>173.981226835</v>
      </c>
      <c r="N9">
        <v>0.62839708035300001</v>
      </c>
      <c r="O9">
        <v>87.270511650100005</v>
      </c>
      <c r="P9">
        <v>76.796208495000002</v>
      </c>
      <c r="R9">
        <v>0.62839708035300001</v>
      </c>
      <c r="S9">
        <v>26.843155754800001</v>
      </c>
      <c r="T9">
        <v>18.317002966</v>
      </c>
    </row>
    <row r="10" spans="1:20" x14ac:dyDescent="0.25">
      <c r="A10">
        <v>0.02</v>
      </c>
      <c r="B10">
        <v>0.125679416071</v>
      </c>
      <c r="C10">
        <v>1638.8715213200001</v>
      </c>
      <c r="D10">
        <v>178.59889801700001</v>
      </c>
      <c r="E10" s="1"/>
      <c r="F10">
        <v>0.125679416071</v>
      </c>
      <c r="G10">
        <v>778.74523622699996</v>
      </c>
      <c r="H10">
        <v>202.716453229</v>
      </c>
      <c r="I10" s="1"/>
      <c r="J10">
        <v>0.94259444202099996</v>
      </c>
      <c r="K10">
        <v>432.82720955600001</v>
      </c>
      <c r="L10">
        <v>177.695734246</v>
      </c>
      <c r="N10">
        <v>0.94259444202099996</v>
      </c>
      <c r="O10">
        <v>111.355483882</v>
      </c>
      <c r="P10">
        <v>89.988825647400006</v>
      </c>
      <c r="R10">
        <v>0.94259444202099996</v>
      </c>
      <c r="S10">
        <v>31.120937764200001</v>
      </c>
      <c r="T10">
        <v>23.474178668499999</v>
      </c>
    </row>
    <row r="11" spans="1:20" x14ac:dyDescent="0.25">
      <c r="A11">
        <v>0.03</v>
      </c>
      <c r="B11">
        <v>0.188519595511</v>
      </c>
      <c r="C11">
        <v>1679.4423414800001</v>
      </c>
      <c r="D11">
        <v>185.48431253000001</v>
      </c>
      <c r="E11" s="1"/>
      <c r="F11">
        <v>0.188519595511</v>
      </c>
      <c r="G11">
        <v>832.24672055400004</v>
      </c>
      <c r="H11">
        <v>215.149681294</v>
      </c>
      <c r="I11" s="1"/>
      <c r="J11">
        <v>1.3824749596300001</v>
      </c>
      <c r="K11">
        <v>472.28777554499999</v>
      </c>
      <c r="L11">
        <v>190.77261775900001</v>
      </c>
      <c r="N11">
        <v>1.3824749596300001</v>
      </c>
      <c r="O11">
        <v>136.41804669800001</v>
      </c>
      <c r="P11">
        <v>98.305230672199997</v>
      </c>
      <c r="R11">
        <v>1.3824749596300001</v>
      </c>
      <c r="S11">
        <v>36.8550399668</v>
      </c>
      <c r="T11">
        <v>28.779438033000002</v>
      </c>
    </row>
    <row r="12" spans="1:20" x14ac:dyDescent="0.25">
      <c r="A12">
        <v>0.05</v>
      </c>
      <c r="B12">
        <v>0.314198540177</v>
      </c>
      <c r="C12">
        <v>1747.2604798100001</v>
      </c>
      <c r="D12">
        <v>198.690805883</v>
      </c>
      <c r="E12" s="1"/>
      <c r="F12">
        <v>0.314198540177</v>
      </c>
      <c r="G12">
        <v>913.69911582600002</v>
      </c>
      <c r="H12">
        <v>220.88940954200001</v>
      </c>
      <c r="I12" s="1"/>
      <c r="J12">
        <v>2.0108706571299999</v>
      </c>
      <c r="K12">
        <v>521.91241219100004</v>
      </c>
      <c r="L12">
        <v>207.23037921700001</v>
      </c>
      <c r="N12">
        <v>2.0108706571299999</v>
      </c>
      <c r="O12">
        <v>159.14082188200001</v>
      </c>
      <c r="P12">
        <v>105.179466203</v>
      </c>
      <c r="R12">
        <v>2.0108706571299999</v>
      </c>
      <c r="S12">
        <v>43.475672526899999</v>
      </c>
      <c r="T12">
        <v>33.940127522799997</v>
      </c>
    </row>
    <row r="13" spans="1:20" x14ac:dyDescent="0.25">
      <c r="A13">
        <v>7.0000000000000007E-2</v>
      </c>
      <c r="B13">
        <v>0.43987762631999999</v>
      </c>
      <c r="C13">
        <v>1800.4928731</v>
      </c>
      <c r="D13">
        <v>198.052490377</v>
      </c>
      <c r="E13" s="1"/>
      <c r="F13">
        <v>0.43987762631999999</v>
      </c>
      <c r="G13">
        <v>964.74870891499995</v>
      </c>
      <c r="H13">
        <v>214.49548580300001</v>
      </c>
      <c r="I13" s="1"/>
      <c r="J13">
        <v>2.8906272935300001</v>
      </c>
      <c r="K13">
        <v>580.25222866000001</v>
      </c>
      <c r="L13">
        <v>216.457658963</v>
      </c>
      <c r="N13">
        <v>2.8906272935300001</v>
      </c>
      <c r="O13">
        <v>179.95154921400001</v>
      </c>
      <c r="P13">
        <v>115.45061634699999</v>
      </c>
      <c r="R13">
        <v>2.8906272935300001</v>
      </c>
      <c r="S13">
        <v>50.086677362000003</v>
      </c>
      <c r="T13">
        <v>39.584552255600002</v>
      </c>
    </row>
    <row r="14" spans="1:20" x14ac:dyDescent="0.25">
      <c r="A14">
        <v>0.1</v>
      </c>
      <c r="B14">
        <v>0.62839708035300001</v>
      </c>
      <c r="C14">
        <v>1853.7847218300001</v>
      </c>
      <c r="D14">
        <v>185.12264920999999</v>
      </c>
      <c r="E14" s="1"/>
      <c r="F14">
        <v>0.62839708035300001</v>
      </c>
      <c r="G14">
        <v>1009.77267581</v>
      </c>
      <c r="H14">
        <v>206.421678609</v>
      </c>
      <c r="I14" s="1"/>
      <c r="J14">
        <v>4.2731022802299998</v>
      </c>
      <c r="K14">
        <v>643.58557129799999</v>
      </c>
      <c r="L14">
        <v>212.858423652</v>
      </c>
      <c r="N14">
        <v>4.2731022802299998</v>
      </c>
      <c r="O14">
        <v>206.307516789</v>
      </c>
      <c r="P14">
        <v>133.18151454299999</v>
      </c>
      <c r="R14">
        <v>4.2731022802299998</v>
      </c>
      <c r="S14">
        <v>57.789823584300002</v>
      </c>
      <c r="T14">
        <v>48.026284031599999</v>
      </c>
    </row>
    <row r="15" spans="1:20" x14ac:dyDescent="0.25">
      <c r="A15">
        <v>0.15</v>
      </c>
      <c r="B15">
        <v>0.94259444202099996</v>
      </c>
      <c r="C15">
        <v>1900.5893356399999</v>
      </c>
      <c r="D15">
        <v>163.33730370500001</v>
      </c>
      <c r="E15" s="1"/>
      <c r="F15">
        <v>0.94259444202099996</v>
      </c>
      <c r="G15">
        <v>1053.96399677</v>
      </c>
      <c r="H15">
        <v>206.162783112</v>
      </c>
      <c r="I15" s="1"/>
      <c r="J15">
        <v>6.2839708035299999</v>
      </c>
      <c r="K15">
        <v>695.52034936300004</v>
      </c>
      <c r="L15">
        <v>202.30388578899999</v>
      </c>
      <c r="N15">
        <v>6.2839708035299999</v>
      </c>
      <c r="O15">
        <v>242.54866569399999</v>
      </c>
      <c r="P15">
        <v>154.31567332899999</v>
      </c>
      <c r="R15">
        <v>6.2839708035299999</v>
      </c>
      <c r="S15">
        <v>68.008661516800004</v>
      </c>
      <c r="T15">
        <v>59.813402435900002</v>
      </c>
    </row>
    <row r="16" spans="1:20" x14ac:dyDescent="0.25">
      <c r="A16">
        <v>0.22</v>
      </c>
      <c r="B16">
        <v>1.3824749596300001</v>
      </c>
      <c r="C16">
        <v>1932.28640367</v>
      </c>
      <c r="D16">
        <v>146.94600479499999</v>
      </c>
      <c r="E16" s="1"/>
      <c r="F16">
        <v>1.3824749596300001</v>
      </c>
      <c r="G16">
        <v>1100.03977461</v>
      </c>
      <c r="H16">
        <v>216.851666037</v>
      </c>
      <c r="I16" s="1"/>
      <c r="J16">
        <v>9.4259444096100005</v>
      </c>
      <c r="K16">
        <v>739.36819134899997</v>
      </c>
      <c r="L16">
        <v>197.047691775</v>
      </c>
      <c r="N16">
        <v>9.4259444096100005</v>
      </c>
      <c r="O16">
        <v>292.79667057900002</v>
      </c>
      <c r="P16">
        <v>171.20570322099999</v>
      </c>
      <c r="R16">
        <v>9.4259444096100005</v>
      </c>
      <c r="S16">
        <v>84.500443098299996</v>
      </c>
      <c r="T16">
        <v>74.774983645099994</v>
      </c>
    </row>
    <row r="17" spans="1:20" x14ac:dyDescent="0.25">
      <c r="A17">
        <v>0.32</v>
      </c>
      <c r="B17">
        <v>2.0108706571299999</v>
      </c>
      <c r="C17">
        <v>1958.80977478</v>
      </c>
      <c r="D17">
        <v>139.53880174899999</v>
      </c>
      <c r="E17" s="1"/>
      <c r="F17">
        <v>2.0108706571299999</v>
      </c>
      <c r="G17">
        <v>1157.4212023499999</v>
      </c>
      <c r="H17">
        <v>229.52761819099999</v>
      </c>
      <c r="I17" s="1"/>
      <c r="J17">
        <v>13.8247495735</v>
      </c>
      <c r="K17">
        <v>780.64120136199995</v>
      </c>
      <c r="L17">
        <v>203.159655039</v>
      </c>
      <c r="N17">
        <v>13.8247495735</v>
      </c>
      <c r="O17">
        <v>343.54600763600001</v>
      </c>
      <c r="P17">
        <v>175.930239884</v>
      </c>
      <c r="R17">
        <v>13.8247495735</v>
      </c>
      <c r="S17">
        <v>106.418797814</v>
      </c>
      <c r="T17">
        <v>87.821969061900006</v>
      </c>
    </row>
    <row r="18" spans="1:20" x14ac:dyDescent="0.25">
      <c r="A18">
        <v>0.46</v>
      </c>
      <c r="B18">
        <v>2.8906272935300001</v>
      </c>
      <c r="C18">
        <v>1986.3397068500001</v>
      </c>
      <c r="D18">
        <v>138.395898593</v>
      </c>
      <c r="E18" s="1"/>
      <c r="F18">
        <v>2.8906272935300001</v>
      </c>
      <c r="G18">
        <v>1222.17987924</v>
      </c>
      <c r="H18">
        <v>232.33191374099999</v>
      </c>
      <c r="I18" s="1"/>
      <c r="J18">
        <v>20.108706571300001</v>
      </c>
      <c r="K18">
        <v>830.11210054900005</v>
      </c>
      <c r="L18">
        <v>214.739019824</v>
      </c>
      <c r="N18">
        <v>20.108706571300001</v>
      </c>
      <c r="O18">
        <v>386.97904188299998</v>
      </c>
      <c r="P18">
        <v>174.19868334099999</v>
      </c>
      <c r="R18">
        <v>20.108706571300001</v>
      </c>
      <c r="S18">
        <v>130.91805110600001</v>
      </c>
      <c r="T18">
        <v>96.743434014299993</v>
      </c>
    </row>
    <row r="19" spans="1:20" x14ac:dyDescent="0.25">
      <c r="A19">
        <v>0.68</v>
      </c>
      <c r="B19">
        <v>4.2731022802299998</v>
      </c>
      <c r="C19">
        <v>2019.3987530500001</v>
      </c>
      <c r="D19">
        <v>138.190466289</v>
      </c>
      <c r="E19" s="1"/>
      <c r="F19">
        <v>4.2731022802299998</v>
      </c>
      <c r="G19">
        <v>1288.77386563</v>
      </c>
      <c r="H19">
        <v>220.374686892</v>
      </c>
      <c r="I19" s="1"/>
      <c r="J19">
        <v>28.906273068299999</v>
      </c>
      <c r="K19">
        <v>887.25848513899996</v>
      </c>
      <c r="L19">
        <v>221.296323462</v>
      </c>
      <c r="N19">
        <v>28.906273068299999</v>
      </c>
      <c r="O19">
        <v>422.33000951899999</v>
      </c>
      <c r="P19">
        <v>175.629317517</v>
      </c>
      <c r="R19">
        <v>28.906273068299999</v>
      </c>
      <c r="S19">
        <v>153.48908448200001</v>
      </c>
      <c r="T19">
        <v>103.225721514</v>
      </c>
    </row>
    <row r="20" spans="1:20" x14ac:dyDescent="0.25">
      <c r="A20">
        <v>1</v>
      </c>
      <c r="B20">
        <v>6.2839708035299999</v>
      </c>
      <c r="C20">
        <v>2051.4398046599999</v>
      </c>
      <c r="D20">
        <v>136.47493492500001</v>
      </c>
      <c r="E20" s="1"/>
      <c r="F20">
        <v>6.2839708035299999</v>
      </c>
      <c r="G20">
        <v>1340.7388876099999</v>
      </c>
      <c r="H20">
        <v>202.577035252</v>
      </c>
      <c r="I20" s="1"/>
      <c r="J20">
        <v>42.731022874899999</v>
      </c>
      <c r="K20">
        <v>949.18109698199999</v>
      </c>
      <c r="L20">
        <v>217.101946849</v>
      </c>
      <c r="N20">
        <v>42.731022874899999</v>
      </c>
      <c r="O20">
        <v>460.70737288599997</v>
      </c>
      <c r="P20">
        <v>186.45715566499999</v>
      </c>
      <c r="R20">
        <v>42.731022874899999</v>
      </c>
      <c r="S20">
        <v>175.900264405</v>
      </c>
      <c r="T20">
        <v>113.049277754</v>
      </c>
    </row>
    <row r="21" spans="1:20" x14ac:dyDescent="0.25">
      <c r="A21">
        <v>1.5</v>
      </c>
      <c r="B21">
        <v>9.4259444096100005</v>
      </c>
      <c r="C21">
        <v>2081.31150127</v>
      </c>
      <c r="D21">
        <v>137.179289724</v>
      </c>
      <c r="E21" s="1"/>
      <c r="F21">
        <v>9.4259444096100005</v>
      </c>
      <c r="G21">
        <v>1383.22339678</v>
      </c>
      <c r="H21">
        <v>190.98653598999999</v>
      </c>
      <c r="I21" s="1"/>
      <c r="J21">
        <v>62.839708035299999</v>
      </c>
      <c r="K21">
        <v>1000.5648058100001</v>
      </c>
      <c r="L21">
        <v>207.83402006200001</v>
      </c>
      <c r="N21">
        <v>62.839708035299999</v>
      </c>
      <c r="O21">
        <v>508.39493525300003</v>
      </c>
      <c r="P21">
        <v>203.383965875</v>
      </c>
      <c r="R21">
        <v>62.839708035299999</v>
      </c>
      <c r="S21">
        <v>200.66394892400001</v>
      </c>
      <c r="T21">
        <v>129.33449432899999</v>
      </c>
    </row>
    <row r="22" spans="1:20" x14ac:dyDescent="0.25">
      <c r="A22">
        <v>2.2000000000000002</v>
      </c>
      <c r="B22">
        <v>13.8247495735</v>
      </c>
      <c r="C22">
        <v>2109.5376861300001</v>
      </c>
      <c r="D22">
        <v>145.251925919</v>
      </c>
      <c r="E22" s="1"/>
      <c r="F22">
        <v>13.8247495735</v>
      </c>
      <c r="G22">
        <v>1422.3450990399999</v>
      </c>
      <c r="H22">
        <v>191.00292567599999</v>
      </c>
      <c r="I22" s="1"/>
      <c r="J22">
        <v>91.745841830399996</v>
      </c>
      <c r="K22">
        <v>1042.4913582700001</v>
      </c>
      <c r="L22">
        <v>204.96388928299999</v>
      </c>
      <c r="N22">
        <v>91.745841830399996</v>
      </c>
      <c r="O22">
        <v>567.32870443399997</v>
      </c>
      <c r="P22">
        <v>215.47890930599999</v>
      </c>
      <c r="R22">
        <v>91.745841830399996</v>
      </c>
      <c r="S22">
        <v>233.857649243</v>
      </c>
      <c r="T22">
        <v>149.93314885000001</v>
      </c>
    </row>
    <row r="23" spans="1:20" x14ac:dyDescent="0.25">
      <c r="A23">
        <v>3.2</v>
      </c>
      <c r="B23">
        <v>20.108706571300001</v>
      </c>
      <c r="C23">
        <v>2144.7059696699998</v>
      </c>
      <c r="D23">
        <v>159.677620932</v>
      </c>
      <c r="E23" s="1"/>
      <c r="F23">
        <v>20.108706571300001</v>
      </c>
      <c r="G23">
        <v>1467.72267306</v>
      </c>
      <c r="H23">
        <v>195.87545674399999</v>
      </c>
      <c r="I23" s="1"/>
      <c r="J23">
        <v>135.10502062099999</v>
      </c>
      <c r="K23">
        <v>1086.7279731399999</v>
      </c>
      <c r="L23">
        <v>213.28174732599999</v>
      </c>
      <c r="N23">
        <v>135.10502062099999</v>
      </c>
      <c r="O23">
        <v>631.05371960399998</v>
      </c>
      <c r="P23">
        <v>214.60537750099999</v>
      </c>
      <c r="R23">
        <v>135.10502062099999</v>
      </c>
      <c r="S23">
        <v>279.61037229099998</v>
      </c>
      <c r="T23">
        <v>168.092214544</v>
      </c>
    </row>
    <row r="24" spans="1:20" x14ac:dyDescent="0.25">
      <c r="A24">
        <v>4.5999999999999996</v>
      </c>
      <c r="B24">
        <v>28.906273068299999</v>
      </c>
      <c r="C24">
        <v>2191.1471908799999</v>
      </c>
      <c r="D24">
        <v>172.491483039</v>
      </c>
      <c r="E24" s="1"/>
      <c r="F24">
        <v>28.906273068299999</v>
      </c>
      <c r="G24">
        <v>1517.7624858199999</v>
      </c>
      <c r="H24">
        <v>196.47010138799999</v>
      </c>
      <c r="I24" s="1"/>
      <c r="J24">
        <v>198.57390993999999</v>
      </c>
      <c r="K24">
        <v>1142.1852911599999</v>
      </c>
      <c r="L24">
        <v>226.922750444</v>
      </c>
      <c r="N24">
        <v>198.57390993999999</v>
      </c>
      <c r="O24">
        <v>685.56375417699996</v>
      </c>
      <c r="P24">
        <v>204.47354887899999</v>
      </c>
      <c r="R24">
        <v>198.57390993999999</v>
      </c>
      <c r="S24">
        <v>330.93765333699997</v>
      </c>
      <c r="T24">
        <v>175.70633571499999</v>
      </c>
    </row>
    <row r="25" spans="1:20" x14ac:dyDescent="0.25">
      <c r="A25">
        <v>6.8</v>
      </c>
      <c r="B25">
        <v>42.731022874899999</v>
      </c>
      <c r="C25">
        <v>2251.60313219</v>
      </c>
      <c r="D25">
        <v>172.82982922900001</v>
      </c>
      <c r="E25" s="1"/>
      <c r="F25">
        <v>42.731022874899999</v>
      </c>
      <c r="G25">
        <v>1569.5044532700001</v>
      </c>
      <c r="H25">
        <v>189.06206976300001</v>
      </c>
      <c r="I25" s="1"/>
      <c r="J25">
        <v>291.57624761699998</v>
      </c>
      <c r="K25">
        <v>1209.38400138</v>
      </c>
      <c r="L25">
        <v>232.888193669</v>
      </c>
      <c r="N25">
        <v>291.57624761699998</v>
      </c>
      <c r="O25">
        <v>728.73518228800003</v>
      </c>
      <c r="P25">
        <v>197.27503671700001</v>
      </c>
      <c r="R25">
        <v>291.57624761699998</v>
      </c>
      <c r="S25">
        <v>377.49542172100001</v>
      </c>
      <c r="T25">
        <v>174.65305255499999</v>
      </c>
    </row>
    <row r="26" spans="1:20" x14ac:dyDescent="0.25">
      <c r="A26">
        <v>10</v>
      </c>
      <c r="B26">
        <v>62.839708035299999</v>
      </c>
      <c r="C26">
        <v>2308.37101325</v>
      </c>
      <c r="D26">
        <v>153.80185357600001</v>
      </c>
      <c r="E26" s="1"/>
      <c r="F26">
        <v>62.839708035299999</v>
      </c>
      <c r="G26">
        <v>1611.6270019599999</v>
      </c>
      <c r="H26">
        <v>180.383879527</v>
      </c>
      <c r="I26" s="1"/>
      <c r="J26">
        <v>427.31020695400002</v>
      </c>
      <c r="K26">
        <v>1276.2391432700001</v>
      </c>
      <c r="L26">
        <v>223.74298773199999</v>
      </c>
      <c r="N26">
        <v>427.31020695400002</v>
      </c>
      <c r="O26">
        <v>768.80165529800001</v>
      </c>
      <c r="P26">
        <v>200.550919233</v>
      </c>
      <c r="R26">
        <v>427.31020695400002</v>
      </c>
      <c r="S26">
        <v>415.86105789200002</v>
      </c>
      <c r="T26">
        <v>174.78016809900001</v>
      </c>
    </row>
    <row r="27" spans="1:20" x14ac:dyDescent="0.25">
      <c r="A27">
        <v>14.6</v>
      </c>
      <c r="B27">
        <v>91.745841830399996</v>
      </c>
      <c r="C27">
        <v>2349.3932596200002</v>
      </c>
      <c r="D27">
        <v>123.31974170300001</v>
      </c>
      <c r="E27" s="1"/>
      <c r="F27">
        <v>91.745841830399996</v>
      </c>
      <c r="G27">
        <v>1647.3707906300001</v>
      </c>
      <c r="H27">
        <v>179.24031792299999</v>
      </c>
      <c r="I27" s="1"/>
      <c r="J27">
        <v>628.39708035299998</v>
      </c>
      <c r="K27">
        <v>1331.26654725</v>
      </c>
      <c r="L27">
        <v>206.027308551</v>
      </c>
      <c r="N27">
        <v>628.39708035299998</v>
      </c>
      <c r="O27">
        <v>816.75649363100001</v>
      </c>
      <c r="P27">
        <v>211.903127111</v>
      </c>
      <c r="R27">
        <v>628.39708035299998</v>
      </c>
      <c r="S27">
        <v>452.90580619299999</v>
      </c>
      <c r="T27">
        <v>183.67130455500001</v>
      </c>
    </row>
    <row r="28" spans="1:20" x14ac:dyDescent="0.25">
      <c r="A28">
        <v>21.5</v>
      </c>
      <c r="B28">
        <v>135.10502062099999</v>
      </c>
      <c r="C28">
        <v>2374.6469331600001</v>
      </c>
      <c r="D28">
        <v>91.218290145599994</v>
      </c>
      <c r="E28" s="1"/>
      <c r="F28">
        <v>135.10502062099999</v>
      </c>
      <c r="G28">
        <v>1687.6740257399999</v>
      </c>
      <c r="H28">
        <v>187.524309531</v>
      </c>
    </row>
    <row r="29" spans="1:20" x14ac:dyDescent="0.25">
      <c r="A29">
        <v>31.6</v>
      </c>
      <c r="B29">
        <v>198.57390993999999</v>
      </c>
      <c r="C29">
        <v>2387.86446045</v>
      </c>
      <c r="D29">
        <v>64.701339189500004</v>
      </c>
      <c r="E29" s="1"/>
      <c r="F29">
        <v>198.57390993999999</v>
      </c>
      <c r="G29">
        <v>1739.15488037</v>
      </c>
      <c r="H29">
        <v>197.81012076600001</v>
      </c>
    </row>
    <row r="30" spans="1:20" x14ac:dyDescent="0.25">
      <c r="A30">
        <v>46.4</v>
      </c>
      <c r="B30">
        <v>291.57624761699998</v>
      </c>
      <c r="C30">
        <v>2394.3300469599999</v>
      </c>
      <c r="D30">
        <v>44.936899778099999</v>
      </c>
      <c r="E30" s="1"/>
      <c r="F30">
        <v>291.57624761699998</v>
      </c>
      <c r="G30">
        <v>1799.52531226</v>
      </c>
      <c r="H30">
        <v>198.169653727</v>
      </c>
    </row>
    <row r="31" spans="1:20" x14ac:dyDescent="0.25">
      <c r="A31">
        <v>68</v>
      </c>
      <c r="B31">
        <v>427.31020695400002</v>
      </c>
      <c r="C31">
        <v>2397.37861522</v>
      </c>
      <c r="D31">
        <v>30.938149718799998</v>
      </c>
      <c r="E31" s="1"/>
      <c r="F31">
        <v>427.31020695400002</v>
      </c>
      <c r="G31">
        <v>1856.3879173800001</v>
      </c>
      <c r="H31">
        <v>184.149455515</v>
      </c>
    </row>
    <row r="32" spans="1:20" x14ac:dyDescent="0.25">
      <c r="A32">
        <v>100</v>
      </c>
      <c r="B32">
        <v>628.39708035299998</v>
      </c>
      <c r="C32">
        <v>2398.8046371199998</v>
      </c>
      <c r="D32">
        <v>21.1234869092</v>
      </c>
      <c r="E32" s="1"/>
      <c r="F32">
        <v>628.39708035299998</v>
      </c>
      <c r="G32">
        <v>1900.5553246500001</v>
      </c>
      <c r="H32">
        <v>163.35573189499999</v>
      </c>
    </row>
    <row r="35" spans="2:20" x14ac:dyDescent="0.25">
      <c r="B35" t="s">
        <v>114</v>
      </c>
      <c r="F35" t="s">
        <v>115</v>
      </c>
      <c r="J35" t="s">
        <v>116</v>
      </c>
      <c r="N35" t="s">
        <v>117</v>
      </c>
      <c r="R35" t="s">
        <v>118</v>
      </c>
    </row>
    <row r="36" spans="2:20" x14ac:dyDescent="0.25">
      <c r="B36" t="s">
        <v>119</v>
      </c>
      <c r="F36" t="s">
        <v>119</v>
      </c>
      <c r="J36" t="s">
        <v>119</v>
      </c>
      <c r="N36" t="s">
        <v>119</v>
      </c>
      <c r="R36" t="s">
        <v>119</v>
      </c>
    </row>
    <row r="37" spans="2:20" x14ac:dyDescent="0.25">
      <c r="B37" t="s">
        <v>120</v>
      </c>
      <c r="C37" t="s">
        <v>108</v>
      </c>
      <c r="F37" t="s">
        <v>120</v>
      </c>
      <c r="G37" t="s">
        <v>108</v>
      </c>
      <c r="J37" t="s">
        <v>120</v>
      </c>
      <c r="K37" t="s">
        <v>108</v>
      </c>
      <c r="N37" t="s">
        <v>120</v>
      </c>
      <c r="O37" t="s">
        <v>108</v>
      </c>
      <c r="R37" t="s">
        <v>120</v>
      </c>
      <c r="S37" t="s">
        <v>108</v>
      </c>
    </row>
    <row r="38" spans="2:20" x14ac:dyDescent="0.25">
      <c r="B38" t="s">
        <v>121</v>
      </c>
      <c r="C38" t="s">
        <v>109</v>
      </c>
      <c r="F38" t="s">
        <v>121</v>
      </c>
      <c r="G38" t="s">
        <v>109</v>
      </c>
      <c r="J38" t="s">
        <v>121</v>
      </c>
      <c r="K38" t="s">
        <v>109</v>
      </c>
      <c r="N38" t="s">
        <v>121</v>
      </c>
      <c r="O38" t="s">
        <v>109</v>
      </c>
      <c r="R38" t="s">
        <v>121</v>
      </c>
      <c r="S38" t="s">
        <v>109</v>
      </c>
    </row>
    <row r="39" spans="2:20" x14ac:dyDescent="0.25">
      <c r="B39">
        <v>0.62839708035300001</v>
      </c>
      <c r="C39">
        <v>15.63510177</v>
      </c>
      <c r="D39">
        <v>5.8626542740299996</v>
      </c>
      <c r="E39" s="1"/>
      <c r="F39">
        <v>0.62839708035300001</v>
      </c>
      <c r="G39">
        <v>12.1954745245</v>
      </c>
      <c r="H39">
        <v>2.7339596259899999</v>
      </c>
      <c r="I39" s="1"/>
      <c r="J39">
        <v>0.62839708035300001</v>
      </c>
      <c r="K39">
        <v>10.644811603000001</v>
      </c>
      <c r="L39">
        <v>1.6840402042</v>
      </c>
      <c r="N39">
        <v>0.62839708035300001</v>
      </c>
      <c r="O39">
        <v>9.4560755674900001</v>
      </c>
      <c r="P39">
        <v>1.4158243152000001</v>
      </c>
      <c r="Q39" s="1"/>
      <c r="R39" s="1">
        <v>3.96493183391E-5</v>
      </c>
      <c r="S39">
        <v>9.4130365973100005</v>
      </c>
      <c r="T39">
        <v>1.40932429805</v>
      </c>
    </row>
    <row r="40" spans="2:20" x14ac:dyDescent="0.25">
      <c r="B40">
        <v>0.94259444202099996</v>
      </c>
      <c r="C40">
        <v>17.000124956499999</v>
      </c>
      <c r="D40">
        <v>7.3884553995999998</v>
      </c>
      <c r="E40" s="1"/>
      <c r="F40">
        <v>0.94259444202099996</v>
      </c>
      <c r="G40">
        <v>12.9040104735</v>
      </c>
      <c r="H40">
        <v>3.1919145545699998</v>
      </c>
      <c r="I40" s="1"/>
      <c r="J40">
        <v>0.94259444202099996</v>
      </c>
      <c r="K40">
        <v>10.9957656839</v>
      </c>
      <c r="L40">
        <v>1.78545792474</v>
      </c>
      <c r="N40">
        <v>0.94259444202099996</v>
      </c>
      <c r="O40">
        <v>9.7797134862899995</v>
      </c>
      <c r="P40">
        <v>1.4999323503399999</v>
      </c>
      <c r="Q40" s="1"/>
      <c r="R40" s="1">
        <v>8.7227703968900002E-5</v>
      </c>
      <c r="S40">
        <v>10.086656360799999</v>
      </c>
      <c r="T40">
        <v>1.58257298913</v>
      </c>
    </row>
    <row r="41" spans="2:20" x14ac:dyDescent="0.25">
      <c r="B41">
        <v>1.3824749596300001</v>
      </c>
      <c r="C41">
        <v>18.7442657952</v>
      </c>
      <c r="D41">
        <v>8.94367841601</v>
      </c>
      <c r="E41" s="1"/>
      <c r="F41">
        <v>1.3824749596300001</v>
      </c>
      <c r="G41">
        <v>13.606895081299999</v>
      </c>
      <c r="H41">
        <v>3.6187975274299999</v>
      </c>
      <c r="I41" s="1"/>
      <c r="J41">
        <v>1.3824749596300001</v>
      </c>
      <c r="K41">
        <v>11.3141167967</v>
      </c>
      <c r="L41">
        <v>1.9946941978799999</v>
      </c>
      <c r="N41">
        <v>1.3824749596300001</v>
      </c>
      <c r="O41">
        <v>10.1463066775</v>
      </c>
      <c r="P41">
        <v>1.5960091087999999</v>
      </c>
      <c r="Q41" s="1"/>
      <c r="R41">
        <v>1.8238595408099999E-4</v>
      </c>
      <c r="S41">
        <v>10.804407214999999</v>
      </c>
      <c r="T41">
        <v>1.71827378949</v>
      </c>
    </row>
    <row r="42" spans="2:20" x14ac:dyDescent="0.25">
      <c r="B42">
        <v>2.0108706571299999</v>
      </c>
      <c r="C42">
        <v>20.656833791099999</v>
      </c>
      <c r="D42">
        <v>10.5100460265</v>
      </c>
      <c r="E42" s="1"/>
      <c r="F42">
        <v>2.0108706571299999</v>
      </c>
      <c r="G42">
        <v>14.2601794416</v>
      </c>
      <c r="H42">
        <v>4.1627071867499996</v>
      </c>
      <c r="I42" s="1"/>
      <c r="J42">
        <v>2.0108706571299999</v>
      </c>
      <c r="K42">
        <v>11.697538445699999</v>
      </c>
      <c r="L42">
        <v>2.3322538069599998</v>
      </c>
      <c r="N42">
        <v>2.0108706571299999</v>
      </c>
      <c r="O42">
        <v>10.5240834149</v>
      </c>
      <c r="P42">
        <v>1.6637702249999999</v>
      </c>
      <c r="Q42" s="1"/>
      <c r="R42">
        <v>3.9649317713599997E-4</v>
      </c>
      <c r="S42">
        <v>11.469269044700001</v>
      </c>
      <c r="T42">
        <v>2.1286799896500002</v>
      </c>
    </row>
    <row r="43" spans="2:20" x14ac:dyDescent="0.25">
      <c r="B43">
        <v>2.8906272935300001</v>
      </c>
      <c r="C43">
        <v>22.506208301800001</v>
      </c>
      <c r="D43">
        <v>12.3584757465</v>
      </c>
      <c r="E43" s="1"/>
      <c r="F43">
        <v>2.8906272935300001</v>
      </c>
      <c r="G43">
        <v>14.935963662200001</v>
      </c>
      <c r="H43">
        <v>4.9645231586099996</v>
      </c>
      <c r="I43" s="1"/>
      <c r="J43">
        <v>2.8906272935300001</v>
      </c>
      <c r="K43">
        <v>12.203787500700001</v>
      </c>
      <c r="L43">
        <v>2.7400149518200001</v>
      </c>
      <c r="N43">
        <v>2.8906272935300001</v>
      </c>
      <c r="O43">
        <v>10.855469121600001</v>
      </c>
      <c r="P43">
        <v>1.7326283067199999</v>
      </c>
      <c r="Q43" s="1"/>
      <c r="R43">
        <v>8.72277009415E-4</v>
      </c>
      <c r="S43">
        <v>12.569300157500001</v>
      </c>
      <c r="T43">
        <v>2.9879750307299999</v>
      </c>
    </row>
    <row r="44" spans="2:20" x14ac:dyDescent="0.25">
      <c r="B44">
        <v>4.2731022802299998</v>
      </c>
      <c r="C44">
        <v>24.6699997638</v>
      </c>
      <c r="D44">
        <v>15.241611514100001</v>
      </c>
      <c r="E44" s="1"/>
      <c r="F44">
        <v>4.2731022802299998</v>
      </c>
      <c r="G44">
        <v>15.9125625706</v>
      </c>
      <c r="H44">
        <v>6.2013945810999997</v>
      </c>
      <c r="I44" s="1"/>
      <c r="J44">
        <v>4.2731022802299998</v>
      </c>
      <c r="K44">
        <v>12.886849339599999</v>
      </c>
      <c r="L44">
        <v>3.1817955282899999</v>
      </c>
      <c r="N44">
        <v>4.2731022802299998</v>
      </c>
      <c r="O44">
        <v>11.176689634000001</v>
      </c>
      <c r="P44">
        <v>1.8897789363899999</v>
      </c>
      <c r="Q44" s="1"/>
      <c r="R44">
        <v>1.8238594084599999E-3</v>
      </c>
      <c r="S44">
        <v>13.907228468</v>
      </c>
      <c r="T44">
        <v>3.8399820713600001</v>
      </c>
    </row>
    <row r="45" spans="2:20" x14ac:dyDescent="0.25">
      <c r="B45">
        <v>6.2839708035299999</v>
      </c>
      <c r="C45">
        <v>27.585329399700001</v>
      </c>
      <c r="D45">
        <v>19.3072962946</v>
      </c>
      <c r="E45" s="1"/>
      <c r="F45">
        <v>6.2839708035299999</v>
      </c>
      <c r="G45">
        <v>17.3180619372</v>
      </c>
      <c r="H45">
        <v>7.6975681434099998</v>
      </c>
      <c r="I45" s="1"/>
      <c r="J45">
        <v>6.2839708035299999</v>
      </c>
      <c r="K45">
        <v>13.5949038776</v>
      </c>
      <c r="L45">
        <v>3.61074172451</v>
      </c>
      <c r="N45">
        <v>6.2839708035299999</v>
      </c>
      <c r="O45">
        <v>11.5296817455</v>
      </c>
      <c r="P45">
        <v>2.1826975038</v>
      </c>
      <c r="Q45" s="1"/>
      <c r="R45">
        <v>3.9649317713599998E-3</v>
      </c>
      <c r="S45">
        <v>15.4124515527</v>
      </c>
      <c r="T45">
        <v>5.5813168523799996</v>
      </c>
    </row>
    <row r="46" spans="2:20" x14ac:dyDescent="0.25">
      <c r="B46">
        <v>9.4259444096100005</v>
      </c>
      <c r="C46">
        <v>32.248871509899999</v>
      </c>
      <c r="D46">
        <v>24.634033389300001</v>
      </c>
      <c r="E46" s="1"/>
      <c r="F46">
        <v>9.4259444096100005</v>
      </c>
      <c r="G46">
        <v>19.2427917304</v>
      </c>
      <c r="H46">
        <v>9.3479080527100002</v>
      </c>
      <c r="I46" s="1"/>
      <c r="J46">
        <v>9.4259444096100005</v>
      </c>
      <c r="K46">
        <v>14.3019144113</v>
      </c>
      <c r="L46">
        <v>4.2060199571099997</v>
      </c>
      <c r="N46">
        <v>9.4259444096100005</v>
      </c>
      <c r="O46">
        <v>12.038321908</v>
      </c>
      <c r="P46">
        <v>2.6154711120999998</v>
      </c>
      <c r="Q46" s="1"/>
      <c r="R46">
        <v>8.52482854546E-3</v>
      </c>
      <c r="S46">
        <v>18.218459431300001</v>
      </c>
      <c r="T46">
        <v>8.5049900940600001</v>
      </c>
    </row>
    <row r="47" spans="2:20" x14ac:dyDescent="0.25">
      <c r="B47">
        <v>13.8247495735</v>
      </c>
      <c r="C47">
        <v>38.292375993</v>
      </c>
      <c r="D47">
        <v>29.938995226999999</v>
      </c>
      <c r="E47" s="1"/>
      <c r="F47">
        <v>13.8247495735</v>
      </c>
      <c r="G47">
        <v>21.205641466500001</v>
      </c>
      <c r="H47">
        <v>11.0022103622</v>
      </c>
      <c r="I47" s="1"/>
      <c r="J47">
        <v>13.8247495735</v>
      </c>
      <c r="K47">
        <v>15.028956234600001</v>
      </c>
      <c r="L47">
        <v>5.0849484227300001</v>
      </c>
      <c r="N47">
        <v>13.8247495735</v>
      </c>
      <c r="O47">
        <v>12.6754532497</v>
      </c>
      <c r="P47">
        <v>3.05441664153</v>
      </c>
      <c r="Q47" s="1"/>
      <c r="R47">
        <v>1.5784707063499999E-2</v>
      </c>
      <c r="S47">
        <v>21.338733939000001</v>
      </c>
      <c r="T47">
        <v>11.1274077764</v>
      </c>
    </row>
    <row r="48" spans="2:20" x14ac:dyDescent="0.25">
      <c r="B48">
        <v>20.108706571300001</v>
      </c>
      <c r="C48">
        <v>45.006995179500002</v>
      </c>
      <c r="D48">
        <v>35.145892325600002</v>
      </c>
      <c r="E48" s="1"/>
      <c r="F48">
        <v>20.108706571300001</v>
      </c>
      <c r="G48">
        <v>23.126210031700001</v>
      </c>
      <c r="H48">
        <v>13.117329696200001</v>
      </c>
      <c r="I48" s="1"/>
      <c r="J48">
        <v>20.108706571300001</v>
      </c>
      <c r="K48">
        <v>15.9982965426</v>
      </c>
      <c r="L48">
        <v>6.3031060243399999</v>
      </c>
      <c r="N48">
        <v>20.108706571300001</v>
      </c>
      <c r="O48">
        <v>13.366200494499999</v>
      </c>
      <c r="P48">
        <v>3.4649702198300001</v>
      </c>
      <c r="Q48" s="1"/>
      <c r="R48">
        <v>3.3937233130299997E-2</v>
      </c>
      <c r="S48">
        <v>25.634830496399999</v>
      </c>
      <c r="T48">
        <v>16.6277063235</v>
      </c>
    </row>
    <row r="49" spans="2:20" x14ac:dyDescent="0.25">
      <c r="B49">
        <v>28.906273068299999</v>
      </c>
      <c r="C49">
        <v>51.649537690999999</v>
      </c>
      <c r="D49">
        <v>41.1402609485</v>
      </c>
      <c r="E49" s="1"/>
      <c r="F49">
        <v>28.906273068299999</v>
      </c>
      <c r="G49">
        <v>25.261037236899998</v>
      </c>
      <c r="H49">
        <v>16.091838378399999</v>
      </c>
      <c r="I49" s="1"/>
      <c r="J49">
        <v>28.906273068299999</v>
      </c>
      <c r="K49">
        <v>17.340378292600001</v>
      </c>
      <c r="L49">
        <v>7.7187232798599998</v>
      </c>
      <c r="N49">
        <v>28.906273068299999</v>
      </c>
      <c r="O49">
        <v>14.009643801299999</v>
      </c>
      <c r="P49">
        <v>3.9259290129400002</v>
      </c>
      <c r="Q49" s="1"/>
      <c r="R49">
        <v>7.9108835613500003E-2</v>
      </c>
      <c r="S49">
        <v>35.2451575009</v>
      </c>
      <c r="T49">
        <v>27.4186391245</v>
      </c>
    </row>
    <row r="50" spans="2:20" x14ac:dyDescent="0.25">
      <c r="B50">
        <v>42.731022874899999</v>
      </c>
      <c r="C50">
        <v>59.704670137699999</v>
      </c>
      <c r="D50">
        <v>50.303507632699997</v>
      </c>
      <c r="E50" s="1"/>
      <c r="F50">
        <v>42.731022874899999</v>
      </c>
      <c r="G50">
        <v>28.524497122300001</v>
      </c>
      <c r="H50">
        <v>20.501538911299999</v>
      </c>
      <c r="I50" s="1"/>
      <c r="J50">
        <v>42.731022874899999</v>
      </c>
      <c r="K50">
        <v>19.1952090662</v>
      </c>
      <c r="L50">
        <v>9.3095844293599992</v>
      </c>
      <c r="N50">
        <v>42.731022874899999</v>
      </c>
      <c r="O50">
        <v>14.703718051999999</v>
      </c>
      <c r="P50">
        <v>4.6698379576300004</v>
      </c>
      <c r="Q50" s="1"/>
      <c r="R50">
        <v>0.17008873418699999</v>
      </c>
      <c r="S50">
        <v>48.795797667199999</v>
      </c>
      <c r="T50">
        <v>38.372992489700003</v>
      </c>
    </row>
    <row r="51" spans="2:20" x14ac:dyDescent="0.25">
      <c r="B51">
        <v>62.839708035299999</v>
      </c>
      <c r="C51">
        <v>70.869286813200006</v>
      </c>
      <c r="D51">
        <v>62.803834621199996</v>
      </c>
      <c r="E51" s="1"/>
      <c r="F51">
        <v>62.839708035299999</v>
      </c>
      <c r="G51">
        <v>33.346270238700001</v>
      </c>
      <c r="H51">
        <v>25.699312868</v>
      </c>
      <c r="I51" s="1"/>
      <c r="J51">
        <v>62.839708035299999</v>
      </c>
      <c r="K51">
        <v>21.171961431100002</v>
      </c>
      <c r="L51">
        <v>10.9707391301</v>
      </c>
      <c r="N51">
        <v>62.839708035299999</v>
      </c>
      <c r="O51">
        <v>15.5657889236</v>
      </c>
      <c r="P51">
        <v>5.7758905438800001</v>
      </c>
      <c r="Q51" s="1"/>
      <c r="R51">
        <v>0.36707205830700002</v>
      </c>
      <c r="S51">
        <v>65.6041894369</v>
      </c>
      <c r="T51">
        <v>57.171760246700003</v>
      </c>
    </row>
    <row r="52" spans="2:20" x14ac:dyDescent="0.25">
      <c r="B52">
        <v>91.745841830399996</v>
      </c>
      <c r="C52">
        <v>87.418239681800003</v>
      </c>
      <c r="D52">
        <v>76.900462189600006</v>
      </c>
      <c r="E52" s="1"/>
      <c r="F52">
        <v>91.745841830399996</v>
      </c>
      <c r="G52">
        <v>39.555179423799999</v>
      </c>
      <c r="H52">
        <v>30.927805100099999</v>
      </c>
      <c r="I52" s="1"/>
      <c r="J52">
        <v>91.745841830399996</v>
      </c>
      <c r="K52">
        <v>23.1105426558</v>
      </c>
      <c r="L52">
        <v>13.0972976782</v>
      </c>
      <c r="N52">
        <v>91.745841830399996</v>
      </c>
      <c r="O52">
        <v>16.7926519146</v>
      </c>
      <c r="P52">
        <v>7.1784248452900004</v>
      </c>
      <c r="Q52" s="1"/>
      <c r="R52">
        <v>0.53795132409799995</v>
      </c>
      <c r="S52">
        <v>79.723643388799999</v>
      </c>
      <c r="T52">
        <v>70.985641975500002</v>
      </c>
    </row>
    <row r="53" spans="2:20" x14ac:dyDescent="0.25">
      <c r="B53">
        <v>135.10502062099999</v>
      </c>
      <c r="C53">
        <v>110.350871156</v>
      </c>
      <c r="D53">
        <v>89.567875387599997</v>
      </c>
      <c r="E53" s="1"/>
      <c r="F53">
        <v>135.10502062099999</v>
      </c>
      <c r="G53">
        <v>46.542250000199999</v>
      </c>
      <c r="H53">
        <v>36.402542378500002</v>
      </c>
      <c r="I53" s="1"/>
      <c r="J53">
        <v>135.10502062099999</v>
      </c>
      <c r="K53">
        <v>25.4058017318</v>
      </c>
      <c r="L53">
        <v>16.299728914599999</v>
      </c>
      <c r="N53">
        <v>135.10502062099999</v>
      </c>
      <c r="O53">
        <v>18.504754678899999</v>
      </c>
      <c r="P53">
        <v>8.7459977995500005</v>
      </c>
      <c r="Q53" s="1"/>
      <c r="R53">
        <v>0.87227700941499997</v>
      </c>
      <c r="S53">
        <v>106.380270217</v>
      </c>
      <c r="T53">
        <v>87.804128120100003</v>
      </c>
    </row>
    <row r="54" spans="2:20" x14ac:dyDescent="0.25">
      <c r="B54">
        <v>198.57390993999999</v>
      </c>
      <c r="C54">
        <v>135.56029156599999</v>
      </c>
      <c r="D54">
        <v>98.066596048400001</v>
      </c>
      <c r="E54" s="1"/>
      <c r="F54">
        <v>198.57390993999999</v>
      </c>
      <c r="G54">
        <v>53.682791258800002</v>
      </c>
      <c r="H54">
        <v>43.302625269700002</v>
      </c>
      <c r="I54" s="1"/>
      <c r="J54">
        <v>198.57390993999999</v>
      </c>
      <c r="K54">
        <v>28.684383223699999</v>
      </c>
      <c r="L54">
        <v>20.698425802999999</v>
      </c>
      <c r="N54">
        <v>198.57390993999999</v>
      </c>
      <c r="O54">
        <v>20.4604749447</v>
      </c>
      <c r="P54">
        <v>10.3420131996</v>
      </c>
      <c r="Q54" s="1"/>
      <c r="R54">
        <v>1.3824749596300001</v>
      </c>
      <c r="S54">
        <v>136.41804669800001</v>
      </c>
      <c r="T54">
        <v>98.305230672199997</v>
      </c>
    </row>
    <row r="55" spans="2:20" x14ac:dyDescent="0.25">
      <c r="B55">
        <v>291.57624761699998</v>
      </c>
      <c r="C55">
        <v>158.90263377799999</v>
      </c>
      <c r="D55">
        <v>105.092155463</v>
      </c>
      <c r="E55" s="1"/>
      <c r="F55">
        <v>291.57624761699998</v>
      </c>
      <c r="G55">
        <v>62.174597634900003</v>
      </c>
      <c r="H55">
        <v>53.228371659799997</v>
      </c>
      <c r="I55" s="1"/>
      <c r="J55">
        <v>291.57624761699998</v>
      </c>
      <c r="K55">
        <v>33.550718998100002</v>
      </c>
      <c r="L55">
        <v>25.891236348</v>
      </c>
      <c r="N55">
        <v>291.57624761699998</v>
      </c>
      <c r="O55">
        <v>22.4185548781</v>
      </c>
      <c r="P55">
        <v>12.2573185558</v>
      </c>
      <c r="Q55" s="1"/>
      <c r="R55">
        <v>2.31607356544</v>
      </c>
      <c r="S55">
        <v>167.19366796599999</v>
      </c>
      <c r="T55">
        <v>108.53177805599999</v>
      </c>
    </row>
    <row r="56" spans="2:20" x14ac:dyDescent="0.25">
      <c r="B56">
        <v>427.31020695400002</v>
      </c>
      <c r="C56">
        <v>180.85611819499999</v>
      </c>
      <c r="D56">
        <v>116.01056226199999</v>
      </c>
      <c r="E56" s="1"/>
      <c r="F56">
        <v>427.31020695400002</v>
      </c>
      <c r="G56">
        <v>74.488496946599994</v>
      </c>
      <c r="H56">
        <v>66.339551801400006</v>
      </c>
      <c r="I56" s="1"/>
      <c r="J56">
        <v>427.31020695400002</v>
      </c>
      <c r="K56">
        <v>39.866028451299997</v>
      </c>
      <c r="L56">
        <v>31.1681330037</v>
      </c>
      <c r="N56">
        <v>427.31020695400002</v>
      </c>
      <c r="O56">
        <v>24.511423434699999</v>
      </c>
      <c r="P56">
        <v>15.014662867</v>
      </c>
      <c r="Q56" s="1"/>
      <c r="R56">
        <v>4.2731022802299998</v>
      </c>
      <c r="S56">
        <v>206.307516789</v>
      </c>
      <c r="T56">
        <v>133.18151454299999</v>
      </c>
    </row>
    <row r="57" spans="2:20" x14ac:dyDescent="0.25">
      <c r="B57">
        <v>628.39708035299998</v>
      </c>
      <c r="C57">
        <v>207.097048476</v>
      </c>
      <c r="D57">
        <v>133.711647879</v>
      </c>
      <c r="E57" s="1"/>
      <c r="F57">
        <v>628.39708035299998</v>
      </c>
      <c r="G57">
        <v>93.048005814000007</v>
      </c>
      <c r="H57">
        <v>80.626839299599993</v>
      </c>
      <c r="I57" s="1"/>
      <c r="J57">
        <v>628.39708035299998</v>
      </c>
      <c r="K57">
        <v>46.836778987599999</v>
      </c>
      <c r="L57">
        <v>36.651154422200001</v>
      </c>
      <c r="N57">
        <v>628.39708035299998</v>
      </c>
      <c r="O57">
        <v>27.3518191</v>
      </c>
      <c r="P57">
        <v>19.000050133199998</v>
      </c>
      <c r="Q57" s="1"/>
      <c r="R57">
        <v>9.4259444096100005</v>
      </c>
      <c r="S57">
        <v>292.79667057900002</v>
      </c>
      <c r="T57">
        <v>171.20570322099999</v>
      </c>
    </row>
    <row r="58" spans="2:20" x14ac:dyDescent="0.25">
      <c r="Q58" s="1"/>
      <c r="R58">
        <v>20.108706571300001</v>
      </c>
      <c r="S58">
        <v>386.97904188299998</v>
      </c>
      <c r="T58">
        <v>174.19868334099999</v>
      </c>
    </row>
    <row r="59" spans="2:20" x14ac:dyDescent="0.25">
      <c r="Q59" s="1"/>
      <c r="R59">
        <v>42.731022874899999</v>
      </c>
      <c r="S59">
        <v>460.70737288599997</v>
      </c>
      <c r="T59">
        <v>186.45715566499999</v>
      </c>
    </row>
    <row r="60" spans="2:20" x14ac:dyDescent="0.25">
      <c r="Q60" s="1"/>
      <c r="R60">
        <v>115.0783928</v>
      </c>
      <c r="S60">
        <v>605.10932800299997</v>
      </c>
      <c r="T60">
        <v>216.65103363599999</v>
      </c>
    </row>
    <row r="61" spans="2:20" x14ac:dyDescent="0.25">
      <c r="Q61" s="1"/>
      <c r="R61">
        <v>198.57390993999999</v>
      </c>
      <c r="S61">
        <v>685.56375417699996</v>
      </c>
      <c r="T61">
        <v>204.47354887899999</v>
      </c>
    </row>
    <row r="62" spans="2:20" x14ac:dyDescent="0.25">
      <c r="Q62" s="1"/>
      <c r="R62">
        <v>375.25371250500001</v>
      </c>
      <c r="S62">
        <v>754.81956163799998</v>
      </c>
      <c r="T62">
        <v>198.208218585</v>
      </c>
    </row>
    <row r="63" spans="2:20" x14ac:dyDescent="0.25">
      <c r="Q63" s="1"/>
      <c r="R63">
        <v>800.515906288</v>
      </c>
      <c r="S63">
        <v>852.81401842100001</v>
      </c>
      <c r="T63">
        <v>218.51449932200001</v>
      </c>
    </row>
    <row r="64" spans="2:20" x14ac:dyDescent="0.25">
      <c r="Q64" s="1"/>
      <c r="R64">
        <v>1701.12942056</v>
      </c>
      <c r="S64">
        <v>970.42413133000002</v>
      </c>
      <c r="T64">
        <v>213.45125236199999</v>
      </c>
    </row>
    <row r="65" spans="17:20" x14ac:dyDescent="0.25">
      <c r="Q65" s="1"/>
      <c r="R65">
        <v>3494.0749328100001</v>
      </c>
      <c r="S65">
        <v>1053.82180292</v>
      </c>
      <c r="T65">
        <v>206.14261900700001</v>
      </c>
    </row>
    <row r="66" spans="17:20" x14ac:dyDescent="0.25">
      <c r="Q66" s="1"/>
      <c r="R66">
        <v>7487.3584479700003</v>
      </c>
      <c r="S66">
        <v>1157.94618485</v>
      </c>
      <c r="T66">
        <v>229.59977616099999</v>
      </c>
    </row>
    <row r="67" spans="17:20" x14ac:dyDescent="0.25">
      <c r="Q67" s="1"/>
      <c r="R67">
        <v>15973.2185281</v>
      </c>
      <c r="S67">
        <v>1289.84762499</v>
      </c>
      <c r="T67">
        <v>220.05754114499999</v>
      </c>
    </row>
    <row r="68" spans="17:20" x14ac:dyDescent="0.25">
      <c r="Q68" s="1"/>
      <c r="R68">
        <v>33942.064701299998</v>
      </c>
      <c r="S68">
        <v>1380.23845538</v>
      </c>
      <c r="T68">
        <v>191.42468698600001</v>
      </c>
    </row>
    <row r="69" spans="17:20" x14ac:dyDescent="0.25">
      <c r="Q69" s="1"/>
      <c r="R69">
        <v>74873.361422600006</v>
      </c>
      <c r="S69">
        <v>1468.13040469</v>
      </c>
      <c r="T69">
        <v>195.904746316</v>
      </c>
    </row>
    <row r="70" spans="17:20" x14ac:dyDescent="0.25">
      <c r="Q70" s="1"/>
      <c r="R70">
        <v>159735.230893</v>
      </c>
      <c r="S70">
        <v>1570.3645728700001</v>
      </c>
      <c r="T70">
        <v>188.882896926</v>
      </c>
    </row>
    <row r="71" spans="17:20" x14ac:dyDescent="0.25">
      <c r="Q71" s="1"/>
      <c r="R71">
        <v>339448.15273799998</v>
      </c>
      <c r="S71">
        <v>1647.0531615899999</v>
      </c>
      <c r="T71">
        <v>179.20653330900001</v>
      </c>
    </row>
    <row r="72" spans="17:20" x14ac:dyDescent="0.25">
      <c r="Q72" s="1"/>
      <c r="R72">
        <v>728696.46937399998</v>
      </c>
      <c r="S72">
        <v>1737.43820865</v>
      </c>
      <c r="T72">
        <v>197.57605191600001</v>
      </c>
    </row>
    <row r="73" spans="17:20" x14ac:dyDescent="0.25">
      <c r="Q73" s="1"/>
      <c r="R73">
        <v>1576708.9854900001</v>
      </c>
      <c r="S73">
        <v>1855.6186881399999</v>
      </c>
      <c r="T73">
        <v>184.42514804699999</v>
      </c>
    </row>
    <row r="74" spans="17:20" x14ac:dyDescent="0.25">
      <c r="Q74" s="1"/>
      <c r="R74">
        <v>3391732.9593400001</v>
      </c>
      <c r="S74">
        <v>1931.6706405100001</v>
      </c>
      <c r="T74">
        <v>147.210321222</v>
      </c>
    </row>
    <row r="75" spans="17:20" x14ac:dyDescent="0.25">
      <c r="Q75" s="1"/>
      <c r="R75">
        <v>9413011.6961499993</v>
      </c>
      <c r="S75">
        <v>2009.44450871</v>
      </c>
      <c r="T75">
        <v>138.413521344</v>
      </c>
    </row>
    <row r="76" spans="17:20" x14ac:dyDescent="0.25">
      <c r="Q76" s="1"/>
      <c r="R76">
        <v>28888208.308899999</v>
      </c>
      <c r="S76">
        <v>2096.6129854400001</v>
      </c>
      <c r="T76">
        <v>140.65926467</v>
      </c>
    </row>
    <row r="77" spans="17:20" x14ac:dyDescent="0.25">
      <c r="Q77" s="1"/>
      <c r="R77">
        <v>93084226.773000002</v>
      </c>
      <c r="S77">
        <v>2229.0414223399998</v>
      </c>
      <c r="T77">
        <v>174.96071705099999</v>
      </c>
    </row>
    <row r="78" spans="17:20" x14ac:dyDescent="0.25">
      <c r="Q78" s="1"/>
      <c r="R78">
        <v>279252680.32099998</v>
      </c>
      <c r="S78">
        <v>2367.3485751600001</v>
      </c>
      <c r="T78">
        <v>102.180850773</v>
      </c>
    </row>
    <row r="79" spans="17:20" x14ac:dyDescent="0.25">
      <c r="Q79" s="1"/>
      <c r="R79">
        <v>628318530.722</v>
      </c>
      <c r="S79">
        <v>2392.5174401700001</v>
      </c>
      <c r="T79">
        <v>51.342276924899998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41</vt:i4>
      </vt:variant>
    </vt:vector>
  </HeadingPairs>
  <TitlesOfParts>
    <vt:vector size="53" baseType="lpstr">
      <vt:lpstr>Raw Test Data</vt:lpstr>
      <vt:lpstr>Processed Data</vt:lpstr>
      <vt:lpstr>Shifted Data - 1st Guess</vt:lpstr>
      <vt:lpstr>Shifted plus WLF Universal</vt:lpstr>
      <vt:lpstr>Shifted plus WLF Best Fit</vt:lpstr>
      <vt:lpstr>Prony Setup</vt:lpstr>
      <vt:lpstr>Prony Fit</vt:lpstr>
      <vt:lpstr>Abaqus_SSD_Analysis</vt:lpstr>
      <vt:lpstr>MCal_w_Abq_Solver</vt:lpstr>
      <vt:lpstr>Sim Results from PSF</vt:lpstr>
      <vt:lpstr>Abq_Visco_Runs_from_MCal</vt:lpstr>
      <vt:lpstr>Abq_Visco_Runs_from_MCal_2</vt:lpstr>
      <vt:lpstr>'Shifted plus WLF Best Fit'!_C1</vt:lpstr>
      <vt:lpstr>_C1</vt:lpstr>
      <vt:lpstr>'Shifted plus WLF Best Fit'!_C2</vt:lpstr>
      <vt:lpstr>_C2</vt:lpstr>
      <vt:lpstr>E_0</vt:lpstr>
      <vt:lpstr>E_inf</vt:lpstr>
      <vt:lpstr>El_Error</vt:lpstr>
      <vt:lpstr>Es_Error</vt:lpstr>
      <vt:lpstr>g_1</vt:lpstr>
      <vt:lpstr>g_10</vt:lpstr>
      <vt:lpstr>g_11</vt:lpstr>
      <vt:lpstr>g_12</vt:lpstr>
      <vt:lpstr>g_13</vt:lpstr>
      <vt:lpstr>g_14</vt:lpstr>
      <vt:lpstr>g_2</vt:lpstr>
      <vt:lpstr>g_3</vt:lpstr>
      <vt:lpstr>g_4</vt:lpstr>
      <vt:lpstr>g_5</vt:lpstr>
      <vt:lpstr>g_6</vt:lpstr>
      <vt:lpstr>g_7</vt:lpstr>
      <vt:lpstr>g_8</vt:lpstr>
      <vt:lpstr>g_9</vt:lpstr>
      <vt:lpstr>Gamma</vt:lpstr>
      <vt:lpstr>Sum_of_Errors</vt:lpstr>
      <vt:lpstr>Sum_of_gs</vt:lpstr>
      <vt:lpstr>'Shifted plus WLF Best Fit'!T0</vt:lpstr>
      <vt:lpstr>T0</vt:lpstr>
      <vt:lpstr>Tau</vt:lpstr>
      <vt:lpstr>x_10</vt:lpstr>
      <vt:lpstr>x_11</vt:lpstr>
      <vt:lpstr>x_12</vt:lpstr>
      <vt:lpstr>x_13</vt:lpstr>
      <vt:lpstr>x_14</vt:lpstr>
      <vt:lpstr>x_2</vt:lpstr>
      <vt:lpstr>x_3</vt:lpstr>
      <vt:lpstr>x_4</vt:lpstr>
      <vt:lpstr>x_5</vt:lpstr>
      <vt:lpstr>x_6</vt:lpstr>
      <vt:lpstr>x_7</vt:lpstr>
      <vt:lpstr>x_8</vt:lpstr>
      <vt:lpstr>x_9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2016-05-20T12:21:30Z</dcterms:modified>
</cp:coreProperties>
</file>